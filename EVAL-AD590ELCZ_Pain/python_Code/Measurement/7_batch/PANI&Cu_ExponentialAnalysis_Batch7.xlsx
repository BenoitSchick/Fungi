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python_Code\Measurement\7_batch\"/>
    </mc:Choice>
  </mc:AlternateContent>
  <bookViews>
    <workbookView xWindow="0" yWindow="0" windowWidth="25200" windowHeight="11250" activeTab="6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  <sheet name="Summary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8" l="1"/>
  <c r="F4" i="8"/>
  <c r="E4" i="8"/>
  <c r="C4" i="8"/>
  <c r="G3" i="8"/>
  <c r="F3" i="8"/>
  <c r="E3" i="8"/>
  <c r="C3" i="8"/>
  <c r="T40" i="5"/>
  <c r="T41" i="5" s="1"/>
  <c r="T42" i="5" s="1"/>
  <c r="S40" i="4"/>
  <c r="S41" i="4" s="1"/>
  <c r="S42" i="4" s="1"/>
  <c r="T41" i="7"/>
  <c r="T42" i="7" s="1"/>
  <c r="T43" i="7" s="1"/>
  <c r="T41" i="2"/>
  <c r="T42" i="2" s="1"/>
  <c r="T43" i="2" s="1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AD51" i="1"/>
  <c r="AD52" i="1"/>
  <c r="AD53" i="1"/>
  <c r="AD54" i="1"/>
  <c r="AD55" i="1"/>
  <c r="AD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43" i="4"/>
  <c r="H35" i="4"/>
  <c r="H27" i="4"/>
  <c r="H19" i="4"/>
  <c r="H11" i="4"/>
  <c r="H3" i="4"/>
  <c r="H2" i="4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2" i="1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2" i="5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AB50" i="1"/>
  <c r="AD50" i="1" s="1"/>
  <c r="AB51" i="1"/>
  <c r="AB52" i="1"/>
  <c r="AB53" i="1"/>
  <c r="AB54" i="1"/>
  <c r="AB55" i="1"/>
  <c r="AB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AB49" i="1"/>
  <c r="AD49" i="1" s="1"/>
  <c r="AB48" i="1"/>
  <c r="AD48" i="1" s="1"/>
  <c r="AB47" i="1"/>
  <c r="AD47" i="1" s="1"/>
  <c r="AB46" i="1"/>
  <c r="AD46" i="1" s="1"/>
  <c r="AB45" i="1"/>
  <c r="AD45" i="1" s="1"/>
  <c r="AB44" i="1"/>
  <c r="AD44" i="1" s="1"/>
  <c r="AB43" i="1"/>
  <c r="AD43" i="1" s="1"/>
  <c r="AB42" i="1"/>
  <c r="AD42" i="1" s="1"/>
  <c r="AB41" i="1"/>
  <c r="AD41" i="1" s="1"/>
  <c r="AB40" i="1"/>
  <c r="AD40" i="1" s="1"/>
  <c r="AB39" i="1"/>
  <c r="AD39" i="1" s="1"/>
  <c r="AB38" i="1"/>
  <c r="AD38" i="1" s="1"/>
  <c r="AB37" i="1"/>
  <c r="AD37" i="1" s="1"/>
  <c r="AB36" i="1"/>
  <c r="AD36" i="1" s="1"/>
  <c r="AB35" i="1"/>
  <c r="AD35" i="1" s="1"/>
  <c r="AB34" i="1"/>
  <c r="AD34" i="1" s="1"/>
  <c r="AB33" i="1"/>
  <c r="AD33" i="1" s="1"/>
  <c r="AB32" i="1"/>
  <c r="AD32" i="1" s="1"/>
  <c r="AB31" i="1"/>
  <c r="AD31" i="1" s="1"/>
  <c r="AB30" i="1"/>
  <c r="AD30" i="1" s="1"/>
  <c r="AB29" i="1"/>
  <c r="AD29" i="1" s="1"/>
  <c r="AB28" i="1"/>
  <c r="AD28" i="1" s="1"/>
  <c r="AB27" i="1"/>
  <c r="AD27" i="1" s="1"/>
  <c r="AB26" i="1"/>
  <c r="AD26" i="1" s="1"/>
  <c r="AB25" i="1"/>
  <c r="AD25" i="1" s="1"/>
  <c r="AB24" i="1"/>
  <c r="AD24" i="1" s="1"/>
  <c r="AB23" i="1"/>
  <c r="AD23" i="1" s="1"/>
  <c r="AB22" i="1"/>
  <c r="AD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F3" i="1"/>
  <c r="H3" i="1" s="1"/>
  <c r="F2" i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48" i="4"/>
  <c r="H48" i="4" s="1"/>
  <c r="F47" i="4"/>
  <c r="H47" i="4" s="1"/>
  <c r="F46" i="4"/>
  <c r="H46" i="4" s="1"/>
  <c r="F45" i="4"/>
  <c r="H45" i="4" s="1"/>
  <c r="F44" i="4"/>
  <c r="H44" i="4" s="1"/>
  <c r="F43" i="4"/>
  <c r="F42" i="4"/>
  <c r="H42" i="4" s="1"/>
  <c r="F41" i="4"/>
  <c r="H41" i="4" s="1"/>
  <c r="F40" i="4"/>
  <c r="H40" i="4" s="1"/>
  <c r="F39" i="4"/>
  <c r="H39" i="4" s="1"/>
  <c r="F38" i="4"/>
  <c r="H38" i="4" s="1"/>
  <c r="F37" i="4"/>
  <c r="H37" i="4" s="1"/>
  <c r="F36" i="4"/>
  <c r="H36" i="4" s="1"/>
  <c r="F35" i="4"/>
  <c r="F34" i="4"/>
  <c r="H34" i="4" s="1"/>
  <c r="F33" i="4"/>
  <c r="H33" i="4" s="1"/>
  <c r="F32" i="4"/>
  <c r="H32" i="4" s="1"/>
  <c r="F31" i="4"/>
  <c r="H31" i="4" s="1"/>
  <c r="F30" i="4"/>
  <c r="H30" i="4" s="1"/>
  <c r="F29" i="4"/>
  <c r="H29" i="4" s="1"/>
  <c r="F28" i="4"/>
  <c r="H28" i="4" s="1"/>
  <c r="F27" i="4"/>
  <c r="F26" i="4"/>
  <c r="H26" i="4" s="1"/>
  <c r="F25" i="4"/>
  <c r="H25" i="4" s="1"/>
  <c r="F24" i="4"/>
  <c r="H24" i="4" s="1"/>
  <c r="F23" i="4"/>
  <c r="H23" i="4" s="1"/>
  <c r="F22" i="4"/>
  <c r="H22" i="4" s="1"/>
  <c r="F21" i="4"/>
  <c r="H21" i="4" s="1"/>
  <c r="F20" i="4"/>
  <c r="H20" i="4" s="1"/>
  <c r="F19" i="4"/>
  <c r="F18" i="4"/>
  <c r="H18" i="4" s="1"/>
  <c r="F17" i="4"/>
  <c r="H17" i="4" s="1"/>
  <c r="F16" i="4"/>
  <c r="H16" i="4" s="1"/>
  <c r="F15" i="4"/>
  <c r="H15" i="4" s="1"/>
  <c r="F14" i="4"/>
  <c r="H14" i="4" s="1"/>
  <c r="F13" i="4"/>
  <c r="H13" i="4" s="1"/>
  <c r="F12" i="4"/>
  <c r="H12" i="4" s="1"/>
  <c r="F11" i="4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F4" i="4"/>
  <c r="H4" i="4" s="1"/>
  <c r="F3" i="4"/>
  <c r="F2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2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2" i="6"/>
  <c r="I120" i="7"/>
  <c r="I121" i="7"/>
  <c r="I122" i="7"/>
  <c r="I123" i="7"/>
  <c r="I124" i="7"/>
  <c r="I125" i="7"/>
  <c r="I126" i="7"/>
  <c r="I127" i="7"/>
  <c r="I128" i="7"/>
  <c r="I129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2" i="7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57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2" i="2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2" i="5"/>
  <c r="L3" i="5" l="1"/>
  <c r="I49" i="5"/>
  <c r="I50" i="5"/>
  <c r="L3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M3" i="2"/>
  <c r="L3" i="2"/>
  <c r="I188" i="2"/>
  <c r="I189" i="2"/>
  <c r="I190" i="2"/>
  <c r="I191" i="2"/>
  <c r="M3" i="1"/>
  <c r="L3" i="1"/>
  <c r="M3" i="7"/>
  <c r="L3" i="7"/>
  <c r="M3" i="6"/>
  <c r="L3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2" i="6"/>
  <c r="I2" i="7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L4" i="5" l="1"/>
  <c r="L5" i="5" s="1"/>
  <c r="L4" i="4"/>
  <c r="L5" i="4" s="1"/>
  <c r="M4" i="2"/>
  <c r="M5" i="2" s="1"/>
  <c r="L4" i="2"/>
  <c r="L5" i="2" s="1"/>
  <c r="M4" i="1"/>
  <c r="M5" i="1" s="1"/>
  <c r="L4" i="1"/>
  <c r="L5" i="1" s="1"/>
  <c r="M4" i="7"/>
  <c r="M5" i="7" s="1"/>
  <c r="L4" i="7"/>
  <c r="L5" i="7" s="1"/>
  <c r="M4" i="6"/>
  <c r="M5" i="6" s="1"/>
  <c r="L4" i="6"/>
  <c r="L5" i="6" s="1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87" i="1" l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<sst xmlns="http://schemas.openxmlformats.org/spreadsheetml/2006/main" count="850" uniqueCount="618">
  <si>
    <t>All values</t>
  </si>
  <si>
    <t>0-500 s</t>
  </si>
  <si>
    <t>Tau:</t>
  </si>
  <si>
    <t>s</t>
  </si>
  <si>
    <t>min</t>
  </si>
  <si>
    <t>h</t>
  </si>
  <si>
    <t>0-1000 s</t>
  </si>
  <si>
    <t>Tue Nov 23 13:36:44 2021</t>
  </si>
  <si>
    <t>Tue Nov 23 13:36:55 2021</t>
  </si>
  <si>
    <t>Tue Nov 23 13:37:05 2021</t>
  </si>
  <si>
    <t>Tue Nov 23 13:37:15 2021</t>
  </si>
  <si>
    <t>Tue Nov 23 13:37:25 2021</t>
  </si>
  <si>
    <t>Tue Nov 23 13:37:35 2021</t>
  </si>
  <si>
    <t>Tue Nov 23 13:37:45 2021</t>
  </si>
  <si>
    <t>Tue Nov 23 13:37:55 2021</t>
  </si>
  <si>
    <t>Tue Nov 23 13:38:05 2021</t>
  </si>
  <si>
    <t>Tue Nov 23 13:38:15 2021</t>
  </si>
  <si>
    <t>Tue Nov 23 13:38:25 2021</t>
  </si>
  <si>
    <t>Tue Nov 23 13:38:36 2021</t>
  </si>
  <si>
    <t>Tue Nov 23 13:38:45 2021</t>
  </si>
  <si>
    <t>Tue Nov 23 13:38:55 2021</t>
  </si>
  <si>
    <t>Tue Nov 23 13:39:05 2021</t>
  </si>
  <si>
    <t>Tue Nov 23 13:39:15 2021</t>
  </si>
  <si>
    <t>Tue Nov 23 13:39:25 2021</t>
  </si>
  <si>
    <t>Tue Nov 23 13:39:36 2021</t>
  </si>
  <si>
    <t>Tue Nov 23 13:39:45 2021</t>
  </si>
  <si>
    <t>Tue Nov 23 13:39:55 2021</t>
  </si>
  <si>
    <t>Tue Nov 23 13:40:05 2021</t>
  </si>
  <si>
    <t>Tue Nov 23 13:40:15 2021</t>
  </si>
  <si>
    <t>Tue Nov 23 13:40:25 2021</t>
  </si>
  <si>
    <t>Tue Nov 23 13:40:35 2021</t>
  </si>
  <si>
    <t>Tue Nov 23 13:40:45 2021</t>
  </si>
  <si>
    <t>Tue Nov 23 13:40:55 2021</t>
  </si>
  <si>
    <t>Tue Nov 23 13:41:05 2021</t>
  </si>
  <si>
    <t>Tue Nov 23 13:41:15 2021</t>
  </si>
  <si>
    <t>Tue Nov 23 13:41:25 2021</t>
  </si>
  <si>
    <t>Tue Nov 23 13:41:36 2021</t>
  </si>
  <si>
    <t>Tue Nov 23 13:41:45 2021</t>
  </si>
  <si>
    <t>Tue Nov 23 13:41:56 2021</t>
  </si>
  <si>
    <t>Tue Nov 23 13:42:05 2021</t>
  </si>
  <si>
    <t>Tue Nov 23 13:42:15 2021</t>
  </si>
  <si>
    <t>Tue Nov 23 13:42:25 2021</t>
  </si>
  <si>
    <t>Tue Nov 23 13:42:36 2021</t>
  </si>
  <si>
    <t>Tue Nov 23 13:42:45 2021</t>
  </si>
  <si>
    <t>Tue Nov 23 13:42:56 2021</t>
  </si>
  <si>
    <t>Tue Nov 23 13:43:06 2021</t>
  </si>
  <si>
    <t>Tue Nov 23 13:43:15 2021</t>
  </si>
  <si>
    <t>Tue Nov 23 13:43:26 2021</t>
  </si>
  <si>
    <t>Tue Nov 23 13:43:35 2021</t>
  </si>
  <si>
    <t>Tue Nov 23 13:43:45 2021</t>
  </si>
  <si>
    <t>Tue Nov 23 13:43:56 2021</t>
  </si>
  <si>
    <t>Tue Nov 23 13:44:06 2021</t>
  </si>
  <si>
    <t>Tue Nov 23 13:44:15 2021</t>
  </si>
  <si>
    <t>Tue Nov 23 13:44:26 2021</t>
  </si>
  <si>
    <t>Tue Nov 23 13:44:36 2021</t>
  </si>
  <si>
    <t>Tue Nov 23 13:44:46 2021</t>
  </si>
  <si>
    <t>Tue Nov 23 13:44:56 2021</t>
  </si>
  <si>
    <t>Tue Nov 23 13:45:06 2021</t>
  </si>
  <si>
    <t>Tue Nov 23 13:45:16 2021</t>
  </si>
  <si>
    <t>Tue Nov 23 13:45:26 2021</t>
  </si>
  <si>
    <t>Tue Nov 23 13:45:36 2021</t>
  </si>
  <si>
    <t>Tue Nov 23 13:45:46 2021</t>
  </si>
  <si>
    <t>Tue Nov 23 13:45:56 2021</t>
  </si>
  <si>
    <t>Tue Nov 23 13:46:07 2021</t>
  </si>
  <si>
    <t>Tue Nov 23 13:46:16 2021</t>
  </si>
  <si>
    <t>Tue Nov 23 13:46:26 2021</t>
  </si>
  <si>
    <t>Tue Nov 23 13:46:35 2021</t>
  </si>
  <si>
    <t>Tue Nov 23 13:46:46 2021</t>
  </si>
  <si>
    <t>Tue Nov 23 13:46:56 2021</t>
  </si>
  <si>
    <t>Tue Nov 23 13:47:06 2021</t>
  </si>
  <si>
    <t>Tue Nov 23 13:47:16 2021</t>
  </si>
  <si>
    <t>Tue Nov 23 13:47:26 2021</t>
  </si>
  <si>
    <t>Tue Nov 23 13:47:36 2021</t>
  </si>
  <si>
    <t>Tue Nov 23 13:47:46 2021</t>
  </si>
  <si>
    <t>Tue Nov 23 13:47:56 2021</t>
  </si>
  <si>
    <t>Tue Nov 23 13:48:06 2021</t>
  </si>
  <si>
    <t>Tue Nov 23 13:48:17 2021</t>
  </si>
  <si>
    <t>Tue Nov 23 13:48:27 2021</t>
  </si>
  <si>
    <t>Tue Nov 23 13:48:37 2021</t>
  </si>
  <si>
    <t>Tue Nov 23 13:48:46 2021</t>
  </si>
  <si>
    <t>Tue Nov 23 13:48:56 2021</t>
  </si>
  <si>
    <t>Tue Nov 23 13:49:06 2021</t>
  </si>
  <si>
    <t>Tue Nov 23 13:49:16 2021</t>
  </si>
  <si>
    <t>Tue Nov 23 13:49:26 2021</t>
  </si>
  <si>
    <t>Tue Nov 23 13:49:37 2021</t>
  </si>
  <si>
    <t>Tue Nov 23 13:49:46 2021</t>
  </si>
  <si>
    <t>Tue Nov 23 13:49:57 2021</t>
  </si>
  <si>
    <t>Tue Nov 23 13:50:07 2021</t>
  </si>
  <si>
    <t>Tue Nov 23 13:50:16 2021</t>
  </si>
  <si>
    <t>Tue Nov 23 13:50:26 2021</t>
  </si>
  <si>
    <t>Tue Nov 23 13:50:37 2021</t>
  </si>
  <si>
    <t>Tue Nov 23 13:50:47 2021</t>
  </si>
  <si>
    <t>Tue Nov 23 13:50:57 2021</t>
  </si>
  <si>
    <t>Tue Nov 23 13:51:07 2021</t>
  </si>
  <si>
    <t>Tue Nov 23 13:51:17 2021</t>
  </si>
  <si>
    <t>Tue Nov 23 13:51:27 2021</t>
  </si>
  <si>
    <t>Tue Nov 23 13:51:36 2021</t>
  </si>
  <si>
    <t>Tue Nov 23 13:51:47 2021</t>
  </si>
  <si>
    <t>Tue Nov 23 13:51:57 2021</t>
  </si>
  <si>
    <t>Tue Nov 23 13:52:06 2021</t>
  </si>
  <si>
    <t>Tue Nov 23 13:52:17 2021</t>
  </si>
  <si>
    <t>Tue Nov 23 13:52:26 2021</t>
  </si>
  <si>
    <t>Tue Nov 23 13:52:37 2021</t>
  </si>
  <si>
    <t>Tue Nov 23 13:52:47 2021</t>
  </si>
  <si>
    <t>Tue Nov 23 13:52:57 2021</t>
  </si>
  <si>
    <t>Tue Nov 23 13:53:07 2021</t>
  </si>
  <si>
    <t>Tue Nov 23 13:53:17 2021</t>
  </si>
  <si>
    <t>Tue Nov 23 13:53:27 2021</t>
  </si>
  <si>
    <t>Tue Nov 23 13:53:37 2021</t>
  </si>
  <si>
    <t>Tue Nov 23 13:53:47 2021</t>
  </si>
  <si>
    <t>Tue Nov 23 13:53:57 2021</t>
  </si>
  <si>
    <t>Tue Nov 23 13:54:07 2021</t>
  </si>
  <si>
    <t>Tue Nov 23 13:54:17 2021</t>
  </si>
  <si>
    <t>Tue Nov 23 13:54:28 2021</t>
  </si>
  <si>
    <t>Tue Nov 23 13:54:37 2021</t>
  </si>
  <si>
    <t>Tue Nov 23 13:54:47 2021</t>
  </si>
  <si>
    <t>Tue Nov 23 13:54:58 2021</t>
  </si>
  <si>
    <t>Tue Nov 23 13:55:08 2021</t>
  </si>
  <si>
    <t>Tue Nov 23 13:55:17 2021</t>
  </si>
  <si>
    <t>Tue Nov 23 13:55:27 2021</t>
  </si>
  <si>
    <t>Tue Nov 23 13:55:38 2021</t>
  </si>
  <si>
    <t>Tue Nov 23 13:55:47 2021</t>
  </si>
  <si>
    <t>Tue Nov 23 13:55:57 2021</t>
  </si>
  <si>
    <t>Tue Nov 23 13:56:07 2021</t>
  </si>
  <si>
    <t>Tue Nov 23 13:56:17 2021</t>
  </si>
  <si>
    <t>Tue Nov 23 13:57:17 2021</t>
  </si>
  <si>
    <t>Tue Nov 23 13:57:28 2021</t>
  </si>
  <si>
    <t>Tue Nov 23 13:57:38 2021</t>
  </si>
  <si>
    <t>Tue Nov 23 13:57:48 2021</t>
  </si>
  <si>
    <t>Tue Nov 23 13:57:57 2021</t>
  </si>
  <si>
    <t>Tue Nov 23 13:58:08 2021</t>
  </si>
  <si>
    <t>Tue Nov 23 13:58:18 2021</t>
  </si>
  <si>
    <t>Tue Nov 23 13:58:28 2021</t>
  </si>
  <si>
    <t>Tue Nov 23 13:58:37 2021</t>
  </si>
  <si>
    <t>Tue Nov 23 13:58:48 2021</t>
  </si>
  <si>
    <t>Tue Nov 23 13:58:57 2021</t>
  </si>
  <si>
    <t>Tue Nov 23 13:59:08 2021</t>
  </si>
  <si>
    <t>Tue Nov 23 13:59:18 2021</t>
  </si>
  <si>
    <t>Tue Nov 23 13:59:28 2021</t>
  </si>
  <si>
    <t>Tue Nov 23 13:59:38 2021</t>
  </si>
  <si>
    <t>Tue Nov 23 13:59:48 2021</t>
  </si>
  <si>
    <t>Tue Nov 23 13:59:58 2021</t>
  </si>
  <si>
    <t>Tue Nov 23 14:00:08 2021</t>
  </si>
  <si>
    <t>Tue Nov 23 14:00:18 2021</t>
  </si>
  <si>
    <t>Tue Nov 23 14:00:28 2021</t>
  </si>
  <si>
    <t>Tue Nov 23 14:00:38 2021</t>
  </si>
  <si>
    <t>Tue Nov 23 14:00:48 2021</t>
  </si>
  <si>
    <t>Tue Nov 23 14:00:58 2021</t>
  </si>
  <si>
    <t>Tue Nov 23 14:01:08 2021</t>
  </si>
  <si>
    <t>Tue Nov 23 14:01:18 2021</t>
  </si>
  <si>
    <t>Tue Nov 23 14:01:28 2021</t>
  </si>
  <si>
    <t>Tue Nov 23 14:01:38 2021</t>
  </si>
  <si>
    <t>Tue Nov 23 14:01:48 2021</t>
  </si>
  <si>
    <t>Tue Nov 23 14:01:58 2021</t>
  </si>
  <si>
    <t>Tue Nov 23 14:02:09 2021</t>
  </si>
  <si>
    <t>Tue Nov 23 14:02:18 2021</t>
  </si>
  <si>
    <t>Tue Nov 23 14:02:29 2021</t>
  </si>
  <si>
    <t>Tue Nov 23 14:02:38 2021</t>
  </si>
  <si>
    <t>Tue Nov 23 14:02:48 2021</t>
  </si>
  <si>
    <t>Tue Nov 23 14:02:58 2021</t>
  </si>
  <si>
    <t>Tue Nov 23 14:03:09 2021</t>
  </si>
  <si>
    <t>Tue Nov 23 14:03:19 2021</t>
  </si>
  <si>
    <t>Tue Nov 23 14:03:29 2021</t>
  </si>
  <si>
    <t>Tue Nov 23 14:03:38 2021</t>
  </si>
  <si>
    <t>Tue Nov 23 14:03:48 2021</t>
  </si>
  <si>
    <t>Tue Nov 23 14:03:59 2021</t>
  </si>
  <si>
    <t>Tue Nov 23 14:04:08 2021</t>
  </si>
  <si>
    <t>Tue Nov 23 14:04:19 2021</t>
  </si>
  <si>
    <t>Tue Nov 23 14:04:29 2021</t>
  </si>
  <si>
    <t>Tue Nov 23 14:04:39 2021</t>
  </si>
  <si>
    <t>Tue Nov 23 14:04:49 2021</t>
  </si>
  <si>
    <t>Tue Nov 23 14:04:59 2021</t>
  </si>
  <si>
    <t>Tue Nov 23 14:05:08 2021</t>
  </si>
  <si>
    <t>Tue Nov 23 14:05:19 2021</t>
  </si>
  <si>
    <t>Tue Nov 23 14:05:29 2021</t>
  </si>
  <si>
    <t>Tue Nov 23 14:05:39 2021</t>
  </si>
  <si>
    <t>Tue Nov 23 14:05:49 2021</t>
  </si>
  <si>
    <t>Tue Nov 23 14:05:59 2021</t>
  </si>
  <si>
    <t>Tue Nov 23 14:06:09 2021</t>
  </si>
  <si>
    <t>Tue Nov 23 14:06:19 2021</t>
  </si>
  <si>
    <t>Tue Nov 23 14:06:29 2021</t>
  </si>
  <si>
    <t>Tue Nov 23 14:06:39 2021</t>
  </si>
  <si>
    <t>Tue Nov 23 14:06:49 2021</t>
  </si>
  <si>
    <t>Tue Nov 23 14:06:59 2021</t>
  </si>
  <si>
    <t>Tue Nov 23 14:07:09 2021</t>
  </si>
  <si>
    <t>Tue Nov 23 14:07:19 2021</t>
  </si>
  <si>
    <t>Tue Nov 23 14:07:29 2021</t>
  </si>
  <si>
    <t>Tue Nov 23 14:07:39 2021</t>
  </si>
  <si>
    <t>Tue Nov 23 14:07:49 2021</t>
  </si>
  <si>
    <t>Tue Nov 23 14:07:59 2021</t>
  </si>
  <si>
    <t>Tue Nov 23 14:08:09 2021</t>
  </si>
  <si>
    <t>Tue Nov 23 14:08:19 2021</t>
  </si>
  <si>
    <t>Tue Nov 23 14:08:29 2021</t>
  </si>
  <si>
    <t>Tue Nov 23 14:08:40 2021</t>
  </si>
  <si>
    <t>Tue Nov 23 14:08:49 2021</t>
  </si>
  <si>
    <t>Tue Nov 23 14:08:59 2021</t>
  </si>
  <si>
    <t>Tue Nov 23 14:09:09 2021</t>
  </si>
  <si>
    <t>Tue Nov 23 14:09:19 2021</t>
  </si>
  <si>
    <t>Tue Nov 23 14:09:30 2021</t>
  </si>
  <si>
    <t>Tue Nov 23 14:09:40 2021</t>
  </si>
  <si>
    <t>Tue Nov 23 14:09:50 2021</t>
  </si>
  <si>
    <t>Tue Nov 23 14:10:00 2021</t>
  </si>
  <si>
    <t>Tue Nov 23 14:10:10 2021</t>
  </si>
  <si>
    <t>Tue Nov 23 14:10:20 2021</t>
  </si>
  <si>
    <t>Tue Nov 23 14:10:30 2021</t>
  </si>
  <si>
    <t>Tue Nov 23 14:10:39 2021</t>
  </si>
  <si>
    <t>Tue Nov 23 14:10:50 2021</t>
  </si>
  <si>
    <t>Tue Nov 23 14:11:00 2021</t>
  </si>
  <si>
    <t>Tue Nov 23 14:11:10 2021</t>
  </si>
  <si>
    <t>Tue Nov 23 14:11:20 2021</t>
  </si>
  <si>
    <t>Tue Nov 23 14:11:30 2021</t>
  </si>
  <si>
    <t>Tue Nov 23 14:11:40 2021</t>
  </si>
  <si>
    <t>Tue Nov 23 14:11:49 2021</t>
  </si>
  <si>
    <t>Tue Nov 23 14:12:00 2021</t>
  </si>
  <si>
    <t>Tue Nov 23 14:12:10 2021</t>
  </si>
  <si>
    <t>Tue Nov 23 14:12:20 2021</t>
  </si>
  <si>
    <t>Tue Nov 23 14:12:29 2021</t>
  </si>
  <si>
    <t>Tue Nov 23 14:12:40 2021</t>
  </si>
  <si>
    <t>Tue Nov 23 14:12:50 2021</t>
  </si>
  <si>
    <t>Tue Nov 23 14:13:00 2021</t>
  </si>
  <si>
    <t>Tue Nov 23 14:13:09 2021</t>
  </si>
  <si>
    <t>Tue Nov 23 14:13:20 2021</t>
  </si>
  <si>
    <t>Tue Nov 23 14:13:29 2021</t>
  </si>
  <si>
    <t>Tue Nov 23 14:13:40 2021</t>
  </si>
  <si>
    <t>Tue Nov 23 14:13:50 2021</t>
  </si>
  <si>
    <t>Tue Nov 23 14:14:00 2021</t>
  </si>
  <si>
    <t>Tue Nov 23 14:14:10 2021</t>
  </si>
  <si>
    <t>Tue Nov 23 14:14:20 2021</t>
  </si>
  <si>
    <t>Tue Nov 23 14:14:30 2021</t>
  </si>
  <si>
    <t>Tue Nov 23 14:14:40 2021</t>
  </si>
  <si>
    <t>Tue Nov 23 14:14:51 2021</t>
  </si>
  <si>
    <t>Tue Nov 23 14:15:01 2021</t>
  </si>
  <si>
    <t>Tue Nov 23 14:15:10 2021</t>
  </si>
  <si>
    <t>Tue Nov 23 14:15:20 2021</t>
  </si>
  <si>
    <t>Tue Nov 23 14:15:30 2021</t>
  </si>
  <si>
    <t>Tue Nov 23 14:15:40 2021</t>
  </si>
  <si>
    <t>Tue Nov 23 14:15:50 2021</t>
  </si>
  <si>
    <t>Tue Nov 23 14:16:00 2021</t>
  </si>
  <si>
    <t>Tue Nov 23 14:16:10 2021</t>
  </si>
  <si>
    <t>Tue Nov 23 14:16:21 2021</t>
  </si>
  <si>
    <t>Tue Nov 23 14:16:31 2021</t>
  </si>
  <si>
    <t>Tue Nov 23 14:16:41 2021</t>
  </si>
  <si>
    <t>Tue Nov 23 14:16:50 2021</t>
  </si>
  <si>
    <t>Tue Nov 23 14:17:00 2021</t>
  </si>
  <si>
    <t>Tue Nov 23 14:17:10 2021</t>
  </si>
  <si>
    <t>Tue Nov 23 14:17:21 2021</t>
  </si>
  <si>
    <t>Tue Nov 23 14:17:30 2021</t>
  </si>
  <si>
    <t>Tue Nov 23 14:17:40 2021</t>
  </si>
  <si>
    <t>Tue Nov 23 14:17:51 2021</t>
  </si>
  <si>
    <t>Tue Nov 23 14:18:01 2021</t>
  </si>
  <si>
    <t>Tue Nov 23 14:18:10 2021</t>
  </si>
  <si>
    <t>Tue Nov 23 14:18:21 2021</t>
  </si>
  <si>
    <t>Tue Nov 23 14:18:31 2021</t>
  </si>
  <si>
    <t>Tue Nov 23 14:18:41 2021</t>
  </si>
  <si>
    <t>Tue Nov 23 14:18:51 2021</t>
  </si>
  <si>
    <t>Tue Nov 23 14:19:01 2021</t>
  </si>
  <si>
    <t>Tue Nov 23 14:19:11 2021</t>
  </si>
  <si>
    <t>Tue Nov 23 14:19:21 2021</t>
  </si>
  <si>
    <t>Tue Nov 23 14:19:31 2021</t>
  </si>
  <si>
    <t>Tue Nov 23 14:19:41 2021</t>
  </si>
  <si>
    <t>Tue Nov 23 14:19:51 2021</t>
  </si>
  <si>
    <t>Tue Nov 23 14:20:01 2021</t>
  </si>
  <si>
    <t>Tue Nov 23 14:20:11 2021</t>
  </si>
  <si>
    <t>Tue Nov 23 14:20:21 2021</t>
  </si>
  <si>
    <t>Tue Nov 23 14:20:31 2021</t>
  </si>
  <si>
    <t>Tue Nov 23 14:20:41 2021</t>
  </si>
  <si>
    <t>Tue Nov 23 14:20:51 2021</t>
  </si>
  <si>
    <t>Tue Nov 23 14:21:01 2021</t>
  </si>
  <si>
    <t>Tue Nov 23 14:21:11 2021</t>
  </si>
  <si>
    <t>Tue Nov 23 14:21:21 2021</t>
  </si>
  <si>
    <t>Tue Nov 23 14:21:31 2021</t>
  </si>
  <si>
    <t>Tue Nov 23 14:21:41 2021</t>
  </si>
  <si>
    <t>Tue Nov 23 14:21:51 2021</t>
  </si>
  <si>
    <t>Tue Nov 23 14:22:01 2021</t>
  </si>
  <si>
    <t>Tue Nov 23 14:22:11 2021</t>
  </si>
  <si>
    <t>Tue Nov 23 14:22:22 2021</t>
  </si>
  <si>
    <t>Tue Nov 23 14:22:31 2021</t>
  </si>
  <si>
    <t>Tue Nov 23 14:22:41 2021</t>
  </si>
  <si>
    <t>Tue Nov 23 14:22:52 2021</t>
  </si>
  <si>
    <t>Tue Nov 23 14:23:01 2021</t>
  </si>
  <si>
    <t>Tue Nov 23 14:23:11 2021</t>
  </si>
  <si>
    <t>Tue Nov 23 14:23:21 2021</t>
  </si>
  <si>
    <t>Tue Nov 23 14:23:31 2021</t>
  </si>
  <si>
    <t>Tue Nov 23 14:23:41 2021</t>
  </si>
  <si>
    <t>Tue Nov 23 14:23:52 2021</t>
  </si>
  <si>
    <t>Tue Nov 23 14:24:02 2021</t>
  </si>
  <si>
    <t>Tue Nov 23 14:24:11 2021</t>
  </si>
  <si>
    <t>Tue Nov 23 14:24:22 2021</t>
  </si>
  <si>
    <t>Tue Nov 23 14:24:32 2021</t>
  </si>
  <si>
    <t>Tue Nov 23 14:24:42 2021</t>
  </si>
  <si>
    <t>Tue Nov 23 14:24:52 2021</t>
  </si>
  <si>
    <t>Tue Nov 23 14:25:02 2021</t>
  </si>
  <si>
    <t>Tue Nov 23 14:25:12 2021</t>
  </si>
  <si>
    <t>Tue Nov 23 14:25:21 2021</t>
  </si>
  <si>
    <t>Tue Nov 23 14:25:32 2021</t>
  </si>
  <si>
    <t>Tue Nov 23 14:25:42 2021</t>
  </si>
  <si>
    <t>Tue Nov 23 14:25:52 2021</t>
  </si>
  <si>
    <t>Tue Nov 23 14:26:02 2021</t>
  </si>
  <si>
    <t>Tue Nov 23 14:26:12 2021</t>
  </si>
  <si>
    <t>Tue Nov 23 14:26:22 2021</t>
  </si>
  <si>
    <t>Tue Nov 23 14:26:32 2021</t>
  </si>
  <si>
    <t>Tue Nov 23 14:26:42 2021</t>
  </si>
  <si>
    <t>Tue Nov 23 14:26:52 2021</t>
  </si>
  <si>
    <t>Tue Nov 23 14:27:02 2021</t>
  </si>
  <si>
    <t>Tue Nov 23 14:27:12 2021</t>
  </si>
  <si>
    <t>Tue Nov 23 14:27:22 2021</t>
  </si>
  <si>
    <t>Tue Nov 23 14:27:32 2021</t>
  </si>
  <si>
    <t>Tue Nov 23 14:27:42 2021</t>
  </si>
  <si>
    <t>Tue Nov 23 14:27:52 2021</t>
  </si>
  <si>
    <t>Tue Nov 23 14:28:02 2021</t>
  </si>
  <si>
    <t>Tue Nov 23 14:28:12 2021</t>
  </si>
  <si>
    <t>Tue Nov 23 14:28:42 2021</t>
  </si>
  <si>
    <t>Tue Nov 23 14:28:52 2021</t>
  </si>
  <si>
    <t>Tue Nov 23 14:29:02 2021</t>
  </si>
  <si>
    <t>Tue Nov 23 14:29:13 2021</t>
  </si>
  <si>
    <t>Tue Nov 23 14:29:22 2021</t>
  </si>
  <si>
    <t>Tue Nov 23 14:29:33 2021</t>
  </si>
  <si>
    <t>Tue Nov 23 14:29:42 2021</t>
  </si>
  <si>
    <t>Tue Nov 23 14:29:53 2021</t>
  </si>
  <si>
    <t>Tue Nov 23 14:30:02 2021</t>
  </si>
  <si>
    <t>Tue Nov 23 14:30:12 2021</t>
  </si>
  <si>
    <t>Tue Nov 23 14:30:22 2021</t>
  </si>
  <si>
    <t>Tue Nov 23 14:30:32 2021</t>
  </si>
  <si>
    <t>Tue Nov 23 14:30:43 2021</t>
  </si>
  <si>
    <t>Tue Nov 23 14:30:53 2021</t>
  </si>
  <si>
    <t>Tue Nov 23 14:31:02 2021</t>
  </si>
  <si>
    <t>Tue Nov 23 14:31:12 2021</t>
  </si>
  <si>
    <t>Tue Nov 23 14:31:23 2021</t>
  </si>
  <si>
    <t>Tue Nov 23 14:31:33 2021</t>
  </si>
  <si>
    <t>Tue Nov 23 14:31:43 2021</t>
  </si>
  <si>
    <t>Tue Nov 23 14:31:53 2021</t>
  </si>
  <si>
    <t>Tue Nov 23 14:32:02 2021</t>
  </si>
  <si>
    <t>Tue Nov 23 14:32:13 2021</t>
  </si>
  <si>
    <t>Tue Nov 23 14:32:22 2021</t>
  </si>
  <si>
    <t>Tue Nov 23 14:32:32 2021</t>
  </si>
  <si>
    <t>Tue Nov 23 14:32:42 2021</t>
  </si>
  <si>
    <t>Tue Nov 23 14:32:53 2021</t>
  </si>
  <si>
    <t>Tue Nov 23 14:33:03 2021</t>
  </si>
  <si>
    <t>Tue Nov 23 14:33:13 2021</t>
  </si>
  <si>
    <t>Tue Nov 23 14:33:23 2021</t>
  </si>
  <si>
    <t>Tue Nov 23 14:33:33 2021</t>
  </si>
  <si>
    <t>Tue Nov 23 14:33:43 2021</t>
  </si>
  <si>
    <t>Tue Nov 23 14:33:53 2021</t>
  </si>
  <si>
    <t>Tue Nov 23 14:34:04 2021</t>
  </si>
  <si>
    <t>Tue Nov 23 14:34:13 2021</t>
  </si>
  <si>
    <t>Tue Nov 23 14:34:23 2021</t>
  </si>
  <si>
    <t>Tue Nov 23 14:34:32 2021</t>
  </si>
  <si>
    <t>Tue Nov 23 14:34:43 2021</t>
  </si>
  <si>
    <t>Tue Nov 23 14:34:52 2021</t>
  </si>
  <si>
    <t>Tue Nov 23 14:35:03 2021</t>
  </si>
  <si>
    <t>Tue Nov 23 14:35:13 2021</t>
  </si>
  <si>
    <t>Tue Nov 23 14:35:23 2021</t>
  </si>
  <si>
    <t>Tue Nov 23 14:35:33 2021</t>
  </si>
  <si>
    <t>Tue Nov 23 14:35:43 2021</t>
  </si>
  <si>
    <t>Tue Nov 23 14:35:53 2021</t>
  </si>
  <si>
    <t>Tue Nov 23 14:36:03 2021</t>
  </si>
  <si>
    <t>Tue Nov 23 14:36:13 2021</t>
  </si>
  <si>
    <t>Tue Nov 23 14:36:24 2021</t>
  </si>
  <si>
    <t>Tue Nov 23 13:35:01 2021</t>
  </si>
  <si>
    <t>Tue Nov 23 13:35:11 2021</t>
  </si>
  <si>
    <t>Tue Nov 23 13:35:21 2021</t>
  </si>
  <si>
    <t>Tue Nov 23 13:35:31 2021</t>
  </si>
  <si>
    <t>Tue Nov 23 13:35:41 2021</t>
  </si>
  <si>
    <t>Tue Nov 23 13:35:51 2021</t>
  </si>
  <si>
    <t>Tue Nov 23 13:36:01 2021</t>
  </si>
  <si>
    <t>Tue Nov 23 13:36:04 2021</t>
  </si>
  <si>
    <t>Tue Nov 23 13:36:14 2021</t>
  </si>
  <si>
    <t>Tue Nov 23 13:36:24 2021</t>
  </si>
  <si>
    <t>Tue Nov 23 13:36:34 2021</t>
  </si>
  <si>
    <t>Tue Nov 23 13:36:54 2021</t>
  </si>
  <si>
    <t>Tue Nov 23 13:37:04 2021</t>
  </si>
  <si>
    <t>Tue Nov 23 13:37:14 2021</t>
  </si>
  <si>
    <t>Tue Nov 23 13:37:24 2021</t>
  </si>
  <si>
    <t>Tue Nov 23 13:37:34 2021</t>
  </si>
  <si>
    <t>Tue Nov 23 13:37:44 2021</t>
  </si>
  <si>
    <t>Tue Nov 23 13:37:54 2021</t>
  </si>
  <si>
    <t>Tue Nov 23 13:38:04 2021</t>
  </si>
  <si>
    <t>Tue Nov 23 13:38:35 2021</t>
  </si>
  <si>
    <t>Tue Nov 23 13:38:54 2021</t>
  </si>
  <si>
    <t>Tue Nov 23 13:39:04 2021</t>
  </si>
  <si>
    <t>Tue Nov 23 13:39:24 2021</t>
  </si>
  <si>
    <t>Tue Nov 23 13:39:35 2021</t>
  </si>
  <si>
    <t>Tue Nov 23 13:40:04 2021</t>
  </si>
  <si>
    <t>Tue Nov 23 13:40:14 2021</t>
  </si>
  <si>
    <t>Tue Nov 23 13:40:24 2021</t>
  </si>
  <si>
    <t>Tue Nov 23 13:41:34 2021</t>
  </si>
  <si>
    <t>Tue Nov 23 13:41:55 2021</t>
  </si>
  <si>
    <t>Tue Nov 23 13:42:35 2021</t>
  </si>
  <si>
    <t>Tue Nov 23 13:42:55 2021</t>
  </si>
  <si>
    <t>Tue Nov 23 13:43:05 2021</t>
  </si>
  <si>
    <t>Tue Nov 23 13:43:25 2021</t>
  </si>
  <si>
    <t>Tue Nov 23 13:43:55 2021</t>
  </si>
  <si>
    <t>Tue Nov 23 13:44:05 2021</t>
  </si>
  <si>
    <t>Tue Nov 23 13:44:25 2021</t>
  </si>
  <si>
    <t>Tue Nov 23 13:44:35 2021</t>
  </si>
  <si>
    <t>Tue Nov 23 13:44:45 2021</t>
  </si>
  <si>
    <t>Tue Nov 23 13:44:55 2021</t>
  </si>
  <si>
    <t>Tue Nov 23 13:45:05 2021</t>
  </si>
  <si>
    <t>Tue Nov 23 13:45:35 2021</t>
  </si>
  <si>
    <t>Tue Nov 23 13:45:45 2021</t>
  </si>
  <si>
    <t>Tue Nov 23 13:46:05 2021</t>
  </si>
  <si>
    <t>Tue Nov 23 13:46:15 2021</t>
  </si>
  <si>
    <t>Tue Nov 23 13:46:25 2021</t>
  </si>
  <si>
    <t>Tue Nov 23 13:46:36 2021</t>
  </si>
  <si>
    <t>Tue Nov 23 13:46:45 2021</t>
  </si>
  <si>
    <t>Tue Nov 23 13:47:05 2021</t>
  </si>
  <si>
    <t>Tue Nov 23 13:47:15 2021</t>
  </si>
  <si>
    <t>Tue Nov 23 13:47:25 2021</t>
  </si>
  <si>
    <t>Tue Nov 23 13:47:55 2021</t>
  </si>
  <si>
    <t>Tue Nov 23 13:48:15 2021</t>
  </si>
  <si>
    <t>Tue Nov 23 13:48:26 2021</t>
  </si>
  <si>
    <t>Tue Nov 23 13:48:36 2021</t>
  </si>
  <si>
    <t>Tue Nov 23 13:49:36 2021</t>
  </si>
  <si>
    <t>Tue Nov 23 13:49:56 2021</t>
  </si>
  <si>
    <t>Tue Nov 23 13:50:06 2021</t>
  </si>
  <si>
    <t>Tue Nov 23 13:50:36 2021</t>
  </si>
  <si>
    <t>Tue Nov 23 13:50:46 2021</t>
  </si>
  <si>
    <t>Tue Nov 23 13:50:56 2021</t>
  </si>
  <si>
    <t>Tue Nov 23 13:51:06 2021</t>
  </si>
  <si>
    <t>Tue Nov 23 13:51:26 2021</t>
  </si>
  <si>
    <t>Tue Nov 23 13:51:46 2021</t>
  </si>
  <si>
    <t>Tue Nov 23 13:52:16 2021</t>
  </si>
  <si>
    <t>Tue Nov 23 13:52:46 2021</t>
  </si>
  <si>
    <t>Tue Nov 23 13:52:56 2021</t>
  </si>
  <si>
    <t>Tue Nov 23 13:53:06 2021</t>
  </si>
  <si>
    <t>Tue Nov 23 13:53:16 2021</t>
  </si>
  <si>
    <t>Tue Nov 23 13:53:46 2021</t>
  </si>
  <si>
    <t>Tue Nov 23 13:53:56 2021</t>
  </si>
  <si>
    <t>Tue Nov 23 13:54:26 2021</t>
  </si>
  <si>
    <t>Tue Nov 23 13:54:36 2021</t>
  </si>
  <si>
    <t>Tue Nov 23 13:54:57 2021</t>
  </si>
  <si>
    <t>Tue Nov 23 13:55:07 2021</t>
  </si>
  <si>
    <t>Tue Nov 23 13:55:37 2021</t>
  </si>
  <si>
    <t>Tue Nov 23 13:56:27 2021</t>
  </si>
  <si>
    <t>Tue Nov 23 13:56:37 2021</t>
  </si>
  <si>
    <t>Tue Nov 23 13:56:47 2021</t>
  </si>
  <si>
    <t>Tue Nov 23 13:56:57 2021</t>
  </si>
  <si>
    <t>Tue Nov 23 13:57:07 2021</t>
  </si>
  <si>
    <t>Tue Nov 23 13:57:27 2021</t>
  </si>
  <si>
    <t>Tue Nov 23 13:57:37 2021</t>
  </si>
  <si>
    <t>Tue Nov 23 13:57:47 2021</t>
  </si>
  <si>
    <t>Tue Nov 23 13:58:07 2021</t>
  </si>
  <si>
    <t>Tue Nov 23 13:58:17 2021</t>
  </si>
  <si>
    <t>Tue Nov 23 13:58:47 2021</t>
  </si>
  <si>
    <t>Tue Nov 23 13:59:07 2021</t>
  </si>
  <si>
    <t>Tue Nov 23 13:59:17 2021</t>
  </si>
  <si>
    <t>Tue Nov 23 13:59:27 2021</t>
  </si>
  <si>
    <t>Tue Nov 23 14:00:07 2021</t>
  </si>
  <si>
    <t>Tue Nov 23 14:00:17 2021</t>
  </si>
  <si>
    <t>Tue Nov 23 14:00:37 2021</t>
  </si>
  <si>
    <t>Tue Nov 23 14:00:47 2021</t>
  </si>
  <si>
    <t>Tue Nov 23 14:01:07 2021</t>
  </si>
  <si>
    <t>Tue Nov 23 14:02:08 2021</t>
  </si>
  <si>
    <t>Tue Nov 23 14:02:28 2021</t>
  </si>
  <si>
    <t>Tue Nov 23 14:02:37 2021</t>
  </si>
  <si>
    <t>Tue Nov 23 14:03:08 2021</t>
  </si>
  <si>
    <t>Tue Nov 23 14:03:18 2021</t>
  </si>
  <si>
    <t>Tue Nov 23 14:03:28 2021</t>
  </si>
  <si>
    <t>Tue Nov 23 14:03:37 2021</t>
  </si>
  <si>
    <t>Tue Nov 23 14:03:58 2021</t>
  </si>
  <si>
    <t>Tue Nov 23 14:04:18 2021</t>
  </si>
  <si>
    <t>Tue Nov 23 14:04:28 2021</t>
  </si>
  <si>
    <t>Tue Nov 23 14:04:38 2021</t>
  </si>
  <si>
    <t>Tue Nov 23 14:04:48 2021</t>
  </si>
  <si>
    <t>Tue Nov 23 14:04:58 2021</t>
  </si>
  <si>
    <t>Tue Nov 23 14:05:18 2021</t>
  </si>
  <si>
    <t>Tue Nov 23 14:05:28 2021</t>
  </si>
  <si>
    <t>Tue Nov 23 14:05:38 2021</t>
  </si>
  <si>
    <t>Tue Nov 23 14:05:48 2021</t>
  </si>
  <si>
    <t>Tue Nov 23 14:05:58 2021</t>
  </si>
  <si>
    <t>Tue Nov 23 14:06:18 2021</t>
  </si>
  <si>
    <t>Tue Nov 23 14:06:28 2021</t>
  </si>
  <si>
    <t>Tue Nov 23 14:06:38 2021</t>
  </si>
  <si>
    <t>Tue Nov 23 14:06:48 2021</t>
  </si>
  <si>
    <t>Tue Nov 23 14:06:58 2021</t>
  </si>
  <si>
    <t>Tue Nov 23 14:07:28 2021</t>
  </si>
  <si>
    <t>Tue Nov 23 14:07:38 2021</t>
  </si>
  <si>
    <t>Tue Nov 23 14:08:18 2021</t>
  </si>
  <si>
    <t>Tue Nov 23 14:08:28 2021</t>
  </si>
  <si>
    <t>Tue Nov 23 14:08:39 2021</t>
  </si>
  <si>
    <t>Tue Nov 23 14:09:08 2021</t>
  </si>
  <si>
    <t>Tue Nov 23 14:09:28 2021</t>
  </si>
  <si>
    <t>Tue Nov 23 14:09:39 2021</t>
  </si>
  <si>
    <t>Tue Nov 23 14:09:49 2021</t>
  </si>
  <si>
    <t>Tue Nov 23 14:09:59 2021</t>
  </si>
  <si>
    <t>Tue Nov 23 14:10:09 2021</t>
  </si>
  <si>
    <t>Tue Nov 23 14:10:19 2021</t>
  </si>
  <si>
    <t>Tue Nov 23 14:10:29 2021</t>
  </si>
  <si>
    <t>Tue Nov 23 14:10:49 2021</t>
  </si>
  <si>
    <t>Tue Nov 23 14:10:59 2021</t>
  </si>
  <si>
    <t>Tue Nov 23 14:11:09 2021</t>
  </si>
  <si>
    <t>Tue Nov 23 14:11:19 2021</t>
  </si>
  <si>
    <t>Tue Nov 23 14:11:29 2021</t>
  </si>
  <si>
    <t>Tue Nov 23 14:11:39 2021</t>
  </si>
  <si>
    <t>Tue Nov 23 14:11:59 2021</t>
  </si>
  <si>
    <t>Tue Nov 23 14:12:09 2021</t>
  </si>
  <si>
    <t>Tue Nov 23 14:12:39 2021</t>
  </si>
  <si>
    <t>Tue Nov 23 14:12:49 2021</t>
  </si>
  <si>
    <t>Tue Nov 23 14:12:59 2021</t>
  </si>
  <si>
    <t>Tue Nov 23 14:13:19 2021</t>
  </si>
  <si>
    <t>Tue Nov 23 14:13:39 2021</t>
  </si>
  <si>
    <t>Tue Nov 23 14:13:49 2021</t>
  </si>
  <si>
    <t>Tue Nov 23 14:13:59 2021</t>
  </si>
  <si>
    <t>Tue Nov 23 14:14:09 2021</t>
  </si>
  <si>
    <t>Tue Nov 23 14:14:29 2021</t>
  </si>
  <si>
    <t>Tue Nov 23 14:14:39 2021</t>
  </si>
  <si>
    <t>Tue Nov 23 14:14:50 2021</t>
  </si>
  <si>
    <t>Tue Nov 23 14:15:00 2021</t>
  </si>
  <si>
    <t>Tue Nov 23 14:15:09 2021</t>
  </si>
  <si>
    <t>Tue Nov 23 14:15:29 2021</t>
  </si>
  <si>
    <t>Tue Nov 23 14:15:39 2021</t>
  </si>
  <si>
    <t>Tue Nov 23 14:16:19 2021</t>
  </si>
  <si>
    <t>Tue Nov 23 14:16:30 2021</t>
  </si>
  <si>
    <t>Tue Nov 23 14:16:40 2021</t>
  </si>
  <si>
    <t>Tue Nov 23 14:17:20 2021</t>
  </si>
  <si>
    <t>Tue Nov 23 14:17:50 2021</t>
  </si>
  <si>
    <t>Tue Nov 23 14:18:00 2021</t>
  </si>
  <si>
    <t>Tue Nov 23 14:18:20 2021</t>
  </si>
  <si>
    <t>Tue Nov 23 14:18:30 2021</t>
  </si>
  <si>
    <t>Tue Nov 23 14:18:40 2021</t>
  </si>
  <si>
    <t>Tue Nov 23 14:18:50 2021</t>
  </si>
  <si>
    <t>Tue Nov 23 14:19:00 2021</t>
  </si>
  <si>
    <t>Tue Nov 23 14:19:10 2021</t>
  </si>
  <si>
    <t>Tue Nov 23 14:19:20 2021</t>
  </si>
  <si>
    <t>Tue Nov 23 14:19:30 2021</t>
  </si>
  <si>
    <t>Tue Nov 23 14:19:40 2021</t>
  </si>
  <si>
    <t>Tue Nov 23 14:19:50 2021</t>
  </si>
  <si>
    <t>Tue Nov 23 14:20:00 2021</t>
  </si>
  <si>
    <t>Tue Nov 23 14:20:10 2021</t>
  </si>
  <si>
    <t>Tue Nov 23 14:20:30 2021</t>
  </si>
  <si>
    <t>Tue Nov 23 14:20:40 2021</t>
  </si>
  <si>
    <t>Tue Nov 23 14:20:50 2021</t>
  </si>
  <si>
    <t>Tue Nov 23 14:21:10 2021</t>
  </si>
  <si>
    <t>Tue Nov 23 14:21:30 2021</t>
  </si>
  <si>
    <t>Tue Nov 23 14:21:40 2021</t>
  </si>
  <si>
    <t>Tue Nov 23 14:22:00 2021</t>
  </si>
  <si>
    <t>Tue Nov 23 14:22:20 2021</t>
  </si>
  <si>
    <t>Tue Nov 23 14:22:30 2021</t>
  </si>
  <si>
    <t>Tue Nov 23 14:22:51 2021</t>
  </si>
  <si>
    <t>Tue Nov 23 14:23:51 2021</t>
  </si>
  <si>
    <t>Tue Nov 23 14:24:01 2021</t>
  </si>
  <si>
    <t>Tue Nov 23 14:24:10 2021</t>
  </si>
  <si>
    <t>Tue Nov 23 14:24:21 2021</t>
  </si>
  <si>
    <t>Tue Nov 23 14:24:31 2021</t>
  </si>
  <si>
    <t>Tue Nov 23 14:24:41 2021</t>
  </si>
  <si>
    <t>Tue Nov 23 14:24:51 2021</t>
  </si>
  <si>
    <t>Tue Nov 23 14:25:01 2021</t>
  </si>
  <si>
    <t>Tue Nov 23 14:25:11 2021</t>
  </si>
  <si>
    <t>Tue Nov 23 14:25:31 2021</t>
  </si>
  <si>
    <t>Tue Nov 23 14:25:41 2021</t>
  </si>
  <si>
    <t>Tue Nov 23 14:25:51 2021</t>
  </si>
  <si>
    <t>Tue Nov 23 14:26:01 2021</t>
  </si>
  <si>
    <t>Tue Nov 23 14:26:11 2021</t>
  </si>
  <si>
    <t>Tue Nov 23 14:26:21 2021</t>
  </si>
  <si>
    <t>Tue Nov 23 14:26:31 2021</t>
  </si>
  <si>
    <t>Tue Nov 23 14:26:41 2021</t>
  </si>
  <si>
    <t>Tue Nov 23 14:26:51 2021</t>
  </si>
  <si>
    <t>Tue Nov 23 14:27:01 2021</t>
  </si>
  <si>
    <t>Tue Nov 23 14:27:11 2021</t>
  </si>
  <si>
    <t>Tue Nov 23 14:27:21 2021</t>
  </si>
  <si>
    <t>Tue Nov 23 14:27:31 2021</t>
  </si>
  <si>
    <t>Tue Nov 23 14:27:41 2021</t>
  </si>
  <si>
    <t>Tue Nov 23 14:27:51 2021</t>
  </si>
  <si>
    <t>Tue Nov 23 14:28:21 2021</t>
  </si>
  <si>
    <t>Tue Nov 23 14:28:32 2021</t>
  </si>
  <si>
    <t>Tue Nov 23 14:28:51 2021</t>
  </si>
  <si>
    <t>Tue Nov 23 14:29:11 2021</t>
  </si>
  <si>
    <t>Tue Nov 23 14:29:31 2021</t>
  </si>
  <si>
    <t>Tue Nov 23 14:29:41 2021</t>
  </si>
  <si>
    <t>Tue Nov 23 14:29:52 2021</t>
  </si>
  <si>
    <t>Tue Nov 23 14:30:11 2021</t>
  </si>
  <si>
    <t>Tue Nov 23 14:30:31 2021</t>
  </si>
  <si>
    <t>Tue Nov 23 14:30:42 2021</t>
  </si>
  <si>
    <t>Tue Nov 23 14:30:52 2021</t>
  </si>
  <si>
    <t>Tue Nov 23 14:31:22 2021</t>
  </si>
  <si>
    <t>Tue Nov 23 14:31:31 2021</t>
  </si>
  <si>
    <t>Tue Nov 23 14:31:42 2021</t>
  </si>
  <si>
    <t>Tue Nov 23 14:31:52 2021</t>
  </si>
  <si>
    <t>Tue Nov 23 14:32:12 2021</t>
  </si>
  <si>
    <t>Tue Nov 23 14:32:52 2021</t>
  </si>
  <si>
    <t>Tue Nov 23 14:33:02 2021</t>
  </si>
  <si>
    <t>Tue Nov 23 14:33:12 2021</t>
  </si>
  <si>
    <t>Tue Nov 23 14:33:22 2021</t>
  </si>
  <si>
    <t>Tue Nov 23 14:33:32 2021</t>
  </si>
  <si>
    <t>Tue Nov 23 14:33:42 2021</t>
  </si>
  <si>
    <t>Tue Nov 23 14:33:52 2021</t>
  </si>
  <si>
    <t>Tue Nov 23 14:34:02 2021</t>
  </si>
  <si>
    <t>Tue Nov 23 14:34:12 2021</t>
  </si>
  <si>
    <t>Tue Nov 23 14:34:42 2021</t>
  </si>
  <si>
    <t>Tue Nov 23 14:35:02 2021</t>
  </si>
  <si>
    <t>Tue Nov 23 14:35:12 2021</t>
  </si>
  <si>
    <t>Tue Nov 23 14:35:22 2021</t>
  </si>
  <si>
    <t>Tue Nov 23 14:35:32 2021</t>
  </si>
  <si>
    <t>Tue Nov 23 14:35:42 2021</t>
  </si>
  <si>
    <t>Tue Nov 23 14:35:52 2021</t>
  </si>
  <si>
    <t>Tue Nov 23 14:36:02 2021</t>
  </si>
  <si>
    <t>Tue Nov 23 14:36:22 2021</t>
  </si>
  <si>
    <t>Freq</t>
  </si>
  <si>
    <t>Magnitude</t>
  </si>
  <si>
    <t>Phase</t>
  </si>
  <si>
    <t>Time (date)</t>
  </si>
  <si>
    <t>Magnitude - R</t>
  </si>
  <si>
    <t>Time[s]</t>
  </si>
  <si>
    <t>ln(Magnitude)</t>
  </si>
  <si>
    <t>Serie Resistor</t>
  </si>
  <si>
    <t>Baseline</t>
  </si>
  <si>
    <t>Bread Magnitude - Baseline</t>
  </si>
  <si>
    <t>-</t>
  </si>
  <si>
    <t>ln with baseline</t>
  </si>
  <si>
    <t>Cu_1stPhase</t>
  </si>
  <si>
    <t>PANI_1stPhase</t>
  </si>
  <si>
    <t>Summary</t>
  </si>
  <si>
    <t>PANI_3rdPhase</t>
  </si>
  <si>
    <t>Cu_3rdPhase</t>
  </si>
  <si>
    <t>PANI_2ndPhase</t>
  </si>
  <si>
    <t>Cu_2ndPhase</t>
  </si>
  <si>
    <t>Slope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</si>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</sst>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</c:numCache>
            </c:numRef>
          </c:xVal>
          <c:yVal>
            <c:numRef>
              <c:f>Cu_1stPhase!$I$2:$I$194</c:f>
              <c:numCache>
                <c:formatCode>General</c:formatCode>
                <c:ptCount val="193"/>
                <c:pt idx="0">
                  <c:v>7.652149146368517</c:v>
                </c:pt>
                <c:pt idx="1">
                  <c:v>7.6493307649151827</c:v>
                </c:pt>
                <c:pt idx="2">
                  <c:v>7.6508527809449713</c:v>
                </c:pt>
                <c:pt idx="3">
                  <c:v>7.6486898658797919</c:v>
                </c:pt>
                <c:pt idx="4">
                  <c:v>7.6464779431106091</c:v>
                </c:pt>
                <c:pt idx="5">
                  <c:v>7.6450141930922095</c:v>
                </c:pt>
                <c:pt idx="6">
                  <c:v>7.6425469670657558</c:v>
                </c:pt>
                <c:pt idx="7">
                  <c:v>7.6400628401061583</c:v>
                </c:pt>
                <c:pt idx="8">
                  <c:v>7.638838379432622</c:v>
                </c:pt>
                <c:pt idx="9">
                  <c:v>7.6372561657943958</c:v>
                </c:pt>
                <c:pt idx="10">
                  <c:v>7.6366234973152336</c:v>
                </c:pt>
                <c:pt idx="11">
                  <c:v>7.6349882229164132</c:v>
                </c:pt>
                <c:pt idx="12">
                  <c:v>7.6324703209128977</c:v>
                </c:pt>
                <c:pt idx="13">
                  <c:v>7.6307212498284658</c:v>
                </c:pt>
                <c:pt idx="14">
                  <c:v>7.6289232976840724</c:v>
                </c:pt>
                <c:pt idx="15">
                  <c:v>7.6272353037777334</c:v>
                </c:pt>
                <c:pt idx="16">
                  <c:v>7.6258526370085535</c:v>
                </c:pt>
                <c:pt idx="17">
                  <c:v>7.6239074112726843</c:v>
                </c:pt>
                <c:pt idx="18">
                  <c:v>7.6228966581004585</c:v>
                </c:pt>
                <c:pt idx="19">
                  <c:v>7.6211336175548769</c:v>
                </c:pt>
                <c:pt idx="20">
                  <c:v>7.6198250752318026</c:v>
                </c:pt>
                <c:pt idx="21">
                  <c:v>7.6187516109283759</c:v>
                </c:pt>
                <c:pt idx="22">
                  <c:v>7.6173339801554762</c:v>
                </c:pt>
                <c:pt idx="23">
                  <c:v>7.6165393895134015</c:v>
                </c:pt>
                <c:pt idx="24">
                  <c:v>7.6155620586221451</c:v>
                </c:pt>
                <c:pt idx="25">
                  <c:v>7.6135956678395278</c:v>
                </c:pt>
                <c:pt idx="26">
                  <c:v>7.6124383258386539</c:v>
                </c:pt>
                <c:pt idx="27">
                  <c:v>7.6116431552024055</c:v>
                </c:pt>
                <c:pt idx="28">
                  <c:v>7.6103179553172566</c:v>
                </c:pt>
                <c:pt idx="29">
                  <c:v>7.6093626038859874</c:v>
                </c:pt>
                <c:pt idx="30">
                  <c:v>7.60821876945543</c:v>
                </c:pt>
                <c:pt idx="31">
                  <c:v>7.6063838691299557</c:v>
                </c:pt>
                <c:pt idx="32">
                  <c:v>7.6056931508336172</c:v>
                </c:pt>
                <c:pt idx="33">
                  <c:v>7.6047265593430815</c:v>
                </c:pt>
                <c:pt idx="34">
                  <c:v>7.6034790323257297</c:v>
                </c:pt>
                <c:pt idx="35">
                  <c:v>7.6025113331106358</c:v>
                </c:pt>
                <c:pt idx="36">
                  <c:v>7.6015355600916301</c:v>
                </c:pt>
                <c:pt idx="37">
                  <c:v>7.6000006860665739</c:v>
                </c:pt>
                <c:pt idx="38">
                  <c:v>7.5991827201375974</c:v>
                </c:pt>
                <c:pt idx="39">
                  <c:v>7.5985157025022172</c:v>
                </c:pt>
                <c:pt idx="40">
                  <c:v>7.5975865429622509</c:v>
                </c:pt>
                <c:pt idx="41">
                  <c:v>7.5963774054097666</c:v>
                </c:pt>
                <c:pt idx="42">
                  <c:v>7.5956650130323897</c:v>
                </c:pt>
                <c:pt idx="43">
                  <c:v>7.5948360616021757</c:v>
                </c:pt>
                <c:pt idx="44">
                  <c:v>7.5959703335805733</c:v>
                </c:pt>
                <c:pt idx="45">
                  <c:v>7.5966849603823157</c:v>
                </c:pt>
                <c:pt idx="46">
                  <c:v>7.5953839032826638</c:v>
                </c:pt>
                <c:pt idx="47">
                  <c:v>7.5939368499136162</c:v>
                </c:pt>
                <c:pt idx="48">
                  <c:v>7.5928238336408382</c:v>
                </c:pt>
                <c:pt idx="49">
                  <c:v>7.5915110863229858</c:v>
                </c:pt>
                <c:pt idx="50">
                  <c:v>7.5905144005049099</c:v>
                </c:pt>
                <c:pt idx="51">
                  <c:v>7.5894959155650596</c:v>
                </c:pt>
                <c:pt idx="52">
                  <c:v>7.5881660552932679</c:v>
                </c:pt>
                <c:pt idx="53">
                  <c:v>7.5872978227186652</c:v>
                </c:pt>
                <c:pt idx="54">
                  <c:v>7.5861345863140528</c:v>
                </c:pt>
                <c:pt idx="55">
                  <c:v>7.5849295607948957</c:v>
                </c:pt>
                <c:pt idx="56">
                  <c:v>7.5846296592998286</c:v>
                </c:pt>
                <c:pt idx="57">
                  <c:v>7.5844417330895189</c:v>
                </c:pt>
                <c:pt idx="58">
                  <c:v>7.5833584687849269</c:v>
                </c:pt>
                <c:pt idx="59">
                  <c:v>7.5826290297671548</c:v>
                </c:pt>
                <c:pt idx="60">
                  <c:v>7.5815378871158563</c:v>
                </c:pt>
                <c:pt idx="61">
                  <c:v>7.5813221171887744</c:v>
                </c:pt>
                <c:pt idx="62">
                  <c:v>7.5801777032255924</c:v>
                </c:pt>
                <c:pt idx="63">
                  <c:v>7.5792293436423064</c:v>
                </c:pt>
                <c:pt idx="64">
                  <c:v>7.5786567258503785</c:v>
                </c:pt>
                <c:pt idx="65">
                  <c:v>7.5782760260453079</c:v>
                </c:pt>
                <c:pt idx="66">
                  <c:v>7.5771734953434198</c:v>
                </c:pt>
                <c:pt idx="67">
                  <c:v>7.5761391977686161</c:v>
                </c:pt>
                <c:pt idx="68">
                  <c:v>7.5759561768926815</c:v>
                </c:pt>
                <c:pt idx="69">
                  <c:v>7.5754775996740982</c:v>
                </c:pt>
                <c:pt idx="70">
                  <c:v>7.5754498645257105</c:v>
                </c:pt>
                <c:pt idx="71">
                  <c:v>7.5753464924309277</c:v>
                </c:pt>
                <c:pt idx="72">
                  <c:v>7.573772425852896</c:v>
                </c:pt>
                <c:pt idx="73">
                  <c:v>7.5726858854741463</c:v>
                </c:pt>
                <c:pt idx="74">
                  <c:v>7.5720221235402585</c:v>
                </c:pt>
                <c:pt idx="75">
                  <c:v>7.5708290832850347</c:v>
                </c:pt>
                <c:pt idx="76">
                  <c:v>7.5701773048408771</c:v>
                </c:pt>
                <c:pt idx="77">
                  <c:v>7.5698380658763691</c:v>
                </c:pt>
                <c:pt idx="78">
                  <c:v>7.5699200373693865</c:v>
                </c:pt>
                <c:pt idx="79">
                  <c:v>7.5702672412075485</c:v>
                </c:pt>
                <c:pt idx="80">
                  <c:v>7.5711006426298644</c:v>
                </c:pt>
                <c:pt idx="81">
                  <c:v>7.5710778161429086</c:v>
                </c:pt>
                <c:pt idx="82">
                  <c:v>7.5709312881030462</c:v>
                </c:pt>
                <c:pt idx="83">
                  <c:v>7.5697209515704502</c:v>
                </c:pt>
                <c:pt idx="84">
                  <c:v>7.568038850396948</c:v>
                </c:pt>
                <c:pt idx="85">
                  <c:v>7.5672445555956749</c:v>
                </c:pt>
                <c:pt idx="86">
                  <c:v>7.5659499195647317</c:v>
                </c:pt>
                <c:pt idx="87">
                  <c:v>7.5648681928318036</c:v>
                </c:pt>
                <c:pt idx="88">
                  <c:v>7.5642793752676809</c:v>
                </c:pt>
                <c:pt idx="89">
                  <c:v>7.5634887408704534</c:v>
                </c:pt>
                <c:pt idx="90">
                  <c:v>7.5628928342058037</c:v>
                </c:pt>
                <c:pt idx="91">
                  <c:v>7.5620417108338263</c:v>
                </c:pt>
                <c:pt idx="92">
                  <c:v>7.5616573611714841</c:v>
                </c:pt>
                <c:pt idx="93">
                  <c:v>7.5614697661625803</c:v>
                </c:pt>
                <c:pt idx="94">
                  <c:v>7.5611484549341883</c:v>
                </c:pt>
                <c:pt idx="95">
                  <c:v>7.5603861662071248</c:v>
                </c:pt>
                <c:pt idx="96">
                  <c:v>7.5599071354177863</c:v>
                </c:pt>
                <c:pt idx="97">
                  <c:v>7.5591224536712929</c:v>
                </c:pt>
                <c:pt idx="98">
                  <c:v>7.5586689213459604</c:v>
                </c:pt>
                <c:pt idx="99">
                  <c:v>7.5583819916613981</c:v>
                </c:pt>
                <c:pt idx="100">
                  <c:v>7.5577220470767434</c:v>
                </c:pt>
                <c:pt idx="101">
                  <c:v>7.5569042046892578</c:v>
                </c:pt>
                <c:pt idx="102">
                  <c:v>7.5558724686021694</c:v>
                </c:pt>
                <c:pt idx="103">
                  <c:v>7.556648475707199</c:v>
                </c:pt>
                <c:pt idx="104">
                  <c:v>7.5565649621472799</c:v>
                </c:pt>
                <c:pt idx="105">
                  <c:v>7.557850451743648</c:v>
                </c:pt>
                <c:pt idx="106">
                  <c:v>7.5578304429111709</c:v>
                </c:pt>
                <c:pt idx="107">
                  <c:v>7.5575583789014065</c:v>
                </c:pt>
                <c:pt idx="108">
                  <c:v>7.5577774891658072</c:v>
                </c:pt>
                <c:pt idx="109">
                  <c:v>7.5555427753669555</c:v>
                </c:pt>
                <c:pt idx="110">
                  <c:v>7.5540460722453471</c:v>
                </c:pt>
                <c:pt idx="111">
                  <c:v>7.5532894220621056</c:v>
                </c:pt>
                <c:pt idx="112">
                  <c:v>7.5528618620273615</c:v>
                </c:pt>
                <c:pt idx="113">
                  <c:v>7.5523656294558617</c:v>
                </c:pt>
                <c:pt idx="114">
                  <c:v>7.5524756329075728</c:v>
                </c:pt>
                <c:pt idx="115">
                  <c:v>7.5518491503030232</c:v>
                </c:pt>
                <c:pt idx="116">
                  <c:v>7.5520643875750899</c:v>
                </c:pt>
                <c:pt idx="117">
                  <c:v>7.552692656830355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</c:numCache>
            </c:numRef>
          </c:xVal>
          <c:yVal>
            <c:numRef>
              <c:f>Cu_1stPhase!$B$2:$B$197</c:f>
              <c:numCache>
                <c:formatCode>General</c:formatCode>
                <c:ptCount val="196"/>
                <c:pt idx="0">
                  <c:v>2105.165039</c:v>
                </c:pt>
                <c:pt idx="1">
                  <c:v>2099.2402339999999</c:v>
                </c:pt>
                <c:pt idx="2">
                  <c:v>2102.4377439999998</c:v>
                </c:pt>
                <c:pt idx="3">
                  <c:v>2097.8952640000002</c:v>
                </c:pt>
                <c:pt idx="4">
                  <c:v>2093.26001</c:v>
                </c:pt>
                <c:pt idx="5">
                  <c:v>2090.1982419999999</c:v>
                </c:pt>
                <c:pt idx="6">
                  <c:v>2085.047607</c:v>
                </c:pt>
                <c:pt idx="7">
                  <c:v>2079.8745119999999</c:v>
                </c:pt>
                <c:pt idx="8">
                  <c:v>2077.329346</c:v>
                </c:pt>
                <c:pt idx="9">
                  <c:v>2074.0451659999999</c:v>
                </c:pt>
                <c:pt idx="10">
                  <c:v>2072.7333979999999</c:v>
                </c:pt>
                <c:pt idx="11">
                  <c:v>2069.3466800000001</c:v>
                </c:pt>
                <c:pt idx="12">
                  <c:v>2064.1428219999998</c:v>
                </c:pt>
                <c:pt idx="13">
                  <c:v>2060.5356449999999</c:v>
                </c:pt>
                <c:pt idx="14">
                  <c:v>2056.8342290000001</c:v>
                </c:pt>
                <c:pt idx="15">
                  <c:v>2053.3652339999999</c:v>
                </c:pt>
                <c:pt idx="16">
                  <c:v>2050.5280760000001</c:v>
                </c:pt>
                <c:pt idx="17">
                  <c:v>2046.5432129999999</c:v>
                </c:pt>
                <c:pt idx="18">
                  <c:v>2044.4757079999999</c:v>
                </c:pt>
                <c:pt idx="19">
                  <c:v>2040.8743899999999</c:v>
                </c:pt>
                <c:pt idx="20">
                  <c:v>2038.2055660000001</c:v>
                </c:pt>
                <c:pt idx="21">
                  <c:v>2036.0187989999999</c:v>
                </c:pt>
                <c:pt idx="22">
                  <c:v>2033.1345209999999</c:v>
                </c:pt>
                <c:pt idx="23">
                  <c:v>2031.5196530000001</c:v>
                </c:pt>
                <c:pt idx="24">
                  <c:v>2029.5351559999999</c:v>
                </c:pt>
                <c:pt idx="25">
                  <c:v>2025.5482179999999</c:v>
                </c:pt>
                <c:pt idx="26">
                  <c:v>2023.205322</c:v>
                </c:pt>
                <c:pt idx="27">
                  <c:v>2021.597168</c:v>
                </c:pt>
                <c:pt idx="28">
                  <c:v>2018.919922</c:v>
                </c:pt>
                <c:pt idx="29">
                  <c:v>2016.9920649999999</c:v>
                </c:pt>
                <c:pt idx="30">
                  <c:v>2014.686279</c:v>
                </c:pt>
                <c:pt idx="31">
                  <c:v>2010.9929199999999</c:v>
                </c:pt>
                <c:pt idx="32">
                  <c:v>2009.60437</c:v>
                </c:pt>
                <c:pt idx="33">
                  <c:v>2007.662842</c:v>
                </c:pt>
                <c:pt idx="34">
                  <c:v>2005.1597899999999</c:v>
                </c:pt>
                <c:pt idx="35">
                  <c:v>2003.220337</c:v>
                </c:pt>
                <c:pt idx="36">
                  <c:v>2001.2666019999999</c:v>
                </c:pt>
                <c:pt idx="37">
                  <c:v>1998.1972659999999</c:v>
                </c:pt>
                <c:pt idx="38">
                  <c:v>1996.5634769999999</c:v>
                </c:pt>
                <c:pt idx="39">
                  <c:v>1995.232178</c:v>
                </c:pt>
                <c:pt idx="40">
                  <c:v>1993.37915</c:v>
                </c:pt>
                <c:pt idx="41">
                  <c:v>1990.970337</c:v>
                </c:pt>
                <c:pt idx="42">
                  <c:v>1989.55249</c:v>
                </c:pt>
                <c:pt idx="43">
                  <c:v>1987.9039310000001</c:v>
                </c:pt>
                <c:pt idx="44">
                  <c:v>1990.160034</c:v>
                </c:pt>
                <c:pt idx="45">
                  <c:v>1991.582764</c:v>
                </c:pt>
                <c:pt idx="46">
                  <c:v>1988.9932859999999</c:v>
                </c:pt>
                <c:pt idx="47">
                  <c:v>1986.1171879999999</c:v>
                </c:pt>
                <c:pt idx="48">
                  <c:v>1983.907837</c:v>
                </c:pt>
                <c:pt idx="49">
                  <c:v>1981.3051760000001</c:v>
                </c:pt>
                <c:pt idx="50">
                  <c:v>1979.3314210000001</c:v>
                </c:pt>
                <c:pt idx="51">
                  <c:v>1977.3165280000001</c:v>
                </c:pt>
                <c:pt idx="52">
                  <c:v>1974.688721</c:v>
                </c:pt>
                <c:pt idx="53">
                  <c:v>1972.974976</c:v>
                </c:pt>
                <c:pt idx="54">
                  <c:v>1970.681274</c:v>
                </c:pt>
                <c:pt idx="55">
                  <c:v>1968.3079829999999</c:v>
                </c:pt>
                <c:pt idx="56">
                  <c:v>1967.7177730000001</c:v>
                </c:pt>
                <c:pt idx="57">
                  <c:v>1967.3480219999999</c:v>
                </c:pt>
                <c:pt idx="58">
                  <c:v>1965.218018</c:v>
                </c:pt>
                <c:pt idx="59">
                  <c:v>1963.785034</c:v>
                </c:pt>
                <c:pt idx="60">
                  <c:v>1961.643433</c:v>
                </c:pt>
                <c:pt idx="61">
                  <c:v>1961.2202150000001</c:v>
                </c:pt>
                <c:pt idx="62">
                  <c:v>1958.9770510000001</c:v>
                </c:pt>
                <c:pt idx="63">
                  <c:v>1957.1201169999999</c:v>
                </c:pt>
                <c:pt idx="64">
                  <c:v>1955.9997559999999</c:v>
                </c:pt>
                <c:pt idx="65">
                  <c:v>1955.255249</c:v>
                </c:pt>
                <c:pt idx="66">
                  <c:v>1953.1007079999999</c:v>
                </c:pt>
                <c:pt idx="67">
                  <c:v>1951.0816649999999</c:v>
                </c:pt>
                <c:pt idx="68">
                  <c:v>1950.7246090000001</c:v>
                </c:pt>
                <c:pt idx="69">
                  <c:v>1949.79126</c:v>
                </c:pt>
                <c:pt idx="70">
                  <c:v>1949.737183</c:v>
                </c:pt>
                <c:pt idx="71">
                  <c:v>1949.5356449999999</c:v>
                </c:pt>
                <c:pt idx="72">
                  <c:v>1946.4693600000001</c:v>
                </c:pt>
                <c:pt idx="73">
                  <c:v>1944.355591</c:v>
                </c:pt>
                <c:pt idx="74">
                  <c:v>1943.0654300000001</c:v>
                </c:pt>
                <c:pt idx="75">
                  <c:v>1940.7486570000001</c:v>
                </c:pt>
                <c:pt idx="76">
                  <c:v>1939.4841309999999</c:v>
                </c:pt>
                <c:pt idx="77">
                  <c:v>1938.826294</c:v>
                </c:pt>
                <c:pt idx="78">
                  <c:v>1938.9852289999999</c:v>
                </c:pt>
                <c:pt idx="79">
                  <c:v>1939.6585689999999</c:v>
                </c:pt>
                <c:pt idx="80">
                  <c:v>1941.2757570000001</c:v>
                </c:pt>
                <c:pt idx="81">
                  <c:v>1941.2314449999999</c:v>
                </c:pt>
                <c:pt idx="82">
                  <c:v>1940.9470209999999</c:v>
                </c:pt>
                <c:pt idx="83">
                  <c:v>1938.5992429999999</c:v>
                </c:pt>
                <c:pt idx="84">
                  <c:v>1935.341064</c:v>
                </c:pt>
                <c:pt idx="85">
                  <c:v>1933.804443</c:v>
                </c:pt>
                <c:pt idx="86">
                  <c:v>1931.30249</c:v>
                </c:pt>
                <c:pt idx="87">
                  <c:v>1929.2144780000001</c:v>
                </c:pt>
                <c:pt idx="88">
                  <c:v>1928.078857</c:v>
                </c:pt>
                <c:pt idx="89">
                  <c:v>1926.5550539999999</c:v>
                </c:pt>
                <c:pt idx="90">
                  <c:v>1925.4073490000001</c:v>
                </c:pt>
                <c:pt idx="91">
                  <c:v>1923.7692870000001</c:v>
                </c:pt>
                <c:pt idx="92">
                  <c:v>1923.030029</c:v>
                </c:pt>
                <c:pt idx="93">
                  <c:v>1922.669312</c:v>
                </c:pt>
                <c:pt idx="94">
                  <c:v>1922.0516359999999</c:v>
                </c:pt>
                <c:pt idx="95">
                  <c:v>1920.5870359999999</c:v>
                </c:pt>
                <c:pt idx="96">
                  <c:v>1919.667236</c:v>
                </c:pt>
                <c:pt idx="97">
                  <c:v>1918.161499</c:v>
                </c:pt>
                <c:pt idx="98">
                  <c:v>1917.2917480000001</c:v>
                </c:pt>
                <c:pt idx="99">
                  <c:v>1916.7416989999999</c:v>
                </c:pt>
                <c:pt idx="100">
                  <c:v>1915.477173</c:v>
                </c:pt>
                <c:pt idx="101">
                  <c:v>1913.911255</c:v>
                </c:pt>
                <c:pt idx="102">
                  <c:v>1911.9376219999999</c:v>
                </c:pt>
                <c:pt idx="103">
                  <c:v>1913.421875</c:v>
                </c:pt>
                <c:pt idx="104">
                  <c:v>1913.2620850000001</c:v>
                </c:pt>
                <c:pt idx="105">
                  <c:v>1915.7231449999999</c:v>
                </c:pt>
                <c:pt idx="106">
                  <c:v>1915.684814</c:v>
                </c:pt>
                <c:pt idx="107">
                  <c:v>1915.1636960000001</c:v>
                </c:pt>
                <c:pt idx="108">
                  <c:v>1915.583374</c:v>
                </c:pt>
                <c:pt idx="109">
                  <c:v>1911.3073730000001</c:v>
                </c:pt>
                <c:pt idx="110">
                  <c:v>1908.4488530000001</c:v>
                </c:pt>
                <c:pt idx="111">
                  <c:v>1907.005371</c:v>
                </c:pt>
                <c:pt idx="112">
                  <c:v>1906.190186</c:v>
                </c:pt>
                <c:pt idx="113">
                  <c:v>1905.2445070000001</c:v>
                </c:pt>
                <c:pt idx="114">
                  <c:v>1905.4541019999999</c:v>
                </c:pt>
                <c:pt idx="115">
                  <c:v>1904.2607419999999</c:v>
                </c:pt>
                <c:pt idx="116">
                  <c:v>1904.670654</c:v>
                </c:pt>
                <c:pt idx="117">
                  <c:v>1905.8676760000001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Cu_1stPhase!$I$2:$I$102</c:f>
              <c:numCache>
                <c:formatCode>General</c:formatCode>
                <c:ptCount val="101"/>
                <c:pt idx="0">
                  <c:v>7.652149146368517</c:v>
                </c:pt>
                <c:pt idx="1">
                  <c:v>7.6493307649151827</c:v>
                </c:pt>
                <c:pt idx="2">
                  <c:v>7.6508527809449713</c:v>
                </c:pt>
                <c:pt idx="3">
                  <c:v>7.6486898658797919</c:v>
                </c:pt>
                <c:pt idx="4">
                  <c:v>7.6464779431106091</c:v>
                </c:pt>
                <c:pt idx="5">
                  <c:v>7.6450141930922095</c:v>
                </c:pt>
                <c:pt idx="6">
                  <c:v>7.6425469670657558</c:v>
                </c:pt>
                <c:pt idx="7">
                  <c:v>7.6400628401061583</c:v>
                </c:pt>
                <c:pt idx="8">
                  <c:v>7.638838379432622</c:v>
                </c:pt>
                <c:pt idx="9">
                  <c:v>7.6372561657943958</c:v>
                </c:pt>
                <c:pt idx="10">
                  <c:v>7.6366234973152336</c:v>
                </c:pt>
                <c:pt idx="11">
                  <c:v>7.6349882229164132</c:v>
                </c:pt>
                <c:pt idx="12">
                  <c:v>7.6324703209128977</c:v>
                </c:pt>
                <c:pt idx="13">
                  <c:v>7.6307212498284658</c:v>
                </c:pt>
                <c:pt idx="14">
                  <c:v>7.6289232976840724</c:v>
                </c:pt>
                <c:pt idx="15">
                  <c:v>7.6272353037777334</c:v>
                </c:pt>
                <c:pt idx="16">
                  <c:v>7.6258526370085535</c:v>
                </c:pt>
                <c:pt idx="17">
                  <c:v>7.6239074112726843</c:v>
                </c:pt>
                <c:pt idx="18">
                  <c:v>7.6228966581004585</c:v>
                </c:pt>
                <c:pt idx="19">
                  <c:v>7.6211336175548769</c:v>
                </c:pt>
                <c:pt idx="20">
                  <c:v>7.6198250752318026</c:v>
                </c:pt>
                <c:pt idx="21">
                  <c:v>7.6187516109283759</c:v>
                </c:pt>
                <c:pt idx="22">
                  <c:v>7.6173339801554762</c:v>
                </c:pt>
                <c:pt idx="23">
                  <c:v>7.6165393895134015</c:v>
                </c:pt>
                <c:pt idx="24">
                  <c:v>7.6155620586221451</c:v>
                </c:pt>
                <c:pt idx="25">
                  <c:v>7.6135956678395278</c:v>
                </c:pt>
                <c:pt idx="26">
                  <c:v>7.6124383258386539</c:v>
                </c:pt>
                <c:pt idx="27">
                  <c:v>7.6116431552024055</c:v>
                </c:pt>
                <c:pt idx="28">
                  <c:v>7.6103179553172566</c:v>
                </c:pt>
                <c:pt idx="29">
                  <c:v>7.6093626038859874</c:v>
                </c:pt>
                <c:pt idx="30">
                  <c:v>7.60821876945543</c:v>
                </c:pt>
                <c:pt idx="31">
                  <c:v>7.6063838691299557</c:v>
                </c:pt>
                <c:pt idx="32">
                  <c:v>7.6056931508336172</c:v>
                </c:pt>
                <c:pt idx="33">
                  <c:v>7.6047265593430815</c:v>
                </c:pt>
                <c:pt idx="34">
                  <c:v>7.6034790323257297</c:v>
                </c:pt>
                <c:pt idx="35">
                  <c:v>7.6025113331106358</c:v>
                </c:pt>
                <c:pt idx="36">
                  <c:v>7.6015355600916301</c:v>
                </c:pt>
                <c:pt idx="37">
                  <c:v>7.6000006860665739</c:v>
                </c:pt>
                <c:pt idx="38">
                  <c:v>7.5991827201375974</c:v>
                </c:pt>
                <c:pt idx="39">
                  <c:v>7.5985157025022172</c:v>
                </c:pt>
                <c:pt idx="40">
                  <c:v>7.5975865429622509</c:v>
                </c:pt>
                <c:pt idx="41">
                  <c:v>7.5963774054097666</c:v>
                </c:pt>
                <c:pt idx="42">
                  <c:v>7.5956650130323897</c:v>
                </c:pt>
                <c:pt idx="43">
                  <c:v>7.5948360616021757</c:v>
                </c:pt>
                <c:pt idx="44">
                  <c:v>7.5959703335805733</c:v>
                </c:pt>
                <c:pt idx="45">
                  <c:v>7.5966849603823157</c:v>
                </c:pt>
                <c:pt idx="46">
                  <c:v>7.5953839032826638</c:v>
                </c:pt>
                <c:pt idx="47">
                  <c:v>7.5939368499136162</c:v>
                </c:pt>
                <c:pt idx="48">
                  <c:v>7.5928238336408382</c:v>
                </c:pt>
                <c:pt idx="49">
                  <c:v>7.5915110863229858</c:v>
                </c:pt>
                <c:pt idx="50">
                  <c:v>7.5905144005049099</c:v>
                </c:pt>
                <c:pt idx="51">
                  <c:v>7.5894959155650596</c:v>
                </c:pt>
                <c:pt idx="52">
                  <c:v>7.5881660552932679</c:v>
                </c:pt>
                <c:pt idx="53">
                  <c:v>7.5872978227186652</c:v>
                </c:pt>
                <c:pt idx="54">
                  <c:v>7.5861345863140528</c:v>
                </c:pt>
                <c:pt idx="55">
                  <c:v>7.5849295607948957</c:v>
                </c:pt>
                <c:pt idx="56">
                  <c:v>7.5846296592998286</c:v>
                </c:pt>
                <c:pt idx="57">
                  <c:v>7.5844417330895189</c:v>
                </c:pt>
                <c:pt idx="58">
                  <c:v>7.5833584687849269</c:v>
                </c:pt>
                <c:pt idx="59">
                  <c:v>7.5826290297671548</c:v>
                </c:pt>
                <c:pt idx="60">
                  <c:v>7.5815378871158563</c:v>
                </c:pt>
                <c:pt idx="61">
                  <c:v>7.5813221171887744</c:v>
                </c:pt>
                <c:pt idx="62">
                  <c:v>7.5801777032255924</c:v>
                </c:pt>
                <c:pt idx="63">
                  <c:v>7.5792293436423064</c:v>
                </c:pt>
                <c:pt idx="64">
                  <c:v>7.5786567258503785</c:v>
                </c:pt>
                <c:pt idx="65">
                  <c:v>7.5782760260453079</c:v>
                </c:pt>
                <c:pt idx="66">
                  <c:v>7.5771734953434198</c:v>
                </c:pt>
                <c:pt idx="67">
                  <c:v>7.5761391977686161</c:v>
                </c:pt>
                <c:pt idx="68">
                  <c:v>7.5759561768926815</c:v>
                </c:pt>
                <c:pt idx="69">
                  <c:v>7.5754775996740982</c:v>
                </c:pt>
                <c:pt idx="70">
                  <c:v>7.5754498645257105</c:v>
                </c:pt>
                <c:pt idx="71">
                  <c:v>7.5753464924309277</c:v>
                </c:pt>
                <c:pt idx="72">
                  <c:v>7.573772425852896</c:v>
                </c:pt>
                <c:pt idx="73">
                  <c:v>7.5726858854741463</c:v>
                </c:pt>
                <c:pt idx="74">
                  <c:v>7.5720221235402585</c:v>
                </c:pt>
                <c:pt idx="75">
                  <c:v>7.5708290832850347</c:v>
                </c:pt>
                <c:pt idx="76">
                  <c:v>7.5701773048408771</c:v>
                </c:pt>
                <c:pt idx="77">
                  <c:v>7.5698380658763691</c:v>
                </c:pt>
                <c:pt idx="78">
                  <c:v>7.5699200373693865</c:v>
                </c:pt>
                <c:pt idx="79">
                  <c:v>7.5702672412075485</c:v>
                </c:pt>
                <c:pt idx="80">
                  <c:v>7.5711006426298644</c:v>
                </c:pt>
                <c:pt idx="81">
                  <c:v>7.5710778161429086</c:v>
                </c:pt>
                <c:pt idx="82">
                  <c:v>7.5709312881030462</c:v>
                </c:pt>
                <c:pt idx="83">
                  <c:v>7.5697209515704502</c:v>
                </c:pt>
                <c:pt idx="84">
                  <c:v>7.568038850396948</c:v>
                </c:pt>
                <c:pt idx="85">
                  <c:v>7.5672445555956749</c:v>
                </c:pt>
                <c:pt idx="86">
                  <c:v>7.5659499195647317</c:v>
                </c:pt>
                <c:pt idx="87">
                  <c:v>7.5648681928318036</c:v>
                </c:pt>
                <c:pt idx="88">
                  <c:v>7.5642793752676809</c:v>
                </c:pt>
                <c:pt idx="89">
                  <c:v>7.5634887408704534</c:v>
                </c:pt>
                <c:pt idx="90">
                  <c:v>7.5628928342058037</c:v>
                </c:pt>
                <c:pt idx="91">
                  <c:v>7.5620417108338263</c:v>
                </c:pt>
                <c:pt idx="92">
                  <c:v>7.5616573611714841</c:v>
                </c:pt>
                <c:pt idx="93">
                  <c:v>7.5614697661625803</c:v>
                </c:pt>
                <c:pt idx="94">
                  <c:v>7.5611484549341883</c:v>
                </c:pt>
                <c:pt idx="95">
                  <c:v>7.5603861662071248</c:v>
                </c:pt>
                <c:pt idx="96">
                  <c:v>7.5599071354177863</c:v>
                </c:pt>
                <c:pt idx="97">
                  <c:v>7.5591224536712929</c:v>
                </c:pt>
                <c:pt idx="98">
                  <c:v>7.5586689213459604</c:v>
                </c:pt>
                <c:pt idx="99">
                  <c:v>7.5583819916613981</c:v>
                </c:pt>
                <c:pt idx="100">
                  <c:v>7.5577220470767434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000177844079682E-2"/>
                  <c:y val="-0.381952464275298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Cu_1stPhase!$B$2:$B$102</c:f>
              <c:numCache>
                <c:formatCode>General</c:formatCode>
                <c:ptCount val="101"/>
                <c:pt idx="0">
                  <c:v>2105.165039</c:v>
                </c:pt>
                <c:pt idx="1">
                  <c:v>2099.2402339999999</c:v>
                </c:pt>
                <c:pt idx="2">
                  <c:v>2102.4377439999998</c:v>
                </c:pt>
                <c:pt idx="3">
                  <c:v>2097.8952640000002</c:v>
                </c:pt>
                <c:pt idx="4">
                  <c:v>2093.26001</c:v>
                </c:pt>
                <c:pt idx="5">
                  <c:v>2090.1982419999999</c:v>
                </c:pt>
                <c:pt idx="6">
                  <c:v>2085.047607</c:v>
                </c:pt>
                <c:pt idx="7">
                  <c:v>2079.8745119999999</c:v>
                </c:pt>
                <c:pt idx="8">
                  <c:v>2077.329346</c:v>
                </c:pt>
                <c:pt idx="9">
                  <c:v>2074.0451659999999</c:v>
                </c:pt>
                <c:pt idx="10">
                  <c:v>2072.7333979999999</c:v>
                </c:pt>
                <c:pt idx="11">
                  <c:v>2069.3466800000001</c:v>
                </c:pt>
                <c:pt idx="12">
                  <c:v>2064.1428219999998</c:v>
                </c:pt>
                <c:pt idx="13">
                  <c:v>2060.5356449999999</c:v>
                </c:pt>
                <c:pt idx="14">
                  <c:v>2056.8342290000001</c:v>
                </c:pt>
                <c:pt idx="15">
                  <c:v>2053.3652339999999</c:v>
                </c:pt>
                <c:pt idx="16">
                  <c:v>2050.5280760000001</c:v>
                </c:pt>
                <c:pt idx="17">
                  <c:v>2046.5432129999999</c:v>
                </c:pt>
                <c:pt idx="18">
                  <c:v>2044.4757079999999</c:v>
                </c:pt>
                <c:pt idx="19">
                  <c:v>2040.8743899999999</c:v>
                </c:pt>
                <c:pt idx="20">
                  <c:v>2038.2055660000001</c:v>
                </c:pt>
                <c:pt idx="21">
                  <c:v>2036.0187989999999</c:v>
                </c:pt>
                <c:pt idx="22">
                  <c:v>2033.1345209999999</c:v>
                </c:pt>
                <c:pt idx="23">
                  <c:v>2031.5196530000001</c:v>
                </c:pt>
                <c:pt idx="24">
                  <c:v>2029.5351559999999</c:v>
                </c:pt>
                <c:pt idx="25">
                  <c:v>2025.5482179999999</c:v>
                </c:pt>
                <c:pt idx="26">
                  <c:v>2023.205322</c:v>
                </c:pt>
                <c:pt idx="27">
                  <c:v>2021.597168</c:v>
                </c:pt>
                <c:pt idx="28">
                  <c:v>2018.919922</c:v>
                </c:pt>
                <c:pt idx="29">
                  <c:v>2016.9920649999999</c:v>
                </c:pt>
                <c:pt idx="30">
                  <c:v>2014.686279</c:v>
                </c:pt>
                <c:pt idx="31">
                  <c:v>2010.9929199999999</c:v>
                </c:pt>
                <c:pt idx="32">
                  <c:v>2009.60437</c:v>
                </c:pt>
                <c:pt idx="33">
                  <c:v>2007.662842</c:v>
                </c:pt>
                <c:pt idx="34">
                  <c:v>2005.1597899999999</c:v>
                </c:pt>
                <c:pt idx="35">
                  <c:v>2003.220337</c:v>
                </c:pt>
                <c:pt idx="36">
                  <c:v>2001.2666019999999</c:v>
                </c:pt>
                <c:pt idx="37">
                  <c:v>1998.1972659999999</c:v>
                </c:pt>
                <c:pt idx="38">
                  <c:v>1996.5634769999999</c:v>
                </c:pt>
                <c:pt idx="39">
                  <c:v>1995.232178</c:v>
                </c:pt>
                <c:pt idx="40">
                  <c:v>1993.37915</c:v>
                </c:pt>
                <c:pt idx="41">
                  <c:v>1990.970337</c:v>
                </c:pt>
                <c:pt idx="42">
                  <c:v>1989.55249</c:v>
                </c:pt>
                <c:pt idx="43">
                  <c:v>1987.9039310000001</c:v>
                </c:pt>
                <c:pt idx="44">
                  <c:v>1990.160034</c:v>
                </c:pt>
                <c:pt idx="45">
                  <c:v>1991.582764</c:v>
                </c:pt>
                <c:pt idx="46">
                  <c:v>1988.9932859999999</c:v>
                </c:pt>
                <c:pt idx="47">
                  <c:v>1986.1171879999999</c:v>
                </c:pt>
                <c:pt idx="48">
                  <c:v>1983.907837</c:v>
                </c:pt>
                <c:pt idx="49">
                  <c:v>1981.3051760000001</c:v>
                </c:pt>
                <c:pt idx="50">
                  <c:v>1979.3314210000001</c:v>
                </c:pt>
                <c:pt idx="51">
                  <c:v>1977.3165280000001</c:v>
                </c:pt>
                <c:pt idx="52">
                  <c:v>1974.688721</c:v>
                </c:pt>
                <c:pt idx="53">
                  <c:v>1972.974976</c:v>
                </c:pt>
                <c:pt idx="54">
                  <c:v>1970.681274</c:v>
                </c:pt>
                <c:pt idx="55">
                  <c:v>1968.3079829999999</c:v>
                </c:pt>
                <c:pt idx="56">
                  <c:v>1967.7177730000001</c:v>
                </c:pt>
                <c:pt idx="57">
                  <c:v>1967.3480219999999</c:v>
                </c:pt>
                <c:pt idx="58">
                  <c:v>1965.218018</c:v>
                </c:pt>
                <c:pt idx="59">
                  <c:v>1963.785034</c:v>
                </c:pt>
                <c:pt idx="60">
                  <c:v>1961.643433</c:v>
                </c:pt>
                <c:pt idx="61">
                  <c:v>1961.2202150000001</c:v>
                </c:pt>
                <c:pt idx="62">
                  <c:v>1958.9770510000001</c:v>
                </c:pt>
                <c:pt idx="63">
                  <c:v>1957.1201169999999</c:v>
                </c:pt>
                <c:pt idx="64">
                  <c:v>1955.9997559999999</c:v>
                </c:pt>
                <c:pt idx="65">
                  <c:v>1955.255249</c:v>
                </c:pt>
                <c:pt idx="66">
                  <c:v>1953.1007079999999</c:v>
                </c:pt>
                <c:pt idx="67">
                  <c:v>1951.0816649999999</c:v>
                </c:pt>
                <c:pt idx="68">
                  <c:v>1950.7246090000001</c:v>
                </c:pt>
                <c:pt idx="69">
                  <c:v>1949.79126</c:v>
                </c:pt>
                <c:pt idx="70">
                  <c:v>1949.737183</c:v>
                </c:pt>
                <c:pt idx="71">
                  <c:v>1949.5356449999999</c:v>
                </c:pt>
                <c:pt idx="72">
                  <c:v>1946.4693600000001</c:v>
                </c:pt>
                <c:pt idx="73">
                  <c:v>1944.355591</c:v>
                </c:pt>
                <c:pt idx="74">
                  <c:v>1943.0654300000001</c:v>
                </c:pt>
                <c:pt idx="75">
                  <c:v>1940.7486570000001</c:v>
                </c:pt>
                <c:pt idx="76">
                  <c:v>1939.4841309999999</c:v>
                </c:pt>
                <c:pt idx="77">
                  <c:v>1938.826294</c:v>
                </c:pt>
                <c:pt idx="78">
                  <c:v>1938.9852289999999</c:v>
                </c:pt>
                <c:pt idx="79">
                  <c:v>1939.6585689999999</c:v>
                </c:pt>
                <c:pt idx="80">
                  <c:v>1941.2757570000001</c:v>
                </c:pt>
                <c:pt idx="81">
                  <c:v>1941.2314449999999</c:v>
                </c:pt>
                <c:pt idx="82">
                  <c:v>1940.9470209999999</c:v>
                </c:pt>
                <c:pt idx="83">
                  <c:v>1938.5992429999999</c:v>
                </c:pt>
                <c:pt idx="84">
                  <c:v>1935.341064</c:v>
                </c:pt>
                <c:pt idx="85">
                  <c:v>1933.804443</c:v>
                </c:pt>
                <c:pt idx="86">
                  <c:v>1931.30249</c:v>
                </c:pt>
                <c:pt idx="87">
                  <c:v>1929.2144780000001</c:v>
                </c:pt>
                <c:pt idx="88">
                  <c:v>1928.078857</c:v>
                </c:pt>
                <c:pt idx="89">
                  <c:v>1926.5550539999999</c:v>
                </c:pt>
                <c:pt idx="90">
                  <c:v>1925.4073490000001</c:v>
                </c:pt>
                <c:pt idx="91">
                  <c:v>1923.7692870000001</c:v>
                </c:pt>
                <c:pt idx="92">
                  <c:v>1923.030029</c:v>
                </c:pt>
                <c:pt idx="93">
                  <c:v>1922.669312</c:v>
                </c:pt>
                <c:pt idx="94">
                  <c:v>1922.0516359999999</c:v>
                </c:pt>
                <c:pt idx="95">
                  <c:v>1920.5870359999999</c:v>
                </c:pt>
                <c:pt idx="96">
                  <c:v>1919.667236</c:v>
                </c:pt>
                <c:pt idx="97">
                  <c:v>1918.161499</c:v>
                </c:pt>
                <c:pt idx="98">
                  <c:v>1917.2917480000001</c:v>
                </c:pt>
                <c:pt idx="99">
                  <c:v>1916.7416989999999</c:v>
                </c:pt>
                <c:pt idx="100">
                  <c:v>1915.477173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</c:numCache>
            </c:numRef>
          </c:xVal>
          <c:yVal>
            <c:numRef>
              <c:f>Cu_1stPhase!$H$2:$H$187</c:f>
              <c:numCache>
                <c:formatCode>General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C-406A-A17A-CBA75C54F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</c:numCache>
            </c:numRef>
          </c:xVal>
          <c:yVal>
            <c:numRef>
              <c:f>Cu_1stPhase!$F$2:$F$200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2-4077-96A7-43C7D7D72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</c:numCache>
            </c:numRef>
          </c:xVal>
          <c:yVal>
            <c:numRef>
              <c:f>PANI_1stPhase!$I$2:$I$194</c:f>
              <c:numCache>
                <c:formatCode>General</c:formatCode>
                <c:ptCount val="193"/>
                <c:pt idx="0">
                  <c:v>7.5790737749171813</c:v>
                </c:pt>
                <c:pt idx="1">
                  <c:v>7.5594362731998226</c:v>
                </c:pt>
                <c:pt idx="2">
                  <c:v>7.5488746101719082</c:v>
                </c:pt>
                <c:pt idx="3">
                  <c:v>7.5415666570286346</c:v>
                </c:pt>
                <c:pt idx="4">
                  <c:v>7.5368211256118443</c:v>
                </c:pt>
                <c:pt idx="5">
                  <c:v>7.5332035458876359</c:v>
                </c:pt>
                <c:pt idx="6">
                  <c:v>7.5302793189955244</c:v>
                </c:pt>
                <c:pt idx="7">
                  <c:v>7.5278579426423953</c:v>
                </c:pt>
                <c:pt idx="8">
                  <c:v>7.5272170897717006</c:v>
                </c:pt>
                <c:pt idx="9">
                  <c:v>7.5254842658844536</c:v>
                </c:pt>
                <c:pt idx="10">
                  <c:v>7.5236725444225838</c:v>
                </c:pt>
                <c:pt idx="11">
                  <c:v>7.5227918491243093</c:v>
                </c:pt>
                <c:pt idx="12">
                  <c:v>7.5213870427845864</c:v>
                </c:pt>
                <c:pt idx="13">
                  <c:v>7.5198679472762668</c:v>
                </c:pt>
                <c:pt idx="14">
                  <c:v>7.5184747997966053</c:v>
                </c:pt>
                <c:pt idx="15">
                  <c:v>7.5172229942917221</c:v>
                </c:pt>
                <c:pt idx="16">
                  <c:v>7.5165186420380197</c:v>
                </c:pt>
                <c:pt idx="17">
                  <c:v>7.5155471367192961</c:v>
                </c:pt>
                <c:pt idx="18">
                  <c:v>7.5147068232001075</c:v>
                </c:pt>
                <c:pt idx="19">
                  <c:v>7.5137164403943073</c:v>
                </c:pt>
                <c:pt idx="20">
                  <c:v>7.5131398238828577</c:v>
                </c:pt>
                <c:pt idx="21">
                  <c:v>7.5126158778244045</c:v>
                </c:pt>
                <c:pt idx="22">
                  <c:v>7.511941229186947</c:v>
                </c:pt>
                <c:pt idx="23">
                  <c:v>7.5109728105358027</c:v>
                </c:pt>
                <c:pt idx="24">
                  <c:v>7.51076510796275</c:v>
                </c:pt>
                <c:pt idx="25">
                  <c:v>7.5096692480466034</c:v>
                </c:pt>
                <c:pt idx="26">
                  <c:v>7.5093210187918134</c:v>
                </c:pt>
                <c:pt idx="27">
                  <c:v>7.5086820269489785</c:v>
                </c:pt>
                <c:pt idx="28">
                  <c:v>7.5078384005187795</c:v>
                </c:pt>
                <c:pt idx="29">
                  <c:v>7.5074487221317474</c:v>
                </c:pt>
                <c:pt idx="30">
                  <c:v>7.5067804348018905</c:v>
                </c:pt>
                <c:pt idx="31">
                  <c:v>7.5064008090897909</c:v>
                </c:pt>
                <c:pt idx="32">
                  <c:v>7.5059229196203665</c:v>
                </c:pt>
                <c:pt idx="33">
                  <c:v>7.5052628798915846</c:v>
                </c:pt>
                <c:pt idx="34">
                  <c:v>7.5047742326284421</c:v>
                </c:pt>
                <c:pt idx="35">
                  <c:v>7.5043947854776203</c:v>
                </c:pt>
                <c:pt idx="36">
                  <c:v>7.5037818953804694</c:v>
                </c:pt>
                <c:pt idx="37">
                  <c:v>7.5036505947369152</c:v>
                </c:pt>
                <c:pt idx="38">
                  <c:v>7.5028362390442398</c:v>
                </c:pt>
                <c:pt idx="39">
                  <c:v>7.5026296008856947</c:v>
                </c:pt>
                <c:pt idx="40">
                  <c:v>7.502445616381312</c:v>
                </c:pt>
                <c:pt idx="41">
                  <c:v>7.502045812801545</c:v>
                </c:pt>
                <c:pt idx="42">
                  <c:v>7.5015845096454079</c:v>
                </c:pt>
                <c:pt idx="43">
                  <c:v>7.5011764711902753</c:v>
                </c:pt>
                <c:pt idx="44">
                  <c:v>7.5007863468203793</c:v>
                </c:pt>
                <c:pt idx="45">
                  <c:v>7.5004930458148529</c:v>
                </c:pt>
                <c:pt idx="46">
                  <c:v>7.500309275965793</c:v>
                </c:pt>
                <c:pt idx="47">
                  <c:v>7.5000551949384615</c:v>
                </c:pt>
                <c:pt idx="48">
                  <c:v>7.4998261695805422</c:v>
                </c:pt>
                <c:pt idx="49">
                  <c:v>7.4996515976770484</c:v>
                </c:pt>
                <c:pt idx="50">
                  <c:v>7.4992793898128873</c:v>
                </c:pt>
                <c:pt idx="51">
                  <c:v>7.4990752588131731</c:v>
                </c:pt>
                <c:pt idx="52">
                  <c:v>7.4988374920396677</c:v>
                </c:pt>
                <c:pt idx="53">
                  <c:v>7.4986039289972171</c:v>
                </c:pt>
                <c:pt idx="54">
                  <c:v>7.4982718432049849</c:v>
                </c:pt>
                <c:pt idx="55">
                  <c:v>7.4978390402038482</c:v>
                </c:pt>
                <c:pt idx="56">
                  <c:v>7.4978297032992485</c:v>
                </c:pt>
                <c:pt idx="57">
                  <c:v>7.4974876813754072</c:v>
                </c:pt>
                <c:pt idx="58">
                  <c:v>7.4972393818653682</c:v>
                </c:pt>
                <c:pt idx="59">
                  <c:v>7.4970460748896199</c:v>
                </c:pt>
                <c:pt idx="60">
                  <c:v>7.4968726420015503</c:v>
                </c:pt>
                <c:pt idx="61">
                  <c:v>7.4966986368791311</c:v>
                </c:pt>
                <c:pt idx="62">
                  <c:v>7.4967690823084876</c:v>
                </c:pt>
                <c:pt idx="63">
                  <c:v>7.4964821889375264</c:v>
                </c:pt>
                <c:pt idx="64">
                  <c:v>7.4962988323718829</c:v>
                </c:pt>
                <c:pt idx="65">
                  <c:v>7.4959379160324922</c:v>
                </c:pt>
                <c:pt idx="66">
                  <c:v>7.4960671831441852</c:v>
                </c:pt>
                <c:pt idx="67">
                  <c:v>7.4955422149953304</c:v>
                </c:pt>
                <c:pt idx="68">
                  <c:v>7.495745644802482</c:v>
                </c:pt>
                <c:pt idx="69">
                  <c:v>7.4956270502626055</c:v>
                </c:pt>
                <c:pt idx="70">
                  <c:v>7.4954402137099176</c:v>
                </c:pt>
                <c:pt idx="71">
                  <c:v>7.4953662151115266</c:v>
                </c:pt>
                <c:pt idx="72">
                  <c:v>7.494999330029315</c:v>
                </c:pt>
                <c:pt idx="73">
                  <c:v>7.4947969697932866</c:v>
                </c:pt>
                <c:pt idx="74">
                  <c:v>7.4947146434322551</c:v>
                </c:pt>
                <c:pt idx="75">
                  <c:v>7.4948141402105142</c:v>
                </c:pt>
                <c:pt idx="76">
                  <c:v>7.4944580505729634</c:v>
                </c:pt>
                <c:pt idx="77">
                  <c:v>7.4945576407279173</c:v>
                </c:pt>
                <c:pt idx="78">
                  <c:v>7.4941535838917206</c:v>
                </c:pt>
                <c:pt idx="79">
                  <c:v>7.4944114089592935</c:v>
                </c:pt>
                <c:pt idx="80">
                  <c:v>7.4941351792992332</c:v>
                </c:pt>
                <c:pt idx="81">
                  <c:v>7.4938765361957422</c:v>
                </c:pt>
                <c:pt idx="82">
                  <c:v>7.4937939976715295</c:v>
                </c:pt>
                <c:pt idx="83">
                  <c:v>7.4935370326143849</c:v>
                </c:pt>
                <c:pt idx="84">
                  <c:v>7.4933450474735324</c:v>
                </c:pt>
                <c:pt idx="85">
                  <c:v>7.4934747180890504</c:v>
                </c:pt>
                <c:pt idx="86">
                  <c:v>7.4936953505352806</c:v>
                </c:pt>
                <c:pt idx="87">
                  <c:v>7.4933992828023914</c:v>
                </c:pt>
                <c:pt idx="88">
                  <c:v>7.4932418016953664</c:v>
                </c:pt>
                <c:pt idx="89">
                  <c:v>7.4929765360377028</c:v>
                </c:pt>
                <c:pt idx="90">
                  <c:v>7.4933547665325131</c:v>
                </c:pt>
                <c:pt idx="91">
                  <c:v>7.493260154247869</c:v>
                </c:pt>
                <c:pt idx="92">
                  <c:v>7.4931429641877028</c:v>
                </c:pt>
                <c:pt idx="93">
                  <c:v>7.4931889171313211</c:v>
                </c:pt>
                <c:pt idx="94">
                  <c:v>7.4929474355007484</c:v>
                </c:pt>
                <c:pt idx="95">
                  <c:v>7.492836056270141</c:v>
                </c:pt>
                <c:pt idx="96">
                  <c:v>7.4926444802878516</c:v>
                </c:pt>
                <c:pt idx="97">
                  <c:v>7.4930433009855042</c:v>
                </c:pt>
                <c:pt idx="98">
                  <c:v>7.4929959812255893</c:v>
                </c:pt>
                <c:pt idx="99">
                  <c:v>7.4927950512935082</c:v>
                </c:pt>
                <c:pt idx="100">
                  <c:v>7.4927383346644101</c:v>
                </c:pt>
                <c:pt idx="101">
                  <c:v>7.4929417919727737</c:v>
                </c:pt>
                <c:pt idx="102">
                  <c:v>7.4927411909904817</c:v>
                </c:pt>
                <c:pt idx="103">
                  <c:v>7.492520279919086</c:v>
                </c:pt>
                <c:pt idx="104">
                  <c:v>7.4927945070225803</c:v>
                </c:pt>
                <c:pt idx="105">
                  <c:v>7.492801511772365</c:v>
                </c:pt>
                <c:pt idx="106">
                  <c:v>7.492737790919727</c:v>
                </c:pt>
                <c:pt idx="107">
                  <c:v>7.4927732896959638</c:v>
                </c:pt>
                <c:pt idx="108">
                  <c:v>7.4926474728305097</c:v>
                </c:pt>
                <c:pt idx="109">
                  <c:v>7.4926733177522662</c:v>
                </c:pt>
                <c:pt idx="110">
                  <c:v>7.4928471406057442</c:v>
                </c:pt>
                <c:pt idx="111">
                  <c:v>7.4930316752390995</c:v>
                </c:pt>
                <c:pt idx="112">
                  <c:v>7.4929955729651896</c:v>
                </c:pt>
                <c:pt idx="113">
                  <c:v>7.4929114660980201</c:v>
                </c:pt>
                <c:pt idx="114">
                  <c:v>7.4928754279997385</c:v>
                </c:pt>
                <c:pt idx="115">
                  <c:v>7.4930131140877858</c:v>
                </c:pt>
                <c:pt idx="116">
                  <c:v>7.4929383920270052</c:v>
                </c:pt>
                <c:pt idx="117">
                  <c:v>7.4929754476930874</c:v>
                </c:pt>
                <c:pt idx="118">
                  <c:v>7.4930760700035792</c:v>
                </c:pt>
                <c:pt idx="119">
                  <c:v>7.4932344603573204</c:v>
                </c:pt>
                <c:pt idx="120">
                  <c:v>7.4931295720091846</c:v>
                </c:pt>
                <c:pt idx="121">
                  <c:v>7.4932509098020699</c:v>
                </c:pt>
                <c:pt idx="122">
                  <c:v>7.493452156242804</c:v>
                </c:pt>
                <c:pt idx="123">
                  <c:v>7.493267426908357</c:v>
                </c:pt>
                <c:pt idx="124">
                  <c:v>7.493435710108141</c:v>
                </c:pt>
                <c:pt idx="125">
                  <c:v>7.4931543848210067</c:v>
                </c:pt>
                <c:pt idx="126">
                  <c:v>7.4932756516718264</c:v>
                </c:pt>
                <c:pt idx="127">
                  <c:v>7.4939537016283193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r>
                      <a:rPr lang="fr-CH" baseline="0"/>
                      <a:t/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</c:numCache>
            </c:numRef>
          </c:xVal>
          <c:yVal>
            <c:numRef>
              <c:f>PANI_1stPhase!$B$2:$B$197</c:f>
              <c:numCache>
                <c:formatCode>General</c:formatCode>
                <c:ptCount val="196"/>
                <c:pt idx="0">
                  <c:v>1956.8156739999999</c:v>
                </c:pt>
                <c:pt idx="1">
                  <c:v>1918.7635499999999</c:v>
                </c:pt>
                <c:pt idx="2">
                  <c:v>1898.6048579999999</c:v>
                </c:pt>
                <c:pt idx="3">
                  <c:v>1884.780518</c:v>
                </c:pt>
                <c:pt idx="4">
                  <c:v>1875.857422</c:v>
                </c:pt>
                <c:pt idx="5">
                  <c:v>1869.0836179999999</c:v>
                </c:pt>
                <c:pt idx="6">
                  <c:v>1863.6259769999999</c:v>
                </c:pt>
                <c:pt idx="7">
                  <c:v>1859.1188959999999</c:v>
                </c:pt>
                <c:pt idx="8">
                  <c:v>1857.927856</c:v>
                </c:pt>
                <c:pt idx="9">
                  <c:v>1854.711182</c:v>
                </c:pt>
                <c:pt idx="10">
                  <c:v>1851.354004</c:v>
                </c:pt>
                <c:pt idx="11">
                  <c:v>1849.7242429999999</c:v>
                </c:pt>
                <c:pt idx="12">
                  <c:v>1847.127563</c:v>
                </c:pt>
                <c:pt idx="13">
                  <c:v>1844.3237300000001</c:v>
                </c:pt>
                <c:pt idx="14">
                  <c:v>1841.7561040000001</c:v>
                </c:pt>
                <c:pt idx="15">
                  <c:v>1839.4520259999999</c:v>
                </c:pt>
                <c:pt idx="16">
                  <c:v>1838.1568600000001</c:v>
                </c:pt>
                <c:pt idx="17">
                  <c:v>1836.371948</c:v>
                </c:pt>
                <c:pt idx="18">
                  <c:v>1834.8294679999999</c:v>
                </c:pt>
                <c:pt idx="19">
                  <c:v>1833.0131839999999</c:v>
                </c:pt>
                <c:pt idx="20">
                  <c:v>1831.956543</c:v>
                </c:pt>
                <c:pt idx="21">
                  <c:v>1830.996948</c:v>
                </c:pt>
                <c:pt idx="22">
                  <c:v>1829.7620850000001</c:v>
                </c:pt>
                <c:pt idx="23">
                  <c:v>1827.990967</c:v>
                </c:pt>
                <c:pt idx="24">
                  <c:v>1827.611328</c:v>
                </c:pt>
                <c:pt idx="25">
                  <c:v>1825.6096190000001</c:v>
                </c:pt>
                <c:pt idx="26">
                  <c:v>1824.973999</c:v>
                </c:pt>
                <c:pt idx="27">
                  <c:v>1823.8082280000001</c:v>
                </c:pt>
                <c:pt idx="28">
                  <c:v>1822.270264</c:v>
                </c:pt>
                <c:pt idx="29">
                  <c:v>1821.560303</c:v>
                </c:pt>
                <c:pt idx="30">
                  <c:v>1820.343384</c:v>
                </c:pt>
                <c:pt idx="31">
                  <c:v>1819.652466</c:v>
                </c:pt>
                <c:pt idx="32">
                  <c:v>1818.783081</c:v>
                </c:pt>
                <c:pt idx="33">
                  <c:v>1817.5830080000001</c:v>
                </c:pt>
                <c:pt idx="34">
                  <c:v>1816.695068</c:v>
                </c:pt>
                <c:pt idx="35">
                  <c:v>1816.0058590000001</c:v>
                </c:pt>
                <c:pt idx="36">
                  <c:v>1814.893188</c:v>
                </c:pt>
                <c:pt idx="37">
                  <c:v>1814.6549070000001</c:v>
                </c:pt>
                <c:pt idx="38">
                  <c:v>1813.1777340000001</c:v>
                </c:pt>
                <c:pt idx="39">
                  <c:v>1812.803101</c:v>
                </c:pt>
                <c:pt idx="40">
                  <c:v>1812.4696039999999</c:v>
                </c:pt>
                <c:pt idx="41">
                  <c:v>1811.7451169999999</c:v>
                </c:pt>
                <c:pt idx="42">
                  <c:v>1810.9095460000001</c:v>
                </c:pt>
                <c:pt idx="43">
                  <c:v>1810.1707759999999</c:v>
                </c:pt>
                <c:pt idx="44">
                  <c:v>1809.4647219999999</c:v>
                </c:pt>
                <c:pt idx="45">
                  <c:v>1808.934082</c:v>
                </c:pt>
                <c:pt idx="46">
                  <c:v>1808.6016850000001</c:v>
                </c:pt>
                <c:pt idx="47">
                  <c:v>1808.142212</c:v>
                </c:pt>
                <c:pt idx="48">
                  <c:v>1807.728149</c:v>
                </c:pt>
                <c:pt idx="49">
                  <c:v>1807.4125979999999</c:v>
                </c:pt>
                <c:pt idx="50">
                  <c:v>1806.73999</c:v>
                </c:pt>
                <c:pt idx="51">
                  <c:v>1806.371216</c:v>
                </c:pt>
                <c:pt idx="52">
                  <c:v>1805.9417719999999</c:v>
                </c:pt>
                <c:pt idx="53">
                  <c:v>1805.5200199999999</c:v>
                </c:pt>
                <c:pt idx="54">
                  <c:v>1804.9205320000001</c:v>
                </c:pt>
                <c:pt idx="55">
                  <c:v>1804.1395259999999</c:v>
                </c:pt>
                <c:pt idx="56">
                  <c:v>1804.1226810000001</c:v>
                </c:pt>
                <c:pt idx="57">
                  <c:v>1803.505737</c:v>
                </c:pt>
                <c:pt idx="58">
                  <c:v>1803.0579829999999</c:v>
                </c:pt>
                <c:pt idx="59">
                  <c:v>1802.7094729999999</c:v>
                </c:pt>
                <c:pt idx="60">
                  <c:v>1802.396851</c:v>
                </c:pt>
                <c:pt idx="61">
                  <c:v>1802.0832519999999</c:v>
                </c:pt>
                <c:pt idx="62">
                  <c:v>1802.2102050000001</c:v>
                </c:pt>
                <c:pt idx="63">
                  <c:v>1801.693237</c:v>
                </c:pt>
                <c:pt idx="64">
                  <c:v>1801.3629149999999</c:v>
                </c:pt>
                <c:pt idx="65">
                  <c:v>1800.7128909999999</c:v>
                </c:pt>
                <c:pt idx="66">
                  <c:v>1800.9456789999999</c:v>
                </c:pt>
                <c:pt idx="67">
                  <c:v>1800.0004879999999</c:v>
                </c:pt>
                <c:pt idx="68">
                  <c:v>1800.3666989999999</c:v>
                </c:pt>
                <c:pt idx="69">
                  <c:v>1800.153198</c:v>
                </c:pt>
                <c:pt idx="70">
                  <c:v>1799.8168949999999</c:v>
                </c:pt>
                <c:pt idx="71">
                  <c:v>1799.683716</c:v>
                </c:pt>
                <c:pt idx="72">
                  <c:v>1799.0235600000001</c:v>
                </c:pt>
                <c:pt idx="73">
                  <c:v>1798.6595460000001</c:v>
                </c:pt>
                <c:pt idx="74">
                  <c:v>1798.511475</c:v>
                </c:pt>
                <c:pt idx="75">
                  <c:v>1798.6904300000001</c:v>
                </c:pt>
                <c:pt idx="76">
                  <c:v>1798.0500489999999</c:v>
                </c:pt>
                <c:pt idx="77">
                  <c:v>1798.229126</c:v>
                </c:pt>
                <c:pt idx="78">
                  <c:v>1797.502686</c:v>
                </c:pt>
                <c:pt idx="79">
                  <c:v>1797.966187</c:v>
                </c:pt>
                <c:pt idx="80">
                  <c:v>1797.4696039999999</c:v>
                </c:pt>
                <c:pt idx="81">
                  <c:v>1797.0047609999999</c:v>
                </c:pt>
                <c:pt idx="82">
                  <c:v>1796.8564449999999</c:v>
                </c:pt>
                <c:pt idx="83">
                  <c:v>1796.394775</c:v>
                </c:pt>
                <c:pt idx="84">
                  <c:v>1796.049927</c:v>
                </c:pt>
                <c:pt idx="85">
                  <c:v>1796.282837</c:v>
                </c:pt>
                <c:pt idx="86">
                  <c:v>1796.6791989999999</c:v>
                </c:pt>
                <c:pt idx="87">
                  <c:v>1796.1473390000001</c:v>
                </c:pt>
                <c:pt idx="88">
                  <c:v>1795.8645019999999</c:v>
                </c:pt>
                <c:pt idx="89">
                  <c:v>1795.3881839999999</c:v>
                </c:pt>
                <c:pt idx="90">
                  <c:v>1796.0673830000001</c:v>
                </c:pt>
                <c:pt idx="91">
                  <c:v>1795.897461</c:v>
                </c:pt>
                <c:pt idx="92">
                  <c:v>1795.6870120000001</c:v>
                </c:pt>
                <c:pt idx="93">
                  <c:v>1795.7695309999999</c:v>
                </c:pt>
                <c:pt idx="94">
                  <c:v>1795.3359379999999</c:v>
                </c:pt>
                <c:pt idx="95">
                  <c:v>1795.135986</c:v>
                </c:pt>
                <c:pt idx="96">
                  <c:v>1794.7921140000001</c:v>
                </c:pt>
                <c:pt idx="97">
                  <c:v>1795.508057</c:v>
                </c:pt>
                <c:pt idx="98">
                  <c:v>1795.423096</c:v>
                </c:pt>
                <c:pt idx="99">
                  <c:v>1795.0623780000001</c:v>
                </c:pt>
                <c:pt idx="100">
                  <c:v>1794.9605710000001</c:v>
                </c:pt>
                <c:pt idx="101">
                  <c:v>1795.3258060000001</c:v>
                </c:pt>
                <c:pt idx="102">
                  <c:v>1794.965698</c:v>
                </c:pt>
                <c:pt idx="103">
                  <c:v>1794.5692140000001</c:v>
                </c:pt>
                <c:pt idx="104">
                  <c:v>1795.0614009999999</c:v>
                </c:pt>
                <c:pt idx="105">
                  <c:v>1795.073975</c:v>
                </c:pt>
                <c:pt idx="106">
                  <c:v>1794.959595</c:v>
                </c:pt>
                <c:pt idx="107">
                  <c:v>1795.0233149999999</c:v>
                </c:pt>
                <c:pt idx="108">
                  <c:v>1794.7974850000001</c:v>
                </c:pt>
                <c:pt idx="109">
                  <c:v>1794.8438719999999</c:v>
                </c:pt>
                <c:pt idx="110">
                  <c:v>1795.155884</c:v>
                </c:pt>
                <c:pt idx="111">
                  <c:v>1795.487183</c:v>
                </c:pt>
                <c:pt idx="112">
                  <c:v>1795.4223629999999</c:v>
                </c:pt>
                <c:pt idx="113">
                  <c:v>1795.271362</c:v>
                </c:pt>
                <c:pt idx="114">
                  <c:v>1795.2066649999999</c:v>
                </c:pt>
                <c:pt idx="115">
                  <c:v>1795.453857</c:v>
                </c:pt>
                <c:pt idx="116">
                  <c:v>1795.319702</c:v>
                </c:pt>
                <c:pt idx="117">
                  <c:v>1795.3862300000001</c:v>
                </c:pt>
                <c:pt idx="118">
                  <c:v>1795.5668949999999</c:v>
                </c:pt>
                <c:pt idx="119">
                  <c:v>1795.851318</c:v>
                </c:pt>
                <c:pt idx="120">
                  <c:v>1795.6629640000001</c:v>
                </c:pt>
                <c:pt idx="121">
                  <c:v>1795.8808590000001</c:v>
                </c:pt>
                <c:pt idx="122">
                  <c:v>1796.2423100000001</c:v>
                </c:pt>
                <c:pt idx="123">
                  <c:v>1795.9105219999999</c:v>
                </c:pt>
                <c:pt idx="124">
                  <c:v>1796.212769</c:v>
                </c:pt>
                <c:pt idx="125">
                  <c:v>1795.7075199999999</c:v>
                </c:pt>
                <c:pt idx="126">
                  <c:v>1795.925293</c:v>
                </c:pt>
                <c:pt idx="127">
                  <c:v>1797.143433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PANI_1stPhase!$I$2:$I$102</c:f>
              <c:numCache>
                <c:formatCode>General</c:formatCode>
                <c:ptCount val="101"/>
                <c:pt idx="0">
                  <c:v>7.5790737749171813</c:v>
                </c:pt>
                <c:pt idx="1">
                  <c:v>7.5594362731998226</c:v>
                </c:pt>
                <c:pt idx="2">
                  <c:v>7.5488746101719082</c:v>
                </c:pt>
                <c:pt idx="3">
                  <c:v>7.5415666570286346</c:v>
                </c:pt>
                <c:pt idx="4">
                  <c:v>7.5368211256118443</c:v>
                </c:pt>
                <c:pt idx="5">
                  <c:v>7.5332035458876359</c:v>
                </c:pt>
                <c:pt idx="6">
                  <c:v>7.5302793189955244</c:v>
                </c:pt>
                <c:pt idx="7">
                  <c:v>7.5278579426423953</c:v>
                </c:pt>
                <c:pt idx="8">
                  <c:v>7.5272170897717006</c:v>
                </c:pt>
                <c:pt idx="9">
                  <c:v>7.5254842658844536</c:v>
                </c:pt>
                <c:pt idx="10">
                  <c:v>7.5236725444225838</c:v>
                </c:pt>
                <c:pt idx="11">
                  <c:v>7.5227918491243093</c:v>
                </c:pt>
                <c:pt idx="12">
                  <c:v>7.5213870427845864</c:v>
                </c:pt>
                <c:pt idx="13">
                  <c:v>7.5198679472762668</c:v>
                </c:pt>
                <c:pt idx="14">
                  <c:v>7.5184747997966053</c:v>
                </c:pt>
                <c:pt idx="15">
                  <c:v>7.5172229942917221</c:v>
                </c:pt>
                <c:pt idx="16">
                  <c:v>7.5165186420380197</c:v>
                </c:pt>
                <c:pt idx="17">
                  <c:v>7.5155471367192961</c:v>
                </c:pt>
                <c:pt idx="18">
                  <c:v>7.5147068232001075</c:v>
                </c:pt>
                <c:pt idx="19">
                  <c:v>7.5137164403943073</c:v>
                </c:pt>
                <c:pt idx="20">
                  <c:v>7.5131398238828577</c:v>
                </c:pt>
                <c:pt idx="21">
                  <c:v>7.5126158778244045</c:v>
                </c:pt>
                <c:pt idx="22">
                  <c:v>7.511941229186947</c:v>
                </c:pt>
                <c:pt idx="23">
                  <c:v>7.5109728105358027</c:v>
                </c:pt>
                <c:pt idx="24">
                  <c:v>7.51076510796275</c:v>
                </c:pt>
                <c:pt idx="25">
                  <c:v>7.5096692480466034</c:v>
                </c:pt>
                <c:pt idx="26">
                  <c:v>7.5093210187918134</c:v>
                </c:pt>
                <c:pt idx="27">
                  <c:v>7.5086820269489785</c:v>
                </c:pt>
                <c:pt idx="28">
                  <c:v>7.5078384005187795</c:v>
                </c:pt>
                <c:pt idx="29">
                  <c:v>7.5074487221317474</c:v>
                </c:pt>
                <c:pt idx="30">
                  <c:v>7.5067804348018905</c:v>
                </c:pt>
                <c:pt idx="31">
                  <c:v>7.5064008090897909</c:v>
                </c:pt>
                <c:pt idx="32">
                  <c:v>7.5059229196203665</c:v>
                </c:pt>
                <c:pt idx="33">
                  <c:v>7.5052628798915846</c:v>
                </c:pt>
                <c:pt idx="34">
                  <c:v>7.5047742326284421</c:v>
                </c:pt>
                <c:pt idx="35">
                  <c:v>7.5043947854776203</c:v>
                </c:pt>
                <c:pt idx="36">
                  <c:v>7.5037818953804694</c:v>
                </c:pt>
                <c:pt idx="37">
                  <c:v>7.5036505947369152</c:v>
                </c:pt>
                <c:pt idx="38">
                  <c:v>7.5028362390442398</c:v>
                </c:pt>
                <c:pt idx="39">
                  <c:v>7.5026296008856947</c:v>
                </c:pt>
                <c:pt idx="40">
                  <c:v>7.502445616381312</c:v>
                </c:pt>
                <c:pt idx="41">
                  <c:v>7.502045812801545</c:v>
                </c:pt>
                <c:pt idx="42">
                  <c:v>7.5015845096454079</c:v>
                </c:pt>
                <c:pt idx="43">
                  <c:v>7.5011764711902753</c:v>
                </c:pt>
                <c:pt idx="44">
                  <c:v>7.5007863468203793</c:v>
                </c:pt>
                <c:pt idx="45">
                  <c:v>7.5004930458148529</c:v>
                </c:pt>
                <c:pt idx="46">
                  <c:v>7.500309275965793</c:v>
                </c:pt>
                <c:pt idx="47">
                  <c:v>7.5000551949384615</c:v>
                </c:pt>
                <c:pt idx="48">
                  <c:v>7.4998261695805422</c:v>
                </c:pt>
                <c:pt idx="49">
                  <c:v>7.4996515976770484</c:v>
                </c:pt>
                <c:pt idx="50">
                  <c:v>7.4992793898128873</c:v>
                </c:pt>
                <c:pt idx="51">
                  <c:v>7.4990752588131731</c:v>
                </c:pt>
                <c:pt idx="52">
                  <c:v>7.4988374920396677</c:v>
                </c:pt>
                <c:pt idx="53">
                  <c:v>7.4986039289972171</c:v>
                </c:pt>
                <c:pt idx="54">
                  <c:v>7.4982718432049849</c:v>
                </c:pt>
                <c:pt idx="55">
                  <c:v>7.4978390402038482</c:v>
                </c:pt>
                <c:pt idx="56">
                  <c:v>7.4978297032992485</c:v>
                </c:pt>
                <c:pt idx="57">
                  <c:v>7.4974876813754072</c:v>
                </c:pt>
                <c:pt idx="58">
                  <c:v>7.4972393818653682</c:v>
                </c:pt>
                <c:pt idx="59">
                  <c:v>7.4970460748896199</c:v>
                </c:pt>
                <c:pt idx="60">
                  <c:v>7.4968726420015503</c:v>
                </c:pt>
                <c:pt idx="61">
                  <c:v>7.4966986368791311</c:v>
                </c:pt>
                <c:pt idx="62">
                  <c:v>7.4967690823084876</c:v>
                </c:pt>
                <c:pt idx="63">
                  <c:v>7.4964821889375264</c:v>
                </c:pt>
                <c:pt idx="64">
                  <c:v>7.4962988323718829</c:v>
                </c:pt>
                <c:pt idx="65">
                  <c:v>7.4959379160324922</c:v>
                </c:pt>
                <c:pt idx="66">
                  <c:v>7.4960671831441852</c:v>
                </c:pt>
                <c:pt idx="67">
                  <c:v>7.4955422149953304</c:v>
                </c:pt>
                <c:pt idx="68">
                  <c:v>7.495745644802482</c:v>
                </c:pt>
                <c:pt idx="69">
                  <c:v>7.4956270502626055</c:v>
                </c:pt>
                <c:pt idx="70">
                  <c:v>7.4954402137099176</c:v>
                </c:pt>
                <c:pt idx="71">
                  <c:v>7.4953662151115266</c:v>
                </c:pt>
                <c:pt idx="72">
                  <c:v>7.494999330029315</c:v>
                </c:pt>
                <c:pt idx="73">
                  <c:v>7.4947969697932866</c:v>
                </c:pt>
                <c:pt idx="74">
                  <c:v>7.4947146434322551</c:v>
                </c:pt>
                <c:pt idx="75">
                  <c:v>7.4948141402105142</c:v>
                </c:pt>
                <c:pt idx="76">
                  <c:v>7.4944580505729634</c:v>
                </c:pt>
                <c:pt idx="77">
                  <c:v>7.4945576407279173</c:v>
                </c:pt>
                <c:pt idx="78">
                  <c:v>7.4941535838917206</c:v>
                </c:pt>
                <c:pt idx="79">
                  <c:v>7.4944114089592935</c:v>
                </c:pt>
                <c:pt idx="80">
                  <c:v>7.4941351792992332</c:v>
                </c:pt>
                <c:pt idx="81">
                  <c:v>7.4938765361957422</c:v>
                </c:pt>
                <c:pt idx="82">
                  <c:v>7.4937939976715295</c:v>
                </c:pt>
                <c:pt idx="83">
                  <c:v>7.4935370326143849</c:v>
                </c:pt>
                <c:pt idx="84">
                  <c:v>7.4933450474735324</c:v>
                </c:pt>
                <c:pt idx="85">
                  <c:v>7.4934747180890504</c:v>
                </c:pt>
                <c:pt idx="86">
                  <c:v>7.4936953505352806</c:v>
                </c:pt>
                <c:pt idx="87">
                  <c:v>7.4933992828023914</c:v>
                </c:pt>
                <c:pt idx="88">
                  <c:v>7.4932418016953664</c:v>
                </c:pt>
                <c:pt idx="89">
                  <c:v>7.4929765360377028</c:v>
                </c:pt>
                <c:pt idx="90">
                  <c:v>7.4933547665325131</c:v>
                </c:pt>
                <c:pt idx="91">
                  <c:v>7.493260154247869</c:v>
                </c:pt>
                <c:pt idx="92">
                  <c:v>7.4931429641877028</c:v>
                </c:pt>
                <c:pt idx="93">
                  <c:v>7.4931889171313211</c:v>
                </c:pt>
                <c:pt idx="94">
                  <c:v>7.4929474355007484</c:v>
                </c:pt>
                <c:pt idx="95">
                  <c:v>7.492836056270141</c:v>
                </c:pt>
                <c:pt idx="96">
                  <c:v>7.4926444802878516</c:v>
                </c:pt>
                <c:pt idx="97">
                  <c:v>7.4930433009855042</c:v>
                </c:pt>
                <c:pt idx="98">
                  <c:v>7.4929959812255893</c:v>
                </c:pt>
                <c:pt idx="99">
                  <c:v>7.4927950512935082</c:v>
                </c:pt>
                <c:pt idx="100">
                  <c:v>7.4927383346644101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PANI_1stPhase!$B$2:$B$102</c:f>
              <c:numCache>
                <c:formatCode>General</c:formatCode>
                <c:ptCount val="101"/>
                <c:pt idx="0">
                  <c:v>1956.8156739999999</c:v>
                </c:pt>
                <c:pt idx="1">
                  <c:v>1918.7635499999999</c:v>
                </c:pt>
                <c:pt idx="2">
                  <c:v>1898.6048579999999</c:v>
                </c:pt>
                <c:pt idx="3">
                  <c:v>1884.780518</c:v>
                </c:pt>
                <c:pt idx="4">
                  <c:v>1875.857422</c:v>
                </c:pt>
                <c:pt idx="5">
                  <c:v>1869.0836179999999</c:v>
                </c:pt>
                <c:pt idx="6">
                  <c:v>1863.6259769999999</c:v>
                </c:pt>
                <c:pt idx="7">
                  <c:v>1859.1188959999999</c:v>
                </c:pt>
                <c:pt idx="8">
                  <c:v>1857.927856</c:v>
                </c:pt>
                <c:pt idx="9">
                  <c:v>1854.711182</c:v>
                </c:pt>
                <c:pt idx="10">
                  <c:v>1851.354004</c:v>
                </c:pt>
                <c:pt idx="11">
                  <c:v>1849.7242429999999</c:v>
                </c:pt>
                <c:pt idx="12">
                  <c:v>1847.127563</c:v>
                </c:pt>
                <c:pt idx="13">
                  <c:v>1844.3237300000001</c:v>
                </c:pt>
                <c:pt idx="14">
                  <c:v>1841.7561040000001</c:v>
                </c:pt>
                <c:pt idx="15">
                  <c:v>1839.4520259999999</c:v>
                </c:pt>
                <c:pt idx="16">
                  <c:v>1838.1568600000001</c:v>
                </c:pt>
                <c:pt idx="17">
                  <c:v>1836.371948</c:v>
                </c:pt>
                <c:pt idx="18">
                  <c:v>1834.8294679999999</c:v>
                </c:pt>
                <c:pt idx="19">
                  <c:v>1833.0131839999999</c:v>
                </c:pt>
                <c:pt idx="20">
                  <c:v>1831.956543</c:v>
                </c:pt>
                <c:pt idx="21">
                  <c:v>1830.996948</c:v>
                </c:pt>
                <c:pt idx="22">
                  <c:v>1829.7620850000001</c:v>
                </c:pt>
                <c:pt idx="23">
                  <c:v>1827.990967</c:v>
                </c:pt>
                <c:pt idx="24">
                  <c:v>1827.611328</c:v>
                </c:pt>
                <c:pt idx="25">
                  <c:v>1825.6096190000001</c:v>
                </c:pt>
                <c:pt idx="26">
                  <c:v>1824.973999</c:v>
                </c:pt>
                <c:pt idx="27">
                  <c:v>1823.8082280000001</c:v>
                </c:pt>
                <c:pt idx="28">
                  <c:v>1822.270264</c:v>
                </c:pt>
                <c:pt idx="29">
                  <c:v>1821.560303</c:v>
                </c:pt>
                <c:pt idx="30">
                  <c:v>1820.343384</c:v>
                </c:pt>
                <c:pt idx="31">
                  <c:v>1819.652466</c:v>
                </c:pt>
                <c:pt idx="32">
                  <c:v>1818.783081</c:v>
                </c:pt>
                <c:pt idx="33">
                  <c:v>1817.5830080000001</c:v>
                </c:pt>
                <c:pt idx="34">
                  <c:v>1816.695068</c:v>
                </c:pt>
                <c:pt idx="35">
                  <c:v>1816.0058590000001</c:v>
                </c:pt>
                <c:pt idx="36">
                  <c:v>1814.893188</c:v>
                </c:pt>
                <c:pt idx="37">
                  <c:v>1814.6549070000001</c:v>
                </c:pt>
                <c:pt idx="38">
                  <c:v>1813.1777340000001</c:v>
                </c:pt>
                <c:pt idx="39">
                  <c:v>1812.803101</c:v>
                </c:pt>
                <c:pt idx="40">
                  <c:v>1812.4696039999999</c:v>
                </c:pt>
                <c:pt idx="41">
                  <c:v>1811.7451169999999</c:v>
                </c:pt>
                <c:pt idx="42">
                  <c:v>1810.9095460000001</c:v>
                </c:pt>
                <c:pt idx="43">
                  <c:v>1810.1707759999999</c:v>
                </c:pt>
                <c:pt idx="44">
                  <c:v>1809.4647219999999</c:v>
                </c:pt>
                <c:pt idx="45">
                  <c:v>1808.934082</c:v>
                </c:pt>
                <c:pt idx="46">
                  <c:v>1808.6016850000001</c:v>
                </c:pt>
                <c:pt idx="47">
                  <c:v>1808.142212</c:v>
                </c:pt>
                <c:pt idx="48">
                  <c:v>1807.728149</c:v>
                </c:pt>
                <c:pt idx="49">
                  <c:v>1807.4125979999999</c:v>
                </c:pt>
                <c:pt idx="50">
                  <c:v>1806.73999</c:v>
                </c:pt>
                <c:pt idx="51">
                  <c:v>1806.371216</c:v>
                </c:pt>
                <c:pt idx="52">
                  <c:v>1805.9417719999999</c:v>
                </c:pt>
                <c:pt idx="53">
                  <c:v>1805.5200199999999</c:v>
                </c:pt>
                <c:pt idx="54">
                  <c:v>1804.9205320000001</c:v>
                </c:pt>
                <c:pt idx="55">
                  <c:v>1804.1395259999999</c:v>
                </c:pt>
                <c:pt idx="56">
                  <c:v>1804.1226810000001</c:v>
                </c:pt>
                <c:pt idx="57">
                  <c:v>1803.505737</c:v>
                </c:pt>
                <c:pt idx="58">
                  <c:v>1803.0579829999999</c:v>
                </c:pt>
                <c:pt idx="59">
                  <c:v>1802.7094729999999</c:v>
                </c:pt>
                <c:pt idx="60">
                  <c:v>1802.396851</c:v>
                </c:pt>
                <c:pt idx="61">
                  <c:v>1802.0832519999999</c:v>
                </c:pt>
                <c:pt idx="62">
                  <c:v>1802.2102050000001</c:v>
                </c:pt>
                <c:pt idx="63">
                  <c:v>1801.693237</c:v>
                </c:pt>
                <c:pt idx="64">
                  <c:v>1801.3629149999999</c:v>
                </c:pt>
                <c:pt idx="65">
                  <c:v>1800.7128909999999</c:v>
                </c:pt>
                <c:pt idx="66">
                  <c:v>1800.9456789999999</c:v>
                </c:pt>
                <c:pt idx="67">
                  <c:v>1800.0004879999999</c:v>
                </c:pt>
                <c:pt idx="68">
                  <c:v>1800.3666989999999</c:v>
                </c:pt>
                <c:pt idx="69">
                  <c:v>1800.153198</c:v>
                </c:pt>
                <c:pt idx="70">
                  <c:v>1799.8168949999999</c:v>
                </c:pt>
                <c:pt idx="71">
                  <c:v>1799.683716</c:v>
                </c:pt>
                <c:pt idx="72">
                  <c:v>1799.0235600000001</c:v>
                </c:pt>
                <c:pt idx="73">
                  <c:v>1798.6595460000001</c:v>
                </c:pt>
                <c:pt idx="74">
                  <c:v>1798.511475</c:v>
                </c:pt>
                <c:pt idx="75">
                  <c:v>1798.6904300000001</c:v>
                </c:pt>
                <c:pt idx="76">
                  <c:v>1798.0500489999999</c:v>
                </c:pt>
                <c:pt idx="77">
                  <c:v>1798.229126</c:v>
                </c:pt>
                <c:pt idx="78">
                  <c:v>1797.502686</c:v>
                </c:pt>
                <c:pt idx="79">
                  <c:v>1797.966187</c:v>
                </c:pt>
                <c:pt idx="80">
                  <c:v>1797.4696039999999</c:v>
                </c:pt>
                <c:pt idx="81">
                  <c:v>1797.0047609999999</c:v>
                </c:pt>
                <c:pt idx="82">
                  <c:v>1796.8564449999999</c:v>
                </c:pt>
                <c:pt idx="83">
                  <c:v>1796.394775</c:v>
                </c:pt>
                <c:pt idx="84">
                  <c:v>1796.049927</c:v>
                </c:pt>
                <c:pt idx="85">
                  <c:v>1796.282837</c:v>
                </c:pt>
                <c:pt idx="86">
                  <c:v>1796.6791989999999</c:v>
                </c:pt>
                <c:pt idx="87">
                  <c:v>1796.1473390000001</c:v>
                </c:pt>
                <c:pt idx="88">
                  <c:v>1795.8645019999999</c:v>
                </c:pt>
                <c:pt idx="89">
                  <c:v>1795.3881839999999</c:v>
                </c:pt>
                <c:pt idx="90">
                  <c:v>1796.0673830000001</c:v>
                </c:pt>
                <c:pt idx="91">
                  <c:v>1795.897461</c:v>
                </c:pt>
                <c:pt idx="92">
                  <c:v>1795.6870120000001</c:v>
                </c:pt>
                <c:pt idx="93">
                  <c:v>1795.7695309999999</c:v>
                </c:pt>
                <c:pt idx="94">
                  <c:v>1795.3359379999999</c:v>
                </c:pt>
                <c:pt idx="95">
                  <c:v>1795.135986</c:v>
                </c:pt>
                <c:pt idx="96">
                  <c:v>1794.7921140000001</c:v>
                </c:pt>
                <c:pt idx="97">
                  <c:v>1795.508057</c:v>
                </c:pt>
                <c:pt idx="98">
                  <c:v>1795.423096</c:v>
                </c:pt>
                <c:pt idx="99">
                  <c:v>1795.0623780000001</c:v>
                </c:pt>
                <c:pt idx="100">
                  <c:v>1794.9605710000001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413346132339159"/>
                  <c:y val="0.210617891513560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</c:numCache>
            </c:numRef>
          </c:xVal>
          <c:yVal>
            <c:numRef>
              <c:f>PANI_1stPhase!$H$2:$H$81</c:f>
              <c:numCache>
                <c:formatCode>General</c:formatCode>
                <c:ptCount val="80"/>
                <c:pt idx="0">
                  <c:v>5.0709949333569337</c:v>
                </c:pt>
                <c:pt idx="1">
                  <c:v>4.7981072813783792</c:v>
                </c:pt>
                <c:pt idx="2">
                  <c:v>4.6163272933439954</c:v>
                </c:pt>
                <c:pt idx="3">
                  <c:v>4.4693231772499411</c:v>
                </c:pt>
                <c:pt idx="4">
                  <c:v>4.3614989000509148</c:v>
                </c:pt>
                <c:pt idx="5">
                  <c:v>4.2711051018492805</c:v>
                </c:pt>
                <c:pt idx="6">
                  <c:v>4.1918202289994779</c:v>
                </c:pt>
                <c:pt idx="7">
                  <c:v>4.1212460505224664</c:v>
                </c:pt>
                <c:pt idx="8">
                  <c:v>4.1017331327192048</c:v>
                </c:pt>
                <c:pt idx="9">
                  <c:v>4.0470482167497375</c:v>
                </c:pt>
                <c:pt idx="10">
                  <c:v>3.986594230263774</c:v>
                </c:pt>
                <c:pt idx="11">
                  <c:v>3.9558741929072472</c:v>
                </c:pt>
                <c:pt idx="12">
                  <c:v>3.9048908922663252</c:v>
                </c:pt>
                <c:pt idx="13">
                  <c:v>3.8467552584700466</c:v>
                </c:pt>
                <c:pt idx="14">
                  <c:v>3.7903796181933926</c:v>
                </c:pt>
                <c:pt idx="15">
                  <c:v>3.736934252730288</c:v>
                </c:pt>
                <c:pt idx="16">
                  <c:v>3.7055880842471844</c:v>
                </c:pt>
                <c:pt idx="17">
                  <c:v>3.6607126685674416</c:v>
                </c:pt>
                <c:pt idx="18">
                  <c:v>3.6202410198067043</c:v>
                </c:pt>
                <c:pt idx="19">
                  <c:v>3.5703854032461333</c:v>
                </c:pt>
                <c:pt idx="20">
                  <c:v>3.5401950610482507</c:v>
                </c:pt>
                <c:pt idx="21">
                  <c:v>3.5119646942147806</c:v>
                </c:pt>
                <c:pt idx="22">
                  <c:v>3.4744225952515446</c:v>
                </c:pt>
                <c:pt idx="23">
                  <c:v>3.4179911404448533</c:v>
                </c:pt>
                <c:pt idx="24">
                  <c:v>3.4054691778680599</c:v>
                </c:pt>
                <c:pt idx="25">
                  <c:v>3.3367199786568364</c:v>
                </c:pt>
                <c:pt idx="26">
                  <c:v>3.3138622795519326</c:v>
                </c:pt>
                <c:pt idx="27">
                  <c:v>3.2705315175815497</c:v>
                </c:pt>
                <c:pt idx="28">
                  <c:v>3.2103340071944544</c:v>
                </c:pt>
                <c:pt idx="29">
                  <c:v>3.1812737657873069</c:v>
                </c:pt>
                <c:pt idx="30">
                  <c:v>3.129409830495991</c:v>
                </c:pt>
                <c:pt idx="31">
                  <c:v>3.0987204474330006</c:v>
                </c:pt>
                <c:pt idx="32">
                  <c:v>3.0587155703318598</c:v>
                </c:pt>
                <c:pt idx="33">
                  <c:v>3.0007251881849277</c:v>
                </c:pt>
                <c:pt idx="34">
                  <c:v>2.9555438282990116</c:v>
                </c:pt>
                <c:pt idx="35">
                  <c:v>2.9190109896738017</c:v>
                </c:pt>
                <c:pt idx="36">
                  <c:v>2.8570612958603956</c:v>
                </c:pt>
                <c:pt idx="37">
                  <c:v>2.8432805580025828</c:v>
                </c:pt>
                <c:pt idx="38">
                  <c:v>2.7533316136212354</c:v>
                </c:pt>
                <c:pt idx="39">
                  <c:v>2.7291722843308159</c:v>
                </c:pt>
                <c:pt idx="40">
                  <c:v>2.7071634080174207</c:v>
                </c:pt>
                <c:pt idx="41">
                  <c:v>2.6576138727476857</c:v>
                </c:pt>
                <c:pt idx="42">
                  <c:v>2.5972412399556539</c:v>
                </c:pt>
                <c:pt idx="43">
                  <c:v>2.5406468918308613</c:v>
                </c:pt>
                <c:pt idx="44">
                  <c:v>2.4833906679346263</c:v>
                </c:pt>
                <c:pt idx="45">
                  <c:v>2.4380929561132998</c:v>
                </c:pt>
                <c:pt idx="46">
                  <c:v>2.4086360202629269</c:v>
                </c:pt>
                <c:pt idx="47">
                  <c:v>2.3664338763171702</c:v>
                </c:pt>
                <c:pt idx="48">
                  <c:v>2.3268140859343176</c:v>
                </c:pt>
                <c:pt idx="49">
                  <c:v>2.2955300647043599</c:v>
                </c:pt>
                <c:pt idx="50">
                  <c:v>2.2253897444100779</c:v>
                </c:pt>
                <c:pt idx="51">
                  <c:v>2.1847376052606755</c:v>
                </c:pt>
                <c:pt idx="52">
                  <c:v>2.1352158313951111</c:v>
                </c:pt>
                <c:pt idx="53">
                  <c:v>2.0840708100634933</c:v>
                </c:pt>
                <c:pt idx="54">
                  <c:v>2.0065525186134319</c:v>
                </c:pt>
                <c:pt idx="55">
                  <c:v>1.8956127495772015</c:v>
                </c:pt>
                <c:pt idx="56">
                  <c:v>1.8930789810167286</c:v>
                </c:pt>
                <c:pt idx="57">
                  <c:v>1.795558410769921</c:v>
                </c:pt>
                <c:pt idx="58">
                  <c:v>1.7183072051277266</c:v>
                </c:pt>
                <c:pt idx="59">
                  <c:v>1.6537558051751873</c:v>
                </c:pt>
                <c:pt idx="60">
                  <c:v>1.5920783025392995</c:v>
                </c:pt>
                <c:pt idx="61">
                  <c:v>1.5261328223065256</c:v>
                </c:pt>
                <c:pt idx="62">
                  <c:v>1.5533552726828548</c:v>
                </c:pt>
                <c:pt idx="63">
                  <c:v>1.4375426919965932</c:v>
                </c:pt>
                <c:pt idx="64">
                  <c:v>1.3558390196070798</c:v>
                </c:pt>
                <c:pt idx="65">
                  <c:v>1.1724793508529516</c:v>
                </c:pt>
                <c:pt idx="66">
                  <c:v>1.2420714458845705</c:v>
                </c:pt>
                <c:pt idx="67">
                  <c:v>0.92330130031244106</c:v>
                </c:pt>
                <c:pt idx="68">
                  <c:v>1.0591085221256478</c:v>
                </c:pt>
                <c:pt idx="69">
                  <c:v>0.98219007667106351</c:v>
                </c:pt>
                <c:pt idx="70">
                  <c:v>0.84758139161697921</c:v>
                </c:pt>
                <c:pt idx="71">
                  <c:v>0.78882820068542114</c:v>
                </c:pt>
                <c:pt idx="72">
                  <c:v>0.43221089604368063</c:v>
                </c:pt>
                <c:pt idx="73">
                  <c:v>0.1626680183835757</c:v>
                </c:pt>
                <c:pt idx="74">
                  <c:v>2.8174349182935314E-2</c:v>
                </c:pt>
                <c:pt idx="75">
                  <c:v>0.18857695095657315</c:v>
                </c:pt>
                <c:pt idx="76">
                  <c:v>-0.56713322318066384</c:v>
                </c:pt>
                <c:pt idx="77">
                  <c:v>-0.29272677559654353</c:v>
                </c:pt>
                <c:pt idx="78">
                  <c:v>-3.9227806620777019</c:v>
                </c:pt>
                <c:pt idx="79">
                  <c:v>-0.7271445988996158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4-47AB-A321-C1CD2C20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7899842005230157"/>
                  <c:y val="-0.304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</c:numCache>
            </c:numRef>
          </c:xVal>
          <c:yVal>
            <c:numRef>
              <c:f>PANI_1stPhase!$F$2:$F$81</c:f>
              <c:numCache>
                <c:formatCode>General</c:formatCode>
                <c:ptCount val="80"/>
                <c:pt idx="0">
                  <c:v>159.33277399999997</c:v>
                </c:pt>
                <c:pt idx="1">
                  <c:v>121.28064999999992</c:v>
                </c:pt>
                <c:pt idx="2">
                  <c:v>101.12195799999995</c:v>
                </c:pt>
                <c:pt idx="3">
                  <c:v>87.297618000000057</c:v>
                </c:pt>
                <c:pt idx="4">
                  <c:v>78.37452200000007</c:v>
                </c:pt>
                <c:pt idx="5">
                  <c:v>71.600717999999915</c:v>
                </c:pt>
                <c:pt idx="6">
                  <c:v>66.143076999999948</c:v>
                </c:pt>
                <c:pt idx="7">
                  <c:v>61.635995999999977</c:v>
                </c:pt>
                <c:pt idx="8">
                  <c:v>60.444956000000047</c:v>
                </c:pt>
                <c:pt idx="9">
                  <c:v>57.228282000000036</c:v>
                </c:pt>
                <c:pt idx="10">
                  <c:v>53.871104000000059</c:v>
                </c:pt>
                <c:pt idx="11">
                  <c:v>52.241342999999915</c:v>
                </c:pt>
                <c:pt idx="12">
                  <c:v>49.644663000000037</c:v>
                </c:pt>
                <c:pt idx="13">
                  <c:v>46.840830000000096</c:v>
                </c:pt>
                <c:pt idx="14">
                  <c:v>44.273204000000078</c:v>
                </c:pt>
                <c:pt idx="15">
                  <c:v>41.96912599999996</c:v>
                </c:pt>
                <c:pt idx="16">
                  <c:v>40.673960000000079</c:v>
                </c:pt>
                <c:pt idx="17">
                  <c:v>38.889048000000003</c:v>
                </c:pt>
                <c:pt idx="18">
                  <c:v>37.346567999999934</c:v>
                </c:pt>
                <c:pt idx="19">
                  <c:v>35.530283999999938</c:v>
                </c:pt>
                <c:pt idx="20">
                  <c:v>34.473643000000038</c:v>
                </c:pt>
                <c:pt idx="21">
                  <c:v>33.514048000000003</c:v>
                </c:pt>
                <c:pt idx="22">
                  <c:v>32.279185000000098</c:v>
                </c:pt>
                <c:pt idx="23">
                  <c:v>30.508066999999983</c:v>
                </c:pt>
                <c:pt idx="24">
                  <c:v>30.128427999999985</c:v>
                </c:pt>
                <c:pt idx="25">
                  <c:v>28.126719000000094</c:v>
                </c:pt>
                <c:pt idx="26">
                  <c:v>27.491099000000077</c:v>
                </c:pt>
                <c:pt idx="27">
                  <c:v>26.325328000000127</c:v>
                </c:pt>
                <c:pt idx="28">
                  <c:v>24.787364000000025</c:v>
                </c:pt>
                <c:pt idx="29">
                  <c:v>24.077403000000004</c:v>
                </c:pt>
                <c:pt idx="30">
                  <c:v>22.860484000000042</c:v>
                </c:pt>
                <c:pt idx="31">
                  <c:v>22.169566000000032</c:v>
                </c:pt>
                <c:pt idx="32">
                  <c:v>21.300181000000066</c:v>
                </c:pt>
                <c:pt idx="33">
                  <c:v>20.100108000000091</c:v>
                </c:pt>
                <c:pt idx="34">
                  <c:v>19.21216800000002</c:v>
                </c:pt>
                <c:pt idx="35">
                  <c:v>18.522959000000128</c:v>
                </c:pt>
                <c:pt idx="36">
                  <c:v>17.410288000000037</c:v>
                </c:pt>
                <c:pt idx="37">
                  <c:v>17.172007000000121</c:v>
                </c:pt>
                <c:pt idx="38">
                  <c:v>15.694834000000128</c:v>
                </c:pt>
                <c:pt idx="39">
                  <c:v>15.320200999999997</c:v>
                </c:pt>
                <c:pt idx="40">
                  <c:v>14.986703999999918</c:v>
                </c:pt>
                <c:pt idx="41">
                  <c:v>14.262216999999964</c:v>
                </c:pt>
                <c:pt idx="42">
                  <c:v>13.426646000000119</c:v>
                </c:pt>
                <c:pt idx="43">
                  <c:v>12.68787599999996</c:v>
                </c:pt>
                <c:pt idx="44">
                  <c:v>11.981821999999966</c:v>
                </c:pt>
                <c:pt idx="45">
                  <c:v>11.451182000000017</c:v>
                </c:pt>
                <c:pt idx="46">
                  <c:v>11.118785000000116</c:v>
                </c:pt>
                <c:pt idx="47">
                  <c:v>10.659312</c:v>
                </c:pt>
                <c:pt idx="48">
                  <c:v>10.245249000000058</c:v>
                </c:pt>
                <c:pt idx="49">
                  <c:v>9.9296979999999166</c:v>
                </c:pt>
                <c:pt idx="50">
                  <c:v>9.257090000000062</c:v>
                </c:pt>
                <c:pt idx="51">
                  <c:v>8.8883160000000316</c:v>
                </c:pt>
                <c:pt idx="52">
                  <c:v>8.4588719999999284</c:v>
                </c:pt>
                <c:pt idx="53">
                  <c:v>8.037119999999959</c:v>
                </c:pt>
                <c:pt idx="54">
                  <c:v>7.4376320000001215</c:v>
                </c:pt>
                <c:pt idx="55">
                  <c:v>6.6566259999999602</c:v>
                </c:pt>
                <c:pt idx="56">
                  <c:v>6.6397810000000845</c:v>
                </c:pt>
                <c:pt idx="57">
                  <c:v>6.0228369999999813</c:v>
                </c:pt>
                <c:pt idx="58">
                  <c:v>5.5750829999999496</c:v>
                </c:pt>
                <c:pt idx="59">
                  <c:v>5.2265729999999166</c:v>
                </c:pt>
                <c:pt idx="60">
                  <c:v>4.9139509999999973</c:v>
                </c:pt>
                <c:pt idx="61">
                  <c:v>4.6003519999999298</c:v>
                </c:pt>
                <c:pt idx="62">
                  <c:v>4.7273050000001149</c:v>
                </c:pt>
                <c:pt idx="63">
                  <c:v>4.2103369999999813</c:v>
                </c:pt>
                <c:pt idx="64">
                  <c:v>3.8800149999999576</c:v>
                </c:pt>
                <c:pt idx="65">
                  <c:v>3.2299909999999272</c:v>
                </c:pt>
                <c:pt idx="66">
                  <c:v>3.462778999999955</c:v>
                </c:pt>
                <c:pt idx="67">
                  <c:v>2.5175879999999324</c:v>
                </c:pt>
                <c:pt idx="68">
                  <c:v>2.8837989999999536</c:v>
                </c:pt>
                <c:pt idx="69">
                  <c:v>2.6702980000000025</c:v>
                </c:pt>
                <c:pt idx="70">
                  <c:v>2.333994999999959</c:v>
                </c:pt>
                <c:pt idx="71">
                  <c:v>2.2008160000000316</c:v>
                </c:pt>
                <c:pt idx="72">
                  <c:v>1.5406600000001163</c:v>
                </c:pt>
                <c:pt idx="73">
                  <c:v>1.1766460000001189</c:v>
                </c:pt>
                <c:pt idx="74">
                  <c:v>1.0285750000000462</c:v>
                </c:pt>
                <c:pt idx="75">
                  <c:v>1.2075300000001334</c:v>
                </c:pt>
                <c:pt idx="76">
                  <c:v>0.56714899999997215</c:v>
                </c:pt>
                <c:pt idx="77">
                  <c:v>0.74622599999997874</c:v>
                </c:pt>
                <c:pt idx="78">
                  <c:v>1.9786000000067361E-2</c:v>
                </c:pt>
                <c:pt idx="79">
                  <c:v>0.48328700000001845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3-4098-8351-18FC60FC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</c:numCache>
            </c:numRef>
          </c:xVal>
          <c:yVal>
            <c:numRef>
              <c:f>Cu_2ndPhase!$I$2:$I$194</c:f>
              <c:numCache>
                <c:formatCode>General</c:formatCode>
                <c:ptCount val="193"/>
                <c:pt idx="0">
                  <c:v>7.7858344366389938</c:v>
                </c:pt>
                <c:pt idx="1">
                  <c:v>7.7846511183746721</c:v>
                </c:pt>
                <c:pt idx="2">
                  <c:v>7.7849195589242823</c:v>
                </c:pt>
                <c:pt idx="3">
                  <c:v>7.7833170907544789</c:v>
                </c:pt>
                <c:pt idx="4">
                  <c:v>7.7830566644168195</c:v>
                </c:pt>
                <c:pt idx="5">
                  <c:v>7.7828759536859264</c:v>
                </c:pt>
                <c:pt idx="6">
                  <c:v>7.7813264650404568</c:v>
                </c:pt>
                <c:pt idx="7">
                  <c:v>7.7808644639471378</c:v>
                </c:pt>
                <c:pt idx="8">
                  <c:v>7.7793706746583737</c:v>
                </c:pt>
                <c:pt idx="9">
                  <c:v>7.7776917737460467</c:v>
                </c:pt>
                <c:pt idx="10">
                  <c:v>7.7761374013233651</c:v>
                </c:pt>
                <c:pt idx="11">
                  <c:v>7.7765805988750687</c:v>
                </c:pt>
                <c:pt idx="12">
                  <c:v>7.7764765516433059</c:v>
                </c:pt>
                <c:pt idx="13">
                  <c:v>7.7752062216355577</c:v>
                </c:pt>
                <c:pt idx="14">
                  <c:v>7.7744081093390722</c:v>
                </c:pt>
                <c:pt idx="15">
                  <c:v>7.7722921868623116</c:v>
                </c:pt>
                <c:pt idx="16">
                  <c:v>7.7696453031411483</c:v>
                </c:pt>
                <c:pt idx="17">
                  <c:v>7.7687650271409794</c:v>
                </c:pt>
                <c:pt idx="18">
                  <c:v>7.767140988768765</c:v>
                </c:pt>
                <c:pt idx="19">
                  <c:v>7.7659427805589871</c:v>
                </c:pt>
                <c:pt idx="55">
                  <c:v>7.6781477260231012</c:v>
                </c:pt>
                <c:pt idx="56">
                  <c:v>7.6756556614902829</c:v>
                </c:pt>
                <c:pt idx="57">
                  <c:v>7.6730050740953697</c:v>
                </c:pt>
                <c:pt idx="58">
                  <c:v>7.6733088504700984</c:v>
                </c:pt>
                <c:pt idx="59">
                  <c:v>7.6743493945445955</c:v>
                </c:pt>
                <c:pt idx="60">
                  <c:v>7.6717034120649217</c:v>
                </c:pt>
                <c:pt idx="61">
                  <c:v>7.6675750467836297</c:v>
                </c:pt>
                <c:pt idx="62">
                  <c:v>7.6656559538212719</c:v>
                </c:pt>
                <c:pt idx="63">
                  <c:v>7.6632050158974909</c:v>
                </c:pt>
                <c:pt idx="64">
                  <c:v>7.664213611989517</c:v>
                </c:pt>
                <c:pt idx="65">
                  <c:v>7.6644192643740157</c:v>
                </c:pt>
                <c:pt idx="66">
                  <c:v>7.6643458301273899</c:v>
                </c:pt>
                <c:pt idx="67">
                  <c:v>7.6652723569322188</c:v>
                </c:pt>
                <c:pt idx="68">
                  <c:v>7.6645802054752004</c:v>
                </c:pt>
                <c:pt idx="69">
                  <c:v>7.6610693709780415</c:v>
                </c:pt>
                <c:pt idx="70">
                  <c:v>7.6600618540841818</c:v>
                </c:pt>
                <c:pt idx="71">
                  <c:v>7.6601238686099533</c:v>
                </c:pt>
                <c:pt idx="72">
                  <c:v>7.6576974924227219</c:v>
                </c:pt>
                <c:pt idx="73">
                  <c:v>7.6561078974821379</c:v>
                </c:pt>
                <c:pt idx="74">
                  <c:v>7.6550621799026066</c:v>
                </c:pt>
                <c:pt idx="75">
                  <c:v>7.6542137541717938</c:v>
                </c:pt>
                <c:pt idx="76">
                  <c:v>7.6532609335243675</c:v>
                </c:pt>
                <c:pt idx="77">
                  <c:v>7.6522884193360614</c:v>
                </c:pt>
                <c:pt idx="78">
                  <c:v>7.6514506336964878</c:v>
                </c:pt>
                <c:pt idx="79">
                  <c:v>7.6510993951729489</c:v>
                </c:pt>
                <c:pt idx="80">
                  <c:v>7.6504435973744789</c:v>
                </c:pt>
                <c:pt idx="81">
                  <c:v>7.6508875009898185</c:v>
                </c:pt>
                <c:pt idx="82">
                  <c:v>7.6512561098774015</c:v>
                </c:pt>
                <c:pt idx="83">
                  <c:v>7.651940258743517</c:v>
                </c:pt>
                <c:pt idx="84">
                  <c:v>7.651154654423566</c:v>
                </c:pt>
                <c:pt idx="85">
                  <c:v>7.6511135584673013</c:v>
                </c:pt>
                <c:pt idx="86">
                  <c:v>7.6504636944552855</c:v>
                </c:pt>
                <c:pt idx="87">
                  <c:v>7.6507783436280921</c:v>
                </c:pt>
                <c:pt idx="88">
                  <c:v>7.6513014944988313</c:v>
                </c:pt>
                <c:pt idx="89">
                  <c:v>7.6514575971339269</c:v>
                </c:pt>
                <c:pt idx="90">
                  <c:v>7.6522371655221608</c:v>
                </c:pt>
                <c:pt idx="91">
                  <c:v>7.6521854450014963</c:v>
                </c:pt>
                <c:pt idx="92">
                  <c:v>7.6514703625969442</c:v>
                </c:pt>
                <c:pt idx="93">
                  <c:v>7.651126908918263</c:v>
                </c:pt>
                <c:pt idx="94">
                  <c:v>7.6510263691156482</c:v>
                </c:pt>
                <c:pt idx="95">
                  <c:v>7.651893394998778</c:v>
                </c:pt>
                <c:pt idx="96">
                  <c:v>7.6495604302124338</c:v>
                </c:pt>
                <c:pt idx="97">
                  <c:v>7.6488841917803674</c:v>
                </c:pt>
                <c:pt idx="98">
                  <c:v>7.6497268026512177</c:v>
                </c:pt>
                <c:pt idx="99">
                  <c:v>7.6506631349940024</c:v>
                </c:pt>
                <c:pt idx="100">
                  <c:v>7.6518360886578325</c:v>
                </c:pt>
                <c:pt idx="101">
                  <c:v>7.6523950930352731</c:v>
                </c:pt>
                <c:pt idx="102">
                  <c:v>7.6526563959677967</c:v>
                </c:pt>
                <c:pt idx="103">
                  <c:v>7.6533149148103998</c:v>
                </c:pt>
                <c:pt idx="104">
                  <c:v>7.6534492772159339</c:v>
                </c:pt>
                <c:pt idx="105">
                  <c:v>7.6501341881123652</c:v>
                </c:pt>
                <c:pt idx="106">
                  <c:v>7.6508908683866821</c:v>
                </c:pt>
                <c:pt idx="107">
                  <c:v>7.6506914737423077</c:v>
                </c:pt>
                <c:pt idx="108">
                  <c:v>7.6493921695320584</c:v>
                </c:pt>
                <c:pt idx="109">
                  <c:v>7.6484625613043722</c:v>
                </c:pt>
                <c:pt idx="110">
                  <c:v>7.6481034010897515</c:v>
                </c:pt>
                <c:pt idx="111">
                  <c:v>7.6476667635179671</c:v>
                </c:pt>
                <c:pt idx="112">
                  <c:v>7.6463481232903341</c:v>
                </c:pt>
                <c:pt idx="113">
                  <c:v>7.6458768753754667</c:v>
                </c:pt>
                <c:pt idx="114">
                  <c:v>7.6472243409587781</c:v>
                </c:pt>
                <c:pt idx="115">
                  <c:v>7.6466810950362589</c:v>
                </c:pt>
                <c:pt idx="116">
                  <c:v>7.6471610553279659</c:v>
                </c:pt>
                <c:pt idx="117">
                  <c:v>7.6470587170704709</c:v>
                </c:pt>
                <c:pt idx="118">
                  <c:v>7.6468183330835222</c:v>
                </c:pt>
                <c:pt idx="119">
                  <c:v>7.6467540890157935</c:v>
                </c:pt>
                <c:pt idx="120">
                  <c:v>7.6450895280845428</c:v>
                </c:pt>
                <c:pt idx="121">
                  <c:v>7.6451112514240158</c:v>
                </c:pt>
                <c:pt idx="122">
                  <c:v>7.6443514693939782</c:v>
                </c:pt>
                <c:pt idx="123">
                  <c:v>7.6437815165378318</c:v>
                </c:pt>
                <c:pt idx="124">
                  <c:v>7.6446523901908474</c:v>
                </c:pt>
                <c:pt idx="125">
                  <c:v>7.6452400638579805</c:v>
                </c:pt>
                <c:pt idx="126">
                  <c:v>7.6455760895419962</c:v>
                </c:pt>
                <c:pt idx="127">
                  <c:v>7.6454117103300021</c:v>
                </c:pt>
                <c:pt idx="128">
                  <c:v>7.6470176859199483</c:v>
                </c:pt>
                <c:pt idx="129">
                  <c:v>7.6465203960850383</c:v>
                </c:pt>
                <c:pt idx="130">
                  <c:v>7.6470469441285625</c:v>
                </c:pt>
                <c:pt idx="131">
                  <c:v>7.6482478958326885</c:v>
                </c:pt>
                <c:pt idx="132">
                  <c:v>7.6488993172223525</c:v>
                </c:pt>
                <c:pt idx="133">
                  <c:v>7.6484490589004519</c:v>
                </c:pt>
                <c:pt idx="134">
                  <c:v>7.648762597085077</c:v>
                </c:pt>
                <c:pt idx="135">
                  <c:v>7.6494748500005407</c:v>
                </c:pt>
                <c:pt idx="136">
                  <c:v>7.6485463660567685</c:v>
                </c:pt>
                <c:pt idx="137">
                  <c:v>7.6486278365506255</c:v>
                </c:pt>
                <c:pt idx="138">
                  <c:v>7.6477317643875908</c:v>
                </c:pt>
                <c:pt idx="139">
                  <c:v>7.6448498382371</c:v>
                </c:pt>
                <c:pt idx="140">
                  <c:v>7.6446065860070274</c:v>
                </c:pt>
                <c:pt idx="141">
                  <c:v>7.6447214430809209</c:v>
                </c:pt>
                <c:pt idx="142">
                  <c:v>7.6455418851118102</c:v>
                </c:pt>
                <c:pt idx="143">
                  <c:v>7.6458160719655908</c:v>
                </c:pt>
                <c:pt idx="144">
                  <c:v>7.6456006037584654</c:v>
                </c:pt>
                <c:pt idx="145">
                  <c:v>7.6454391476370764</c:v>
                </c:pt>
                <c:pt idx="146">
                  <c:v>7.6444430990358825</c:v>
                </c:pt>
                <c:pt idx="147">
                  <c:v>7.6447828973727967</c:v>
                </c:pt>
                <c:pt idx="148">
                  <c:v>7.644752754528418</c:v>
                </c:pt>
                <c:pt idx="149">
                  <c:v>7.6440758280544623</c:v>
                </c:pt>
                <c:pt idx="150">
                  <c:v>7.644304482285329</c:v>
                </c:pt>
                <c:pt idx="151">
                  <c:v>7.6445548196759132</c:v>
                </c:pt>
                <c:pt idx="152">
                  <c:v>7.6463604878316191</c:v>
                </c:pt>
                <c:pt idx="153">
                  <c:v>7.6443519366447799</c:v>
                </c:pt>
                <c:pt idx="154">
                  <c:v>7.6419616916792688</c:v>
                </c:pt>
                <c:pt idx="155">
                  <c:v>7.6413491103496991</c:v>
                </c:pt>
                <c:pt idx="156">
                  <c:v>7.6416462478043075</c:v>
                </c:pt>
                <c:pt idx="157">
                  <c:v>7.6424023493593918</c:v>
                </c:pt>
                <c:pt idx="158">
                  <c:v>7.6427150958546859</c:v>
                </c:pt>
                <c:pt idx="159">
                  <c:v>7.6424943918241741</c:v>
                </c:pt>
                <c:pt idx="160">
                  <c:v>7.6424477859947082</c:v>
                </c:pt>
                <c:pt idx="161">
                  <c:v>7.6425384195025696</c:v>
                </c:pt>
                <c:pt idx="162">
                  <c:v>7.6429517866614578</c:v>
                </c:pt>
                <c:pt idx="163">
                  <c:v>7.6434550652904845</c:v>
                </c:pt>
                <c:pt idx="164">
                  <c:v>7.6439776169832339</c:v>
                </c:pt>
                <c:pt idx="165">
                  <c:v>7.6439794876418299</c:v>
                </c:pt>
                <c:pt idx="166">
                  <c:v>7.6446502867563755</c:v>
                </c:pt>
                <c:pt idx="167">
                  <c:v>7.6444302430713762</c:v>
                </c:pt>
                <c:pt idx="168">
                  <c:v>7.6449020562926622</c:v>
                </c:pt>
                <c:pt idx="169">
                  <c:v>7.6443832601427406</c:v>
                </c:pt>
                <c:pt idx="170">
                  <c:v>7.6430853244580295</c:v>
                </c:pt>
                <c:pt idx="171">
                  <c:v>7.6403974413302826</c:v>
                </c:pt>
                <c:pt idx="172">
                  <c:v>7.640365875452205</c:v>
                </c:pt>
                <c:pt idx="173">
                  <c:v>7.6404792261277397</c:v>
                </c:pt>
                <c:pt idx="174">
                  <c:v>7.6408175584768223</c:v>
                </c:pt>
                <c:pt idx="175">
                  <c:v>7.6411949390139862</c:v>
                </c:pt>
                <c:pt idx="176">
                  <c:v>7.6414988034851605</c:v>
                </c:pt>
                <c:pt idx="177">
                  <c:v>7.6397720413444272</c:v>
                </c:pt>
                <c:pt idx="178">
                  <c:v>7.6407236020169806</c:v>
                </c:pt>
                <c:pt idx="179">
                  <c:v>7.6411638670427919</c:v>
                </c:pt>
                <c:pt idx="180">
                  <c:v>7.6406330383648466</c:v>
                </c:pt>
                <c:pt idx="181">
                  <c:v>7.6411927111121098</c:v>
                </c:pt>
                <c:pt idx="182">
                  <c:v>7.6408378504254619</c:v>
                </c:pt>
                <c:pt idx="183">
                  <c:v>7.6406501665020388</c:v>
                </c:pt>
                <c:pt idx="184">
                  <c:v>7.6397520802914016</c:v>
                </c:pt>
                <c:pt idx="185">
                  <c:v>7.638358051843424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  <c:max val="7.8"/>
          <c:min val="7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</c:numCache>
            </c:numRef>
          </c:xVal>
          <c:yVal>
            <c:numRef>
              <c:f>Cu_2ndPhase!$B$2:$B$197</c:f>
              <c:numCache>
                <c:formatCode>General</c:formatCode>
                <c:ptCount val="196"/>
                <c:pt idx="0">
                  <c:v>2406.273193</c:v>
                </c:pt>
                <c:pt idx="1">
                  <c:v>2403.42749</c:v>
                </c:pt>
                <c:pt idx="2">
                  <c:v>2404.0727539999998</c:v>
                </c:pt>
                <c:pt idx="3">
                  <c:v>2400.2233890000002</c:v>
                </c:pt>
                <c:pt idx="4">
                  <c:v>2399.5983890000002</c:v>
                </c:pt>
                <c:pt idx="5">
                  <c:v>2399.1647950000001</c:v>
                </c:pt>
                <c:pt idx="6">
                  <c:v>2395.4501949999999</c:v>
                </c:pt>
                <c:pt idx="7">
                  <c:v>2394.34375</c:v>
                </c:pt>
                <c:pt idx="8">
                  <c:v>2390.7697750000002</c:v>
                </c:pt>
                <c:pt idx="9">
                  <c:v>2386.7592770000001</c:v>
                </c:pt>
                <c:pt idx="10">
                  <c:v>2383.0522460000002</c:v>
                </c:pt>
                <c:pt idx="11">
                  <c:v>2384.108643</c:v>
                </c:pt>
                <c:pt idx="12">
                  <c:v>2383.860596</c:v>
                </c:pt>
                <c:pt idx="13">
                  <c:v>2380.8342290000001</c:v>
                </c:pt>
                <c:pt idx="14">
                  <c:v>2378.9348140000002</c:v>
                </c:pt>
                <c:pt idx="15">
                  <c:v>2373.9064939999998</c:v>
                </c:pt>
                <c:pt idx="16">
                  <c:v>2367.6313479999999</c:v>
                </c:pt>
                <c:pt idx="17">
                  <c:v>2365.548096</c:v>
                </c:pt>
                <c:pt idx="18">
                  <c:v>2361.7094729999999</c:v>
                </c:pt>
                <c:pt idx="19">
                  <c:v>2358.8813479999999</c:v>
                </c:pt>
                <c:pt idx="55">
                  <c:v>2160.6140140000002</c:v>
                </c:pt>
                <c:pt idx="56">
                  <c:v>2155.236328</c:v>
                </c:pt>
                <c:pt idx="57">
                  <c:v>2149.53125</c:v>
                </c:pt>
                <c:pt idx="58">
                  <c:v>2150.1843260000001</c:v>
                </c:pt>
                <c:pt idx="59">
                  <c:v>2152.4228520000001</c:v>
                </c:pt>
                <c:pt idx="60">
                  <c:v>2146.735107</c:v>
                </c:pt>
                <c:pt idx="61">
                  <c:v>2137.8908689999998</c:v>
                </c:pt>
                <c:pt idx="62">
                  <c:v>2133.7919919999999</c:v>
                </c:pt>
                <c:pt idx="63">
                  <c:v>2128.5686040000001</c:v>
                </c:pt>
                <c:pt idx="64">
                  <c:v>2130.7165530000002</c:v>
                </c:pt>
                <c:pt idx="65">
                  <c:v>2131.1547850000002</c:v>
                </c:pt>
                <c:pt idx="66">
                  <c:v>2130.9982909999999</c:v>
                </c:pt>
                <c:pt idx="67">
                  <c:v>2132.9736330000001</c:v>
                </c:pt>
                <c:pt idx="68">
                  <c:v>2131.4978030000002</c:v>
                </c:pt>
                <c:pt idx="69">
                  <c:v>2124.0275879999999</c:v>
                </c:pt>
                <c:pt idx="70">
                  <c:v>2121.888672</c:v>
                </c:pt>
                <c:pt idx="71">
                  <c:v>2122.0202640000002</c:v>
                </c:pt>
                <c:pt idx="72">
                  <c:v>2116.8776859999998</c:v>
                </c:pt>
                <c:pt idx="73">
                  <c:v>2113.5153810000002</c:v>
                </c:pt>
                <c:pt idx="74">
                  <c:v>2111.3063959999999</c:v>
                </c:pt>
                <c:pt idx="75">
                  <c:v>2109.5158689999998</c:v>
                </c:pt>
                <c:pt idx="76">
                  <c:v>2107.506836</c:v>
                </c:pt>
                <c:pt idx="77">
                  <c:v>2105.4582519999999</c:v>
                </c:pt>
                <c:pt idx="78">
                  <c:v>2103.695068</c:v>
                </c:pt>
                <c:pt idx="79">
                  <c:v>2102.9562989999999</c:v>
                </c:pt>
                <c:pt idx="80">
                  <c:v>2101.5776369999999</c:v>
                </c:pt>
                <c:pt idx="81">
                  <c:v>2102.5107419999999</c:v>
                </c:pt>
                <c:pt idx="82">
                  <c:v>2103.2858890000002</c:v>
                </c:pt>
                <c:pt idx="83">
                  <c:v>2104.7253420000002</c:v>
                </c:pt>
                <c:pt idx="84">
                  <c:v>2103.07251</c:v>
                </c:pt>
                <c:pt idx="85">
                  <c:v>2102.9860840000001</c:v>
                </c:pt>
                <c:pt idx="86">
                  <c:v>2101.6198730000001</c:v>
                </c:pt>
                <c:pt idx="87">
                  <c:v>2102.28125</c:v>
                </c:pt>
                <c:pt idx="88">
                  <c:v>2103.3813479999999</c:v>
                </c:pt>
                <c:pt idx="89">
                  <c:v>2103.7097170000002</c:v>
                </c:pt>
                <c:pt idx="90">
                  <c:v>2105.3503420000002</c:v>
                </c:pt>
                <c:pt idx="91">
                  <c:v>2105.2414549999999</c:v>
                </c:pt>
                <c:pt idx="92">
                  <c:v>2103.7365719999998</c:v>
                </c:pt>
                <c:pt idx="93">
                  <c:v>2103.0141600000002</c:v>
                </c:pt>
                <c:pt idx="94">
                  <c:v>2102.8027339999999</c:v>
                </c:pt>
                <c:pt idx="95">
                  <c:v>2104.6267090000001</c:v>
                </c:pt>
                <c:pt idx="96">
                  <c:v>2099.7224120000001</c:v>
                </c:pt>
                <c:pt idx="97">
                  <c:v>2098.3029790000001</c:v>
                </c:pt>
                <c:pt idx="98">
                  <c:v>2100.0717770000001</c:v>
                </c:pt>
                <c:pt idx="99">
                  <c:v>2102.0390630000002</c:v>
                </c:pt>
                <c:pt idx="100">
                  <c:v>2104.5061040000001</c:v>
                </c:pt>
                <c:pt idx="101">
                  <c:v>2105.6828609999998</c:v>
                </c:pt>
                <c:pt idx="102">
                  <c:v>2106.233154</c:v>
                </c:pt>
                <c:pt idx="103">
                  <c:v>2107.6206050000001</c:v>
                </c:pt>
                <c:pt idx="104">
                  <c:v>2107.9038089999999</c:v>
                </c:pt>
                <c:pt idx="105">
                  <c:v>2100.92749</c:v>
                </c:pt>
                <c:pt idx="106">
                  <c:v>2102.5178219999998</c:v>
                </c:pt>
                <c:pt idx="107">
                  <c:v>2102.0986330000001</c:v>
                </c:pt>
                <c:pt idx="108">
                  <c:v>2099.3691410000001</c:v>
                </c:pt>
                <c:pt idx="109">
                  <c:v>2097.4184570000002</c:v>
                </c:pt>
                <c:pt idx="110">
                  <c:v>2096.6652829999998</c:v>
                </c:pt>
                <c:pt idx="111">
                  <c:v>2095.75</c:v>
                </c:pt>
                <c:pt idx="112">
                  <c:v>2092.9882809999999</c:v>
                </c:pt>
                <c:pt idx="113">
                  <c:v>2092.0021969999998</c:v>
                </c:pt>
                <c:pt idx="114">
                  <c:v>2094.8229980000001</c:v>
                </c:pt>
                <c:pt idx="115">
                  <c:v>2093.6853030000002</c:v>
                </c:pt>
                <c:pt idx="116">
                  <c:v>2094.6904300000001</c:v>
                </c:pt>
                <c:pt idx="117">
                  <c:v>2094.4760740000002</c:v>
                </c:pt>
                <c:pt idx="118">
                  <c:v>2093.9726559999999</c:v>
                </c:pt>
                <c:pt idx="119">
                  <c:v>2093.838135</c:v>
                </c:pt>
                <c:pt idx="120">
                  <c:v>2090.3557129999999</c:v>
                </c:pt>
                <c:pt idx="121">
                  <c:v>2090.4011230000001</c:v>
                </c:pt>
                <c:pt idx="122">
                  <c:v>2088.8134770000001</c:v>
                </c:pt>
                <c:pt idx="123">
                  <c:v>2087.6232909999999</c:v>
                </c:pt>
                <c:pt idx="124">
                  <c:v>2089.4421390000002</c:v>
                </c:pt>
                <c:pt idx="125">
                  <c:v>2090.6704100000002</c:v>
                </c:pt>
                <c:pt idx="126">
                  <c:v>2091.373047</c:v>
                </c:pt>
                <c:pt idx="127">
                  <c:v>2091.029297</c:v>
                </c:pt>
                <c:pt idx="128">
                  <c:v>2094.3901369999999</c:v>
                </c:pt>
                <c:pt idx="129">
                  <c:v>2093.3488769999999</c:v>
                </c:pt>
                <c:pt idx="130">
                  <c:v>2094.4514159999999</c:v>
                </c:pt>
                <c:pt idx="131">
                  <c:v>2096.9682619999999</c:v>
                </c:pt>
                <c:pt idx="132">
                  <c:v>2098.3347170000002</c:v>
                </c:pt>
                <c:pt idx="133">
                  <c:v>2097.3901369999999</c:v>
                </c:pt>
                <c:pt idx="134">
                  <c:v>2098.0478520000001</c:v>
                </c:pt>
                <c:pt idx="135">
                  <c:v>2099.5427249999998</c:v>
                </c:pt>
                <c:pt idx="136">
                  <c:v>2097.5942380000001</c:v>
                </c:pt>
                <c:pt idx="137">
                  <c:v>2097.7651369999999</c:v>
                </c:pt>
                <c:pt idx="138">
                  <c:v>2095.8862300000001</c:v>
                </c:pt>
                <c:pt idx="139">
                  <c:v>2089.8547359999998</c:v>
                </c:pt>
                <c:pt idx="140">
                  <c:v>2089.3464359999998</c:v>
                </c:pt>
                <c:pt idx="141">
                  <c:v>2089.5864259999998</c:v>
                </c:pt>
                <c:pt idx="142">
                  <c:v>2091.3015140000002</c:v>
                </c:pt>
                <c:pt idx="143">
                  <c:v>2091.875</c:v>
                </c:pt>
                <c:pt idx="144">
                  <c:v>2091.4243160000001</c:v>
                </c:pt>
                <c:pt idx="145">
                  <c:v>2091.0866700000001</c:v>
                </c:pt>
                <c:pt idx="146">
                  <c:v>2089.0048830000001</c:v>
                </c:pt>
                <c:pt idx="147">
                  <c:v>2089.7148440000001</c:v>
                </c:pt>
                <c:pt idx="148">
                  <c:v>2089.6518550000001</c:v>
                </c:pt>
                <c:pt idx="149">
                  <c:v>2088.2377929999998</c:v>
                </c:pt>
                <c:pt idx="150">
                  <c:v>2088.7153320000002</c:v>
                </c:pt>
                <c:pt idx="151">
                  <c:v>2089.2382809999999</c:v>
                </c:pt>
                <c:pt idx="152">
                  <c:v>2093.0141600000002</c:v>
                </c:pt>
                <c:pt idx="153">
                  <c:v>2088.814453</c:v>
                </c:pt>
                <c:pt idx="154">
                  <c:v>2083.8276369999999</c:v>
                </c:pt>
                <c:pt idx="155">
                  <c:v>2082.5515140000002</c:v>
                </c:pt>
                <c:pt idx="156">
                  <c:v>2083.1704100000002</c:v>
                </c:pt>
                <c:pt idx="157">
                  <c:v>2084.7460940000001</c:v>
                </c:pt>
                <c:pt idx="158">
                  <c:v>2085.398193</c:v>
                </c:pt>
                <c:pt idx="159">
                  <c:v>2084.9379880000001</c:v>
                </c:pt>
                <c:pt idx="160">
                  <c:v>2084.8408199999999</c:v>
                </c:pt>
                <c:pt idx="161">
                  <c:v>2085.0297850000002</c:v>
                </c:pt>
                <c:pt idx="162">
                  <c:v>2085.891846</c:v>
                </c:pt>
                <c:pt idx="163">
                  <c:v>2086.9418949999999</c:v>
                </c:pt>
                <c:pt idx="164">
                  <c:v>2088.0327149999998</c:v>
                </c:pt>
                <c:pt idx="165">
                  <c:v>2088.0366210000002</c:v>
                </c:pt>
                <c:pt idx="166">
                  <c:v>2089.4377439999998</c:v>
                </c:pt>
                <c:pt idx="167">
                  <c:v>2088.9780270000001</c:v>
                </c:pt>
                <c:pt idx="168">
                  <c:v>2089.9638669999999</c:v>
                </c:pt>
                <c:pt idx="169">
                  <c:v>2088.8798830000001</c:v>
                </c:pt>
                <c:pt idx="170">
                  <c:v>2086.1704100000002</c:v>
                </c:pt>
                <c:pt idx="171">
                  <c:v>2080.570557</c:v>
                </c:pt>
                <c:pt idx="172">
                  <c:v>2080.5048830000001</c:v>
                </c:pt>
                <c:pt idx="173">
                  <c:v>2080.7407229999999</c:v>
                </c:pt>
                <c:pt idx="174">
                  <c:v>2081.4448240000002</c:v>
                </c:pt>
                <c:pt idx="175">
                  <c:v>2082.2304690000001</c:v>
                </c:pt>
                <c:pt idx="176">
                  <c:v>2082.8632809999999</c:v>
                </c:pt>
                <c:pt idx="177">
                  <c:v>2079.2697750000002</c:v>
                </c:pt>
                <c:pt idx="178">
                  <c:v>2081.249268</c:v>
                </c:pt>
                <c:pt idx="179">
                  <c:v>2082.1657709999999</c:v>
                </c:pt>
                <c:pt idx="180">
                  <c:v>2081.0607909999999</c:v>
                </c:pt>
                <c:pt idx="181">
                  <c:v>2082.2258299999999</c:v>
                </c:pt>
                <c:pt idx="182">
                  <c:v>2081.4870609999998</c:v>
                </c:pt>
                <c:pt idx="183">
                  <c:v>2081.0964359999998</c:v>
                </c:pt>
                <c:pt idx="184">
                  <c:v>2079.2282709999999</c:v>
                </c:pt>
                <c:pt idx="185">
                  <c:v>2076.3317870000001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Cu_2ndPhase!$I$2:$I$102</c:f>
              <c:numCache>
                <c:formatCode>General</c:formatCode>
                <c:ptCount val="101"/>
                <c:pt idx="0">
                  <c:v>7.7858344366389938</c:v>
                </c:pt>
                <c:pt idx="1">
                  <c:v>7.7846511183746721</c:v>
                </c:pt>
                <c:pt idx="2">
                  <c:v>7.7849195589242823</c:v>
                </c:pt>
                <c:pt idx="3">
                  <c:v>7.7833170907544789</c:v>
                </c:pt>
                <c:pt idx="4">
                  <c:v>7.7830566644168195</c:v>
                </c:pt>
                <c:pt idx="5">
                  <c:v>7.7828759536859264</c:v>
                </c:pt>
                <c:pt idx="6">
                  <c:v>7.7813264650404568</c:v>
                </c:pt>
                <c:pt idx="7">
                  <c:v>7.7808644639471378</c:v>
                </c:pt>
                <c:pt idx="8">
                  <c:v>7.7793706746583737</c:v>
                </c:pt>
                <c:pt idx="9">
                  <c:v>7.7776917737460467</c:v>
                </c:pt>
                <c:pt idx="10">
                  <c:v>7.7761374013233651</c:v>
                </c:pt>
                <c:pt idx="11">
                  <c:v>7.7765805988750687</c:v>
                </c:pt>
                <c:pt idx="12">
                  <c:v>7.7764765516433059</c:v>
                </c:pt>
                <c:pt idx="13">
                  <c:v>7.7752062216355577</c:v>
                </c:pt>
                <c:pt idx="14">
                  <c:v>7.7744081093390722</c:v>
                </c:pt>
                <c:pt idx="15">
                  <c:v>7.7722921868623116</c:v>
                </c:pt>
                <c:pt idx="16">
                  <c:v>7.7696453031411483</c:v>
                </c:pt>
                <c:pt idx="17">
                  <c:v>7.7687650271409794</c:v>
                </c:pt>
                <c:pt idx="18">
                  <c:v>7.767140988768765</c:v>
                </c:pt>
                <c:pt idx="19">
                  <c:v>7.7659427805589871</c:v>
                </c:pt>
                <c:pt idx="55">
                  <c:v>7.6781477260231012</c:v>
                </c:pt>
                <c:pt idx="56">
                  <c:v>7.6756556614902829</c:v>
                </c:pt>
                <c:pt idx="57">
                  <c:v>7.6730050740953697</c:v>
                </c:pt>
                <c:pt idx="58">
                  <c:v>7.6733088504700984</c:v>
                </c:pt>
                <c:pt idx="59">
                  <c:v>7.6743493945445955</c:v>
                </c:pt>
                <c:pt idx="60">
                  <c:v>7.6717034120649217</c:v>
                </c:pt>
                <c:pt idx="61">
                  <c:v>7.6675750467836297</c:v>
                </c:pt>
                <c:pt idx="62">
                  <c:v>7.6656559538212719</c:v>
                </c:pt>
                <c:pt idx="63">
                  <c:v>7.6632050158974909</c:v>
                </c:pt>
                <c:pt idx="64">
                  <c:v>7.664213611989517</c:v>
                </c:pt>
                <c:pt idx="65">
                  <c:v>7.6644192643740157</c:v>
                </c:pt>
                <c:pt idx="66">
                  <c:v>7.6643458301273899</c:v>
                </c:pt>
                <c:pt idx="67">
                  <c:v>7.6652723569322188</c:v>
                </c:pt>
                <c:pt idx="68">
                  <c:v>7.6645802054752004</c:v>
                </c:pt>
                <c:pt idx="69">
                  <c:v>7.6610693709780415</c:v>
                </c:pt>
                <c:pt idx="70">
                  <c:v>7.6600618540841818</c:v>
                </c:pt>
                <c:pt idx="71">
                  <c:v>7.6601238686099533</c:v>
                </c:pt>
                <c:pt idx="72">
                  <c:v>7.6576974924227219</c:v>
                </c:pt>
                <c:pt idx="73">
                  <c:v>7.6561078974821379</c:v>
                </c:pt>
                <c:pt idx="74">
                  <c:v>7.6550621799026066</c:v>
                </c:pt>
                <c:pt idx="75">
                  <c:v>7.6542137541717938</c:v>
                </c:pt>
                <c:pt idx="76">
                  <c:v>7.6532609335243675</c:v>
                </c:pt>
                <c:pt idx="77">
                  <c:v>7.6522884193360614</c:v>
                </c:pt>
                <c:pt idx="78">
                  <c:v>7.6514506336964878</c:v>
                </c:pt>
                <c:pt idx="79">
                  <c:v>7.6510993951729489</c:v>
                </c:pt>
                <c:pt idx="80">
                  <c:v>7.6504435973744789</c:v>
                </c:pt>
                <c:pt idx="81">
                  <c:v>7.6508875009898185</c:v>
                </c:pt>
                <c:pt idx="82">
                  <c:v>7.6512561098774015</c:v>
                </c:pt>
                <c:pt idx="83">
                  <c:v>7.651940258743517</c:v>
                </c:pt>
                <c:pt idx="84">
                  <c:v>7.651154654423566</c:v>
                </c:pt>
                <c:pt idx="85">
                  <c:v>7.6511135584673013</c:v>
                </c:pt>
                <c:pt idx="86">
                  <c:v>7.6504636944552855</c:v>
                </c:pt>
                <c:pt idx="87">
                  <c:v>7.6507783436280921</c:v>
                </c:pt>
                <c:pt idx="88">
                  <c:v>7.6513014944988313</c:v>
                </c:pt>
                <c:pt idx="89">
                  <c:v>7.6514575971339269</c:v>
                </c:pt>
                <c:pt idx="90">
                  <c:v>7.6522371655221608</c:v>
                </c:pt>
                <c:pt idx="91">
                  <c:v>7.6521854450014963</c:v>
                </c:pt>
                <c:pt idx="92">
                  <c:v>7.6514703625969442</c:v>
                </c:pt>
                <c:pt idx="93">
                  <c:v>7.651126908918263</c:v>
                </c:pt>
                <c:pt idx="94">
                  <c:v>7.6510263691156482</c:v>
                </c:pt>
                <c:pt idx="95">
                  <c:v>7.651893394998778</c:v>
                </c:pt>
                <c:pt idx="96">
                  <c:v>7.6495604302124338</c:v>
                </c:pt>
                <c:pt idx="97">
                  <c:v>7.6488841917803674</c:v>
                </c:pt>
                <c:pt idx="98">
                  <c:v>7.6497268026512177</c:v>
                </c:pt>
                <c:pt idx="99">
                  <c:v>7.6506631349940024</c:v>
                </c:pt>
                <c:pt idx="100">
                  <c:v>7.6518360886578325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752448764414579"/>
                  <c:y val="3.3455818022747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Cu_2ndPhase!$B$2:$B$102</c:f>
              <c:numCache>
                <c:formatCode>General</c:formatCode>
                <c:ptCount val="101"/>
                <c:pt idx="0">
                  <c:v>2406.273193</c:v>
                </c:pt>
                <c:pt idx="1">
                  <c:v>2403.42749</c:v>
                </c:pt>
                <c:pt idx="2">
                  <c:v>2404.0727539999998</c:v>
                </c:pt>
                <c:pt idx="3">
                  <c:v>2400.2233890000002</c:v>
                </c:pt>
                <c:pt idx="4">
                  <c:v>2399.5983890000002</c:v>
                </c:pt>
                <c:pt idx="5">
                  <c:v>2399.1647950000001</c:v>
                </c:pt>
                <c:pt idx="6">
                  <c:v>2395.4501949999999</c:v>
                </c:pt>
                <c:pt idx="7">
                  <c:v>2394.34375</c:v>
                </c:pt>
                <c:pt idx="8">
                  <c:v>2390.7697750000002</c:v>
                </c:pt>
                <c:pt idx="9">
                  <c:v>2386.7592770000001</c:v>
                </c:pt>
                <c:pt idx="10">
                  <c:v>2383.0522460000002</c:v>
                </c:pt>
                <c:pt idx="11">
                  <c:v>2384.108643</c:v>
                </c:pt>
                <c:pt idx="12">
                  <c:v>2383.860596</c:v>
                </c:pt>
                <c:pt idx="13">
                  <c:v>2380.8342290000001</c:v>
                </c:pt>
                <c:pt idx="14">
                  <c:v>2378.9348140000002</c:v>
                </c:pt>
                <c:pt idx="15">
                  <c:v>2373.9064939999998</c:v>
                </c:pt>
                <c:pt idx="16">
                  <c:v>2367.6313479999999</c:v>
                </c:pt>
                <c:pt idx="17">
                  <c:v>2365.548096</c:v>
                </c:pt>
                <c:pt idx="18">
                  <c:v>2361.7094729999999</c:v>
                </c:pt>
                <c:pt idx="19">
                  <c:v>2358.8813479999999</c:v>
                </c:pt>
                <c:pt idx="55">
                  <c:v>2160.6140140000002</c:v>
                </c:pt>
                <c:pt idx="56">
                  <c:v>2155.236328</c:v>
                </c:pt>
                <c:pt idx="57">
                  <c:v>2149.53125</c:v>
                </c:pt>
                <c:pt idx="58">
                  <c:v>2150.1843260000001</c:v>
                </c:pt>
                <c:pt idx="59">
                  <c:v>2152.4228520000001</c:v>
                </c:pt>
                <c:pt idx="60">
                  <c:v>2146.735107</c:v>
                </c:pt>
                <c:pt idx="61">
                  <c:v>2137.8908689999998</c:v>
                </c:pt>
                <c:pt idx="62">
                  <c:v>2133.7919919999999</c:v>
                </c:pt>
                <c:pt idx="63">
                  <c:v>2128.5686040000001</c:v>
                </c:pt>
                <c:pt idx="64">
                  <c:v>2130.7165530000002</c:v>
                </c:pt>
                <c:pt idx="65">
                  <c:v>2131.1547850000002</c:v>
                </c:pt>
                <c:pt idx="66">
                  <c:v>2130.9982909999999</c:v>
                </c:pt>
                <c:pt idx="67">
                  <c:v>2132.9736330000001</c:v>
                </c:pt>
                <c:pt idx="68">
                  <c:v>2131.4978030000002</c:v>
                </c:pt>
                <c:pt idx="69">
                  <c:v>2124.0275879999999</c:v>
                </c:pt>
                <c:pt idx="70">
                  <c:v>2121.888672</c:v>
                </c:pt>
                <c:pt idx="71">
                  <c:v>2122.0202640000002</c:v>
                </c:pt>
                <c:pt idx="72">
                  <c:v>2116.8776859999998</c:v>
                </c:pt>
                <c:pt idx="73">
                  <c:v>2113.5153810000002</c:v>
                </c:pt>
                <c:pt idx="74">
                  <c:v>2111.3063959999999</c:v>
                </c:pt>
                <c:pt idx="75">
                  <c:v>2109.5158689999998</c:v>
                </c:pt>
                <c:pt idx="76">
                  <c:v>2107.506836</c:v>
                </c:pt>
                <c:pt idx="77">
                  <c:v>2105.4582519999999</c:v>
                </c:pt>
                <c:pt idx="78">
                  <c:v>2103.695068</c:v>
                </c:pt>
                <c:pt idx="79">
                  <c:v>2102.9562989999999</c:v>
                </c:pt>
                <c:pt idx="80">
                  <c:v>2101.5776369999999</c:v>
                </c:pt>
                <c:pt idx="81">
                  <c:v>2102.5107419999999</c:v>
                </c:pt>
                <c:pt idx="82">
                  <c:v>2103.2858890000002</c:v>
                </c:pt>
                <c:pt idx="83">
                  <c:v>2104.7253420000002</c:v>
                </c:pt>
                <c:pt idx="84">
                  <c:v>2103.07251</c:v>
                </c:pt>
                <c:pt idx="85">
                  <c:v>2102.9860840000001</c:v>
                </c:pt>
                <c:pt idx="86">
                  <c:v>2101.6198730000001</c:v>
                </c:pt>
                <c:pt idx="87">
                  <c:v>2102.28125</c:v>
                </c:pt>
                <c:pt idx="88">
                  <c:v>2103.3813479999999</c:v>
                </c:pt>
                <c:pt idx="89">
                  <c:v>2103.7097170000002</c:v>
                </c:pt>
                <c:pt idx="90">
                  <c:v>2105.3503420000002</c:v>
                </c:pt>
                <c:pt idx="91">
                  <c:v>2105.2414549999999</c:v>
                </c:pt>
                <c:pt idx="92">
                  <c:v>2103.7365719999998</c:v>
                </c:pt>
                <c:pt idx="93">
                  <c:v>2103.0141600000002</c:v>
                </c:pt>
                <c:pt idx="94">
                  <c:v>2102.8027339999999</c:v>
                </c:pt>
                <c:pt idx="95">
                  <c:v>2104.6267090000001</c:v>
                </c:pt>
                <c:pt idx="96">
                  <c:v>2099.7224120000001</c:v>
                </c:pt>
                <c:pt idx="97">
                  <c:v>2098.3029790000001</c:v>
                </c:pt>
                <c:pt idx="98">
                  <c:v>2100.0717770000001</c:v>
                </c:pt>
                <c:pt idx="99">
                  <c:v>2102.0390630000002</c:v>
                </c:pt>
                <c:pt idx="100">
                  <c:v>2104.5061040000001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</c:numCache>
            </c:numRef>
          </c:xVal>
          <c:yVal>
            <c:numRef>
              <c:f>Cu_2ndPhase!$H$2:$H$187</c:f>
              <c:numCache>
                <c:formatCode>General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C-4BBA-947A-39DC50DC0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</c:numCache>
            </c:numRef>
          </c:xVal>
          <c:yVal>
            <c:numRef>
              <c:f>Cu_2ndPhase!$F$2:$F$200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E-47EC-95EF-E098E836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</c:numCache>
            </c:numRef>
          </c:xVal>
          <c:yVal>
            <c:numRef>
              <c:f>PANI_2ndPhase!$I$2:$I$194</c:f>
              <c:numCache>
                <c:formatCode>General</c:formatCode>
                <c:ptCount val="193"/>
                <c:pt idx="0">
                  <c:v>7.7699330582292427</c:v>
                </c:pt>
                <c:pt idx="1">
                  <c:v>7.7334609974093373</c:v>
                </c:pt>
                <c:pt idx="2">
                  <c:v>7.6882632015799697</c:v>
                </c:pt>
                <c:pt idx="3">
                  <c:v>7.6677353667180812</c:v>
                </c:pt>
                <c:pt idx="4">
                  <c:v>7.6557507797803801</c:v>
                </c:pt>
                <c:pt idx="5">
                  <c:v>7.6470109249790816</c:v>
                </c:pt>
                <c:pt idx="6">
                  <c:v>7.640037250254136</c:v>
                </c:pt>
                <c:pt idx="7">
                  <c:v>7.6337381563128472</c:v>
                </c:pt>
                <c:pt idx="8">
                  <c:v>7.6288256049230654</c:v>
                </c:pt>
                <c:pt idx="9">
                  <c:v>7.6245339268778975</c:v>
                </c:pt>
                <c:pt idx="10">
                  <c:v>7.6219085501308239</c:v>
                </c:pt>
                <c:pt idx="11">
                  <c:v>7.6188645003703037</c:v>
                </c:pt>
                <c:pt idx="12">
                  <c:v>7.6155690355649002</c:v>
                </c:pt>
                <c:pt idx="13">
                  <c:v>7.6131801725133981</c:v>
                </c:pt>
                <c:pt idx="14">
                  <c:v>7.6107570635363535</c:v>
                </c:pt>
                <c:pt idx="15">
                  <c:v>7.6088535536486477</c:v>
                </c:pt>
                <c:pt idx="16">
                  <c:v>7.606871911358688</c:v>
                </c:pt>
                <c:pt idx="17">
                  <c:v>7.6047634044924104</c:v>
                </c:pt>
                <c:pt idx="18">
                  <c:v>7.6033810138869669</c:v>
                </c:pt>
                <c:pt idx="19">
                  <c:v>7.6018579963713231</c:v>
                </c:pt>
                <c:pt idx="20">
                  <c:v>7.6004337827302617</c:v>
                </c:pt>
                <c:pt idx="21">
                  <c:v>7.5988196034024549</c:v>
                </c:pt>
                <c:pt idx="22">
                  <c:v>7.5979030317526055</c:v>
                </c:pt>
                <c:pt idx="23">
                  <c:v>7.5966902315528246</c:v>
                </c:pt>
                <c:pt idx="24">
                  <c:v>7.5957436065130635</c:v>
                </c:pt>
                <c:pt idx="25">
                  <c:v>7.5944811912558228</c:v>
                </c:pt>
                <c:pt idx="26">
                  <c:v>7.5931577026864083</c:v>
                </c:pt>
                <c:pt idx="27">
                  <c:v>7.5922021236446007</c:v>
                </c:pt>
                <c:pt idx="28">
                  <c:v>7.5912927129785004</c:v>
                </c:pt>
                <c:pt idx="29">
                  <c:v>7.590480479890104</c:v>
                </c:pt>
                <c:pt idx="30">
                  <c:v>7.5896975847376318</c:v>
                </c:pt>
                <c:pt idx="31">
                  <c:v>7.5888527970735167</c:v>
                </c:pt>
                <c:pt idx="32">
                  <c:v>7.5880744376700022</c:v>
                </c:pt>
                <c:pt idx="33">
                  <c:v>7.5869569158940839</c:v>
                </c:pt>
                <c:pt idx="34">
                  <c:v>7.5865529251621124</c:v>
                </c:pt>
                <c:pt idx="35">
                  <c:v>7.5857798988495855</c:v>
                </c:pt>
                <c:pt idx="36">
                  <c:v>7.5851301688272157</c:v>
                </c:pt>
                <c:pt idx="37">
                  <c:v>7.5843619361945791</c:v>
                </c:pt>
                <c:pt idx="38">
                  <c:v>7.5837039570177742</c:v>
                </c:pt>
                <c:pt idx="39">
                  <c:v>7.5829999364040983</c:v>
                </c:pt>
                <c:pt idx="40">
                  <c:v>7.5824304068387836</c:v>
                </c:pt>
                <c:pt idx="41">
                  <c:v>7.5817140407212529</c:v>
                </c:pt>
                <c:pt idx="42">
                  <c:v>7.5812432534805856</c:v>
                </c:pt>
                <c:pt idx="43">
                  <c:v>7.5805997865138721</c:v>
                </c:pt>
                <c:pt idx="44">
                  <c:v>7.5799106547445323</c:v>
                </c:pt>
                <c:pt idx="45">
                  <c:v>7.5795250078907177</c:v>
                </c:pt>
                <c:pt idx="46">
                  <c:v>7.5795281876392746</c:v>
                </c:pt>
                <c:pt idx="47">
                  <c:v>7.5788458046232163</c:v>
                </c:pt>
                <c:pt idx="48">
                  <c:v>7.5783238478139774</c:v>
                </c:pt>
                <c:pt idx="49">
                  <c:v>7.5778913715963867</c:v>
                </c:pt>
                <c:pt idx="50">
                  <c:v>7.577744714377328</c:v>
                </c:pt>
                <c:pt idx="51">
                  <c:v>7.5771521198731113</c:v>
                </c:pt>
                <c:pt idx="52">
                  <c:v>7.5764726786834249</c:v>
                </c:pt>
                <c:pt idx="53">
                  <c:v>7.5762016360555018</c:v>
                </c:pt>
                <c:pt idx="54">
                  <c:v>7.5762890936366096</c:v>
                </c:pt>
                <c:pt idx="55">
                  <c:v>7.5755691268218994</c:v>
                </c:pt>
                <c:pt idx="56">
                  <c:v>7.5754673944270339</c:v>
                </c:pt>
                <c:pt idx="57">
                  <c:v>7.5751913198540448</c:v>
                </c:pt>
                <c:pt idx="58">
                  <c:v>7.5747217742580242</c:v>
                </c:pt>
                <c:pt idx="59">
                  <c:v>7.5746116850460172</c:v>
                </c:pt>
                <c:pt idx="60">
                  <c:v>7.5740226224817455</c:v>
                </c:pt>
                <c:pt idx="61">
                  <c:v>7.5737304695216681</c:v>
                </c:pt>
                <c:pt idx="62">
                  <c:v>7.5736616047135543</c:v>
                </c:pt>
                <c:pt idx="63">
                  <c:v>7.5731396326259253</c:v>
                </c:pt>
                <c:pt idx="64">
                  <c:v>7.5728699449457286</c:v>
                </c:pt>
                <c:pt idx="65">
                  <c:v>7.5724232344124056</c:v>
                </c:pt>
                <c:pt idx="66">
                  <c:v>7.5721454385979916</c:v>
                </c:pt>
                <c:pt idx="67">
                  <c:v>7.5717770811838347</c:v>
                </c:pt>
                <c:pt idx="68">
                  <c:v>7.5716644674104714</c:v>
                </c:pt>
                <c:pt idx="69">
                  <c:v>7.5713786659677274</c:v>
                </c:pt>
                <c:pt idx="70">
                  <c:v>7.5712863141064481</c:v>
                </c:pt>
                <c:pt idx="71">
                  <c:v>7.5710235470557201</c:v>
                </c:pt>
                <c:pt idx="72">
                  <c:v>7.5707110156900281</c:v>
                </c:pt>
                <c:pt idx="73">
                  <c:v>7.5704845285250766</c:v>
                </c:pt>
                <c:pt idx="74">
                  <c:v>7.570330362180397</c:v>
                </c:pt>
                <c:pt idx="75">
                  <c:v>7.5699114127177562</c:v>
                </c:pt>
                <c:pt idx="76">
                  <c:v>7.569807340630204</c:v>
                </c:pt>
                <c:pt idx="77">
                  <c:v>7.5694701173751673</c:v>
                </c:pt>
                <c:pt idx="78">
                  <c:v>7.569385211086078</c:v>
                </c:pt>
                <c:pt idx="79">
                  <c:v>7.5691198643949464</c:v>
                </c:pt>
                <c:pt idx="80">
                  <c:v>7.5688100784334003</c:v>
                </c:pt>
                <c:pt idx="81">
                  <c:v>7.5684114243442897</c:v>
                </c:pt>
                <c:pt idx="82">
                  <c:v>7.5683678550647855</c:v>
                </c:pt>
                <c:pt idx="83">
                  <c:v>7.5680368321459976</c:v>
                </c:pt>
                <c:pt idx="84">
                  <c:v>7.5678229240564301</c:v>
                </c:pt>
                <c:pt idx="85">
                  <c:v>7.5677121352290753</c:v>
                </c:pt>
                <c:pt idx="86">
                  <c:v>7.5676684098649512</c:v>
                </c:pt>
                <c:pt idx="87">
                  <c:v>7.5673934551199906</c:v>
                </c:pt>
                <c:pt idx="88">
                  <c:v>7.5674802977682845</c:v>
                </c:pt>
                <c:pt idx="89">
                  <c:v>7.5668598646444112</c:v>
                </c:pt>
                <c:pt idx="90">
                  <c:v>7.5671078188753533</c:v>
                </c:pt>
                <c:pt idx="91">
                  <c:v>7.5666992013230763</c:v>
                </c:pt>
                <c:pt idx="92">
                  <c:v>7.5665459659477419</c:v>
                </c:pt>
                <c:pt idx="93">
                  <c:v>7.5666159542985243</c:v>
                </c:pt>
                <c:pt idx="94">
                  <c:v>7.5661635339184006</c:v>
                </c:pt>
                <c:pt idx="95">
                  <c:v>7.5663983303185285</c:v>
                </c:pt>
                <c:pt idx="96">
                  <c:v>7.5659511839955851</c:v>
                </c:pt>
                <c:pt idx="97">
                  <c:v>7.5661239113483845</c:v>
                </c:pt>
                <c:pt idx="98">
                  <c:v>7.5656440180524767</c:v>
                </c:pt>
                <c:pt idx="99">
                  <c:v>7.565601592902409</c:v>
                </c:pt>
                <c:pt idx="100">
                  <c:v>7.5656060189092607</c:v>
                </c:pt>
                <c:pt idx="101">
                  <c:v>7.5655750364499115</c:v>
                </c:pt>
                <c:pt idx="102">
                  <c:v>7.5653354298309408</c:v>
                </c:pt>
                <c:pt idx="103">
                  <c:v>7.5652560542529415</c:v>
                </c:pt>
                <c:pt idx="104">
                  <c:v>7.5651946993776358</c:v>
                </c:pt>
                <c:pt idx="105">
                  <c:v>7.5651552285788304</c:v>
                </c:pt>
                <c:pt idx="106">
                  <c:v>7.5648497162291717</c:v>
                </c:pt>
                <c:pt idx="107">
                  <c:v>7.5646826539980951</c:v>
                </c:pt>
                <c:pt idx="108">
                  <c:v>7.5649982766971542</c:v>
                </c:pt>
                <c:pt idx="109">
                  <c:v>7.5646696171739256</c:v>
                </c:pt>
                <c:pt idx="110">
                  <c:v>7.5647678339980367</c:v>
                </c:pt>
                <c:pt idx="111">
                  <c:v>7.5646379099086349</c:v>
                </c:pt>
                <c:pt idx="112">
                  <c:v>7.5646951214103968</c:v>
                </c:pt>
                <c:pt idx="113">
                  <c:v>7.564503664589731</c:v>
                </c:pt>
                <c:pt idx="114">
                  <c:v>7.5643307198784724</c:v>
                </c:pt>
                <c:pt idx="115">
                  <c:v>7.5645613903514226</c:v>
                </c:pt>
                <c:pt idx="116">
                  <c:v>7.564371046776678</c:v>
                </c:pt>
                <c:pt idx="117">
                  <c:v>7.5645053098988884</c:v>
                </c:pt>
                <c:pt idx="118">
                  <c:v>7.564218847384506</c:v>
                </c:pt>
                <c:pt idx="119">
                  <c:v>7.5643405959933263</c:v>
                </c:pt>
                <c:pt idx="120">
                  <c:v>7.56412285645371</c:v>
                </c:pt>
                <c:pt idx="121">
                  <c:v>7.5642624712518769</c:v>
                </c:pt>
                <c:pt idx="122">
                  <c:v>7.5642450596923814</c:v>
                </c:pt>
                <c:pt idx="123">
                  <c:v>7.5640098204002761</c:v>
                </c:pt>
                <c:pt idx="124">
                  <c:v>7.5640152666513645</c:v>
                </c:pt>
                <c:pt idx="125">
                  <c:v>7.5641802872742883</c:v>
                </c:pt>
                <c:pt idx="126">
                  <c:v>7.5639603592176767</c:v>
                </c:pt>
                <c:pt idx="127">
                  <c:v>7.5638745406971122</c:v>
                </c:pt>
                <c:pt idx="128">
                  <c:v>7.5641269720662843</c:v>
                </c:pt>
                <c:pt idx="129">
                  <c:v>7.5638974050832406</c:v>
                </c:pt>
                <c:pt idx="130">
                  <c:v>7.5641815539446995</c:v>
                </c:pt>
                <c:pt idx="131">
                  <c:v>7.563906588670724</c:v>
                </c:pt>
                <c:pt idx="132">
                  <c:v>7.5639533925258471</c:v>
                </c:pt>
                <c:pt idx="133">
                  <c:v>7.5640398377047866</c:v>
                </c:pt>
                <c:pt idx="134">
                  <c:v>7.563756345998093</c:v>
                </c:pt>
                <c:pt idx="135">
                  <c:v>7.5639854384913603</c:v>
                </c:pt>
                <c:pt idx="136">
                  <c:v>7.5640606725388135</c:v>
                </c:pt>
                <c:pt idx="137">
                  <c:v>7.5638904384716659</c:v>
                </c:pt>
                <c:pt idx="138">
                  <c:v>7.5640243858649692</c:v>
                </c:pt>
                <c:pt idx="139">
                  <c:v>7.5638378674483056</c:v>
                </c:pt>
                <c:pt idx="140">
                  <c:v>7.564048070633909</c:v>
                </c:pt>
                <c:pt idx="141">
                  <c:v>7.5640174201379677</c:v>
                </c:pt>
                <c:pt idx="142">
                  <c:v>7.5639521893813466</c:v>
                </c:pt>
                <c:pt idx="143">
                  <c:v>7.5638382477872907</c:v>
                </c:pt>
                <c:pt idx="144">
                  <c:v>7.5640079838791232</c:v>
                </c:pt>
                <c:pt idx="145">
                  <c:v>7.5637533684173501</c:v>
                </c:pt>
                <c:pt idx="146">
                  <c:v>7.564063965131222</c:v>
                </c:pt>
                <c:pt idx="147">
                  <c:v>7.5638661802549318</c:v>
                </c:pt>
                <c:pt idx="148">
                  <c:v>7.5639780922073996</c:v>
                </c:pt>
                <c:pt idx="149">
                  <c:v>7.5640184966201369</c:v>
                </c:pt>
                <c:pt idx="150">
                  <c:v>7.5639512394201773</c:v>
                </c:pt>
                <c:pt idx="151">
                  <c:v>7.5640250825906357</c:v>
                </c:pt>
                <c:pt idx="152">
                  <c:v>7.5638802408877703</c:v>
                </c:pt>
                <c:pt idx="153">
                  <c:v>7.563998484756838</c:v>
                </c:pt>
                <c:pt idx="154">
                  <c:v>7.5639655525570584</c:v>
                </c:pt>
                <c:pt idx="155">
                  <c:v>7.5638982917960149</c:v>
                </c:pt>
                <c:pt idx="156">
                  <c:v>7.5638976588004345</c:v>
                </c:pt>
                <c:pt idx="157">
                  <c:v>7.564052249844079</c:v>
                </c:pt>
                <c:pt idx="158">
                  <c:v>7.5642144785132786</c:v>
                </c:pt>
                <c:pt idx="159">
                  <c:v>7.5641025930136179</c:v>
                </c:pt>
                <c:pt idx="160">
                  <c:v>7.5643274914366412</c:v>
                </c:pt>
                <c:pt idx="161">
                  <c:v>7.5644226402650006</c:v>
                </c:pt>
                <c:pt idx="162">
                  <c:v>7.5640746671488799</c:v>
                </c:pt>
                <c:pt idx="163">
                  <c:v>7.5638653568153078</c:v>
                </c:pt>
                <c:pt idx="164">
                  <c:v>7.5641734491974271</c:v>
                </c:pt>
                <c:pt idx="165">
                  <c:v>7.5640556695621486</c:v>
                </c:pt>
                <c:pt idx="166">
                  <c:v>7.5639376228650326</c:v>
                </c:pt>
                <c:pt idx="167">
                  <c:v>7.5642843138501732</c:v>
                </c:pt>
                <c:pt idx="168">
                  <c:v>7.5646869575747733</c:v>
                </c:pt>
                <c:pt idx="169">
                  <c:v>7.5645155643710931</c:v>
                </c:pt>
                <c:pt idx="170">
                  <c:v>7.5646164545571573</c:v>
                </c:pt>
                <c:pt idx="171">
                  <c:v>7.564569744983384</c:v>
                </c:pt>
                <c:pt idx="172">
                  <c:v>7.5647568864153119</c:v>
                </c:pt>
                <c:pt idx="173">
                  <c:v>7.5649644921580252</c:v>
                </c:pt>
                <c:pt idx="174">
                  <c:v>7.5645585422008352</c:v>
                </c:pt>
                <c:pt idx="175">
                  <c:v>7.5647796041487307</c:v>
                </c:pt>
                <c:pt idx="176">
                  <c:v>7.5650163706641029</c:v>
                </c:pt>
                <c:pt idx="177">
                  <c:v>7.5649427903603153</c:v>
                </c:pt>
                <c:pt idx="178">
                  <c:v>7.5649427903603153</c:v>
                </c:pt>
                <c:pt idx="179">
                  <c:v>7.5652017206441453</c:v>
                </c:pt>
                <c:pt idx="180">
                  <c:v>7.5652051364336144</c:v>
                </c:pt>
                <c:pt idx="181">
                  <c:v>7.5650314278166091</c:v>
                </c:pt>
                <c:pt idx="182">
                  <c:v>7.5654585604391809</c:v>
                </c:pt>
                <c:pt idx="183">
                  <c:v>7.5656182215340078</c:v>
                </c:pt>
                <c:pt idx="184">
                  <c:v>7.5654710813818111</c:v>
                </c:pt>
                <c:pt idx="185">
                  <c:v>7.5653215787546761</c:v>
                </c:pt>
                <c:pt idx="186">
                  <c:v>7.5655938788099393</c:v>
                </c:pt>
                <c:pt idx="187">
                  <c:v>7.5656488861934186</c:v>
                </c:pt>
                <c:pt idx="188">
                  <c:v>7.5654937828963158</c:v>
                </c:pt>
                <c:pt idx="189">
                  <c:v>7.5656923845368365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</c:numCache>
            </c:numRef>
          </c:xVal>
          <c:yVal>
            <c:numRef>
              <c:f>PANI_2ndPhase!$B$2:$B$197</c:f>
              <c:numCache>
                <c:formatCode>General</c:formatCode>
                <c:ptCount val="196"/>
                <c:pt idx="0">
                  <c:v>2368.3127439999998</c:v>
                </c:pt>
                <c:pt idx="1">
                  <c:v>2283.4916990000002</c:v>
                </c:pt>
                <c:pt idx="2">
                  <c:v>2182.5805660000001</c:v>
                </c:pt>
                <c:pt idx="3">
                  <c:v>2138.233643</c:v>
                </c:pt>
                <c:pt idx="4">
                  <c:v>2112.7607419999999</c:v>
                </c:pt>
                <c:pt idx="5">
                  <c:v>2094.3759770000001</c:v>
                </c:pt>
                <c:pt idx="6">
                  <c:v>2079.821289</c:v>
                </c:pt>
                <c:pt idx="7">
                  <c:v>2066.7614749999998</c:v>
                </c:pt>
                <c:pt idx="8">
                  <c:v>2056.6333009999998</c:v>
                </c:pt>
                <c:pt idx="9">
                  <c:v>2047.8258060000001</c:v>
                </c:pt>
                <c:pt idx="10">
                  <c:v>2042.456543</c:v>
                </c:pt>
                <c:pt idx="11">
                  <c:v>2036.2486570000001</c:v>
                </c:pt>
                <c:pt idx="12">
                  <c:v>2029.5493160000001</c:v>
                </c:pt>
                <c:pt idx="13">
                  <c:v>2024.7067870000001</c:v>
                </c:pt>
                <c:pt idx="14">
                  <c:v>2019.8066409999999</c:v>
                </c:pt>
                <c:pt idx="15">
                  <c:v>2015.9655760000001</c:v>
                </c:pt>
                <c:pt idx="16">
                  <c:v>2011.9746090000001</c:v>
                </c:pt>
                <c:pt idx="17">
                  <c:v>2007.7368160000001</c:v>
                </c:pt>
                <c:pt idx="18">
                  <c:v>2004.9632570000001</c:v>
                </c:pt>
                <c:pt idx="19">
                  <c:v>2001.911987</c:v>
                </c:pt>
                <c:pt idx="20">
                  <c:v>1999.062866</c:v>
                </c:pt>
                <c:pt idx="21">
                  <c:v>1995.8386230000001</c:v>
                </c:pt>
                <c:pt idx="22">
                  <c:v>1994.0101320000001</c:v>
                </c:pt>
                <c:pt idx="23">
                  <c:v>1991.5932620000001</c:v>
                </c:pt>
                <c:pt idx="24">
                  <c:v>1989.708862</c:v>
                </c:pt>
                <c:pt idx="25">
                  <c:v>1987.1986079999999</c:v>
                </c:pt>
                <c:pt idx="26">
                  <c:v>1984.5703129999999</c:v>
                </c:pt>
                <c:pt idx="27">
                  <c:v>1982.6748050000001</c:v>
                </c:pt>
                <c:pt idx="28">
                  <c:v>1980.8725589999999</c:v>
                </c:pt>
                <c:pt idx="29">
                  <c:v>1979.2642820000001</c:v>
                </c:pt>
                <c:pt idx="30">
                  <c:v>1977.715332</c:v>
                </c:pt>
                <c:pt idx="31">
                  <c:v>1976.045288</c:v>
                </c:pt>
                <c:pt idx="32">
                  <c:v>1974.5078129999999</c:v>
                </c:pt>
                <c:pt idx="33">
                  <c:v>1972.30249</c:v>
                </c:pt>
                <c:pt idx="34">
                  <c:v>1971.5058590000001</c:v>
                </c:pt>
                <c:pt idx="35">
                  <c:v>1969.982422</c:v>
                </c:pt>
                <c:pt idx="36">
                  <c:v>1968.7028809999999</c:v>
                </c:pt>
                <c:pt idx="37">
                  <c:v>1967.1910399999999</c:v>
                </c:pt>
                <c:pt idx="38">
                  <c:v>1965.897095</c:v>
                </c:pt>
                <c:pt idx="39">
                  <c:v>1964.5135499999999</c:v>
                </c:pt>
                <c:pt idx="40">
                  <c:v>1963.3950199999999</c:v>
                </c:pt>
                <c:pt idx="41">
                  <c:v>1961.989014</c:v>
                </c:pt>
                <c:pt idx="42">
                  <c:v>1961.065552</c:v>
                </c:pt>
                <c:pt idx="43">
                  <c:v>1959.804077</c:v>
                </c:pt>
                <c:pt idx="44">
                  <c:v>1958.4539789999999</c:v>
                </c:pt>
                <c:pt idx="45">
                  <c:v>1957.6988530000001</c:v>
                </c:pt>
                <c:pt idx="46">
                  <c:v>1957.705078</c:v>
                </c:pt>
                <c:pt idx="47">
                  <c:v>1956.369629</c:v>
                </c:pt>
                <c:pt idx="48">
                  <c:v>1955.348755</c:v>
                </c:pt>
                <c:pt idx="49">
                  <c:v>1954.5032960000001</c:v>
                </c:pt>
                <c:pt idx="50">
                  <c:v>1954.2166749999999</c:v>
                </c:pt>
                <c:pt idx="51">
                  <c:v>1953.0589600000001</c:v>
                </c:pt>
                <c:pt idx="52">
                  <c:v>1951.732422</c:v>
                </c:pt>
                <c:pt idx="53">
                  <c:v>1951.203491</c:v>
                </c:pt>
                <c:pt idx="54">
                  <c:v>1951.3741460000001</c:v>
                </c:pt>
                <c:pt idx="55">
                  <c:v>1949.9697269999999</c:v>
                </c:pt>
                <c:pt idx="56">
                  <c:v>1949.771362</c:v>
                </c:pt>
                <c:pt idx="57">
                  <c:v>1949.233154</c:v>
                </c:pt>
                <c:pt idx="58">
                  <c:v>1948.318115</c:v>
                </c:pt>
                <c:pt idx="59">
                  <c:v>1948.103638</c:v>
                </c:pt>
                <c:pt idx="60">
                  <c:v>1946.9564210000001</c:v>
                </c:pt>
                <c:pt idx="61">
                  <c:v>1946.3876949999999</c:v>
                </c:pt>
                <c:pt idx="62">
                  <c:v>1946.2536620000001</c:v>
                </c:pt>
                <c:pt idx="63">
                  <c:v>1945.2380370000001</c:v>
                </c:pt>
                <c:pt idx="64">
                  <c:v>1944.713501</c:v>
                </c:pt>
                <c:pt idx="65">
                  <c:v>1943.844971</c:v>
                </c:pt>
                <c:pt idx="66">
                  <c:v>1943.3050539999999</c:v>
                </c:pt>
                <c:pt idx="67">
                  <c:v>1942.5893550000001</c:v>
                </c:pt>
                <c:pt idx="68">
                  <c:v>1942.3706050000001</c:v>
                </c:pt>
                <c:pt idx="69">
                  <c:v>1941.815552</c:v>
                </c:pt>
                <c:pt idx="70">
                  <c:v>1941.6362300000001</c:v>
                </c:pt>
                <c:pt idx="71">
                  <c:v>1941.1260990000001</c:v>
                </c:pt>
                <c:pt idx="72">
                  <c:v>1940.5195309999999</c:v>
                </c:pt>
                <c:pt idx="73">
                  <c:v>1940.080078</c:v>
                </c:pt>
                <c:pt idx="74">
                  <c:v>1939.7810059999999</c:v>
                </c:pt>
                <c:pt idx="75">
                  <c:v>1938.9685059999999</c:v>
                </c:pt>
                <c:pt idx="76">
                  <c:v>1938.7667240000001</c:v>
                </c:pt>
                <c:pt idx="77">
                  <c:v>1938.1130370000001</c:v>
                </c:pt>
                <c:pt idx="78">
                  <c:v>1937.948486</c:v>
                </c:pt>
                <c:pt idx="79">
                  <c:v>1937.4343260000001</c:v>
                </c:pt>
                <c:pt idx="80">
                  <c:v>1936.8342290000001</c:v>
                </c:pt>
                <c:pt idx="81">
                  <c:v>1936.0622559999999</c:v>
                </c:pt>
                <c:pt idx="82">
                  <c:v>1935.977905</c:v>
                </c:pt>
                <c:pt idx="83">
                  <c:v>1935.337158</c:v>
                </c:pt>
                <c:pt idx="84">
                  <c:v>1934.9232179999999</c:v>
                </c:pt>
                <c:pt idx="85">
                  <c:v>1934.708862</c:v>
                </c:pt>
                <c:pt idx="86">
                  <c:v>1934.624268</c:v>
                </c:pt>
                <c:pt idx="87">
                  <c:v>1934.0924070000001</c:v>
                </c:pt>
                <c:pt idx="88">
                  <c:v>1934.260376</c:v>
                </c:pt>
                <c:pt idx="89">
                  <c:v>1933.060669</c:v>
                </c:pt>
                <c:pt idx="90">
                  <c:v>1933.540039</c:v>
                </c:pt>
                <c:pt idx="91">
                  <c:v>1932.7501219999999</c:v>
                </c:pt>
                <c:pt idx="92">
                  <c:v>1932.4539789999999</c:v>
                </c:pt>
                <c:pt idx="93">
                  <c:v>1932.5892329999999</c:v>
                </c:pt>
                <c:pt idx="94">
                  <c:v>1931.7150879999999</c:v>
                </c:pt>
                <c:pt idx="95">
                  <c:v>1932.1687010000001</c:v>
                </c:pt>
                <c:pt idx="96">
                  <c:v>1931.304932</c:v>
                </c:pt>
                <c:pt idx="97">
                  <c:v>1931.6385499999999</c:v>
                </c:pt>
                <c:pt idx="98">
                  <c:v>1930.7117920000001</c:v>
                </c:pt>
                <c:pt idx="99">
                  <c:v>1930.6298830000001</c:v>
                </c:pt>
                <c:pt idx="100">
                  <c:v>1930.638428</c:v>
                </c:pt>
                <c:pt idx="101">
                  <c:v>1930.5786129999999</c:v>
                </c:pt>
                <c:pt idx="102">
                  <c:v>1930.1160890000001</c:v>
                </c:pt>
                <c:pt idx="103">
                  <c:v>1929.9628909999999</c:v>
                </c:pt>
                <c:pt idx="104">
                  <c:v>1929.844482</c:v>
                </c:pt>
                <c:pt idx="105">
                  <c:v>1929.768311</c:v>
                </c:pt>
                <c:pt idx="106">
                  <c:v>1929.1788329999999</c:v>
                </c:pt>
                <c:pt idx="107">
                  <c:v>1928.856567</c:v>
                </c:pt>
                <c:pt idx="108">
                  <c:v>1929.4654539999999</c:v>
                </c:pt>
                <c:pt idx="109">
                  <c:v>1928.8314210000001</c:v>
                </c:pt>
                <c:pt idx="110">
                  <c:v>1929.020874</c:v>
                </c:pt>
                <c:pt idx="111">
                  <c:v>1928.770264</c:v>
                </c:pt>
                <c:pt idx="112">
                  <c:v>1928.880615</c:v>
                </c:pt>
                <c:pt idx="113">
                  <c:v>1928.5113530000001</c:v>
                </c:pt>
                <c:pt idx="114">
                  <c:v>1928.177856</c:v>
                </c:pt>
                <c:pt idx="115">
                  <c:v>1928.6226810000001</c:v>
                </c:pt>
                <c:pt idx="116">
                  <c:v>1928.255615</c:v>
                </c:pt>
                <c:pt idx="117">
                  <c:v>1928.5145259999999</c:v>
                </c:pt>
                <c:pt idx="118">
                  <c:v>1927.962158</c:v>
                </c:pt>
                <c:pt idx="119">
                  <c:v>1928.196899</c:v>
                </c:pt>
                <c:pt idx="120">
                  <c:v>1927.7771</c:v>
                </c:pt>
                <c:pt idx="121">
                  <c:v>1928.0462649999999</c:v>
                </c:pt>
                <c:pt idx="122">
                  <c:v>1928.0126949999999</c:v>
                </c:pt>
                <c:pt idx="123">
                  <c:v>1927.5592039999999</c:v>
                </c:pt>
                <c:pt idx="124">
                  <c:v>1927.569702</c:v>
                </c:pt>
                <c:pt idx="125">
                  <c:v>1927.887817</c:v>
                </c:pt>
                <c:pt idx="126">
                  <c:v>1927.4638669999999</c:v>
                </c:pt>
                <c:pt idx="127">
                  <c:v>1927.298462</c:v>
                </c:pt>
                <c:pt idx="128">
                  <c:v>1927.785034</c:v>
                </c:pt>
                <c:pt idx="129">
                  <c:v>1927.342529</c:v>
                </c:pt>
                <c:pt idx="130">
                  <c:v>1927.890259</c:v>
                </c:pt>
                <c:pt idx="131">
                  <c:v>1927.3602289999999</c:v>
                </c:pt>
                <c:pt idx="132">
                  <c:v>1927.450439</c:v>
                </c:pt>
                <c:pt idx="133">
                  <c:v>1927.6170649999999</c:v>
                </c:pt>
                <c:pt idx="134">
                  <c:v>1927.0706789999999</c:v>
                </c:pt>
                <c:pt idx="135">
                  <c:v>1927.512207</c:v>
                </c:pt>
                <c:pt idx="136">
                  <c:v>1927.6572269999999</c:v>
                </c:pt>
                <c:pt idx="137">
                  <c:v>1927.3291019999999</c:v>
                </c:pt>
                <c:pt idx="138">
                  <c:v>1927.58728</c:v>
                </c:pt>
                <c:pt idx="139">
                  <c:v>1927.227783</c:v>
                </c:pt>
                <c:pt idx="140">
                  <c:v>1927.6329350000001</c:v>
                </c:pt>
                <c:pt idx="141">
                  <c:v>1927.5738530000001</c:v>
                </c:pt>
                <c:pt idx="142">
                  <c:v>1927.44812</c:v>
                </c:pt>
                <c:pt idx="143">
                  <c:v>1927.2285159999999</c:v>
                </c:pt>
                <c:pt idx="144">
                  <c:v>1927.555664</c:v>
                </c:pt>
                <c:pt idx="145">
                  <c:v>1927.0649410000001</c:v>
                </c:pt>
                <c:pt idx="146">
                  <c:v>1927.6635739999999</c:v>
                </c:pt>
                <c:pt idx="147">
                  <c:v>1927.2823490000001</c:v>
                </c:pt>
                <c:pt idx="148">
                  <c:v>1927.498047</c:v>
                </c:pt>
                <c:pt idx="149">
                  <c:v>1927.575928</c:v>
                </c:pt>
                <c:pt idx="150">
                  <c:v>1927.446289</c:v>
                </c:pt>
                <c:pt idx="151">
                  <c:v>1927.5886230000001</c:v>
                </c:pt>
                <c:pt idx="152">
                  <c:v>1927.309448</c:v>
                </c:pt>
                <c:pt idx="153">
                  <c:v>1927.5373540000001</c:v>
                </c:pt>
                <c:pt idx="154">
                  <c:v>1927.4738769999999</c:v>
                </c:pt>
                <c:pt idx="155">
                  <c:v>1927.3442379999999</c:v>
                </c:pt>
                <c:pt idx="156">
                  <c:v>1927.343018</c:v>
                </c:pt>
                <c:pt idx="157">
                  <c:v>1927.640991</c:v>
                </c:pt>
                <c:pt idx="158">
                  <c:v>1927.9537350000001</c:v>
                </c:pt>
                <c:pt idx="159">
                  <c:v>1927.7380370000001</c:v>
                </c:pt>
                <c:pt idx="160">
                  <c:v>1928.1716309999999</c:v>
                </c:pt>
                <c:pt idx="161">
                  <c:v>1928.3551030000001</c:v>
                </c:pt>
                <c:pt idx="162">
                  <c:v>1927.6842039999999</c:v>
                </c:pt>
                <c:pt idx="163">
                  <c:v>1927.2807620000001</c:v>
                </c:pt>
                <c:pt idx="164">
                  <c:v>1927.874634</c:v>
                </c:pt>
                <c:pt idx="165">
                  <c:v>1927.6475829999999</c:v>
                </c:pt>
                <c:pt idx="166">
                  <c:v>1927.420044</c:v>
                </c:pt>
                <c:pt idx="167">
                  <c:v>1928.088379</c:v>
                </c:pt>
                <c:pt idx="168">
                  <c:v>1928.8648679999999</c:v>
                </c:pt>
                <c:pt idx="169">
                  <c:v>1928.534302</c:v>
                </c:pt>
                <c:pt idx="170">
                  <c:v>1928.7288820000001</c:v>
                </c:pt>
                <c:pt idx="171">
                  <c:v>1928.638794</c:v>
                </c:pt>
                <c:pt idx="172">
                  <c:v>1928.9997559999999</c:v>
                </c:pt>
                <c:pt idx="173">
                  <c:v>1929.400269</c:v>
                </c:pt>
                <c:pt idx="174">
                  <c:v>1928.6171879999999</c:v>
                </c:pt>
                <c:pt idx="175">
                  <c:v>1929.0435789999999</c:v>
                </c:pt>
                <c:pt idx="176">
                  <c:v>1929.500366</c:v>
                </c:pt>
                <c:pt idx="177">
                  <c:v>1929.3583980000001</c:v>
                </c:pt>
                <c:pt idx="178">
                  <c:v>1929.3583980000001</c:v>
                </c:pt>
                <c:pt idx="179">
                  <c:v>1929.8580320000001</c:v>
                </c:pt>
                <c:pt idx="180">
                  <c:v>1929.864624</c:v>
                </c:pt>
                <c:pt idx="181">
                  <c:v>1929.529419</c:v>
                </c:pt>
                <c:pt idx="182">
                  <c:v>1930.35376</c:v>
                </c:pt>
                <c:pt idx="183">
                  <c:v>1930.661987</c:v>
                </c:pt>
                <c:pt idx="184">
                  <c:v>1930.3779300000001</c:v>
                </c:pt>
                <c:pt idx="185">
                  <c:v>1930.0893550000001</c:v>
                </c:pt>
                <c:pt idx="186">
                  <c:v>1930.61499</c:v>
                </c:pt>
                <c:pt idx="187">
                  <c:v>1930.7211910000001</c:v>
                </c:pt>
                <c:pt idx="188">
                  <c:v>1930.4217530000001</c:v>
                </c:pt>
                <c:pt idx="189">
                  <c:v>1930.8051760000001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PANI_2ndPhase!$I$2:$I$102</c:f>
              <c:numCache>
                <c:formatCode>General</c:formatCode>
                <c:ptCount val="101"/>
                <c:pt idx="0">
                  <c:v>7.7699330582292427</c:v>
                </c:pt>
                <c:pt idx="1">
                  <c:v>7.7334609974093373</c:v>
                </c:pt>
                <c:pt idx="2">
                  <c:v>7.6882632015799697</c:v>
                </c:pt>
                <c:pt idx="3">
                  <c:v>7.6677353667180812</c:v>
                </c:pt>
                <c:pt idx="4">
                  <c:v>7.6557507797803801</c:v>
                </c:pt>
                <c:pt idx="5">
                  <c:v>7.6470109249790816</c:v>
                </c:pt>
                <c:pt idx="6">
                  <c:v>7.640037250254136</c:v>
                </c:pt>
                <c:pt idx="7">
                  <c:v>7.6337381563128472</c:v>
                </c:pt>
                <c:pt idx="8">
                  <c:v>7.6288256049230654</c:v>
                </c:pt>
                <c:pt idx="9">
                  <c:v>7.6245339268778975</c:v>
                </c:pt>
                <c:pt idx="10">
                  <c:v>7.6219085501308239</c:v>
                </c:pt>
                <c:pt idx="11">
                  <c:v>7.6188645003703037</c:v>
                </c:pt>
                <c:pt idx="12">
                  <c:v>7.6155690355649002</c:v>
                </c:pt>
                <c:pt idx="13">
                  <c:v>7.6131801725133981</c:v>
                </c:pt>
                <c:pt idx="14">
                  <c:v>7.6107570635363535</c:v>
                </c:pt>
                <c:pt idx="15">
                  <c:v>7.6088535536486477</c:v>
                </c:pt>
                <c:pt idx="16">
                  <c:v>7.606871911358688</c:v>
                </c:pt>
                <c:pt idx="17">
                  <c:v>7.6047634044924104</c:v>
                </c:pt>
                <c:pt idx="18">
                  <c:v>7.6033810138869669</c:v>
                </c:pt>
                <c:pt idx="19">
                  <c:v>7.6018579963713231</c:v>
                </c:pt>
                <c:pt idx="20">
                  <c:v>7.6004337827302617</c:v>
                </c:pt>
                <c:pt idx="21">
                  <c:v>7.5988196034024549</c:v>
                </c:pt>
                <c:pt idx="22">
                  <c:v>7.5979030317526055</c:v>
                </c:pt>
                <c:pt idx="23">
                  <c:v>7.5966902315528246</c:v>
                </c:pt>
                <c:pt idx="24">
                  <c:v>7.5957436065130635</c:v>
                </c:pt>
                <c:pt idx="25">
                  <c:v>7.5944811912558228</c:v>
                </c:pt>
                <c:pt idx="26">
                  <c:v>7.5931577026864083</c:v>
                </c:pt>
                <c:pt idx="27">
                  <c:v>7.5922021236446007</c:v>
                </c:pt>
                <c:pt idx="28">
                  <c:v>7.5912927129785004</c:v>
                </c:pt>
                <c:pt idx="29">
                  <c:v>7.590480479890104</c:v>
                </c:pt>
                <c:pt idx="30">
                  <c:v>7.5896975847376318</c:v>
                </c:pt>
                <c:pt idx="31">
                  <c:v>7.5888527970735167</c:v>
                </c:pt>
                <c:pt idx="32">
                  <c:v>7.5880744376700022</c:v>
                </c:pt>
                <c:pt idx="33">
                  <c:v>7.5869569158940839</c:v>
                </c:pt>
                <c:pt idx="34">
                  <c:v>7.5865529251621124</c:v>
                </c:pt>
                <c:pt idx="35">
                  <c:v>7.5857798988495855</c:v>
                </c:pt>
                <c:pt idx="36">
                  <c:v>7.5851301688272157</c:v>
                </c:pt>
                <c:pt idx="37">
                  <c:v>7.5843619361945791</c:v>
                </c:pt>
                <c:pt idx="38">
                  <c:v>7.5837039570177742</c:v>
                </c:pt>
                <c:pt idx="39">
                  <c:v>7.5829999364040983</c:v>
                </c:pt>
                <c:pt idx="40">
                  <c:v>7.5824304068387836</c:v>
                </c:pt>
                <c:pt idx="41">
                  <c:v>7.5817140407212529</c:v>
                </c:pt>
                <c:pt idx="42">
                  <c:v>7.5812432534805856</c:v>
                </c:pt>
                <c:pt idx="43">
                  <c:v>7.5805997865138721</c:v>
                </c:pt>
                <c:pt idx="44">
                  <c:v>7.5799106547445323</c:v>
                </c:pt>
                <c:pt idx="45">
                  <c:v>7.5795250078907177</c:v>
                </c:pt>
                <c:pt idx="46">
                  <c:v>7.5795281876392746</c:v>
                </c:pt>
                <c:pt idx="47">
                  <c:v>7.5788458046232163</c:v>
                </c:pt>
                <c:pt idx="48">
                  <c:v>7.5783238478139774</c:v>
                </c:pt>
                <c:pt idx="49">
                  <c:v>7.5778913715963867</c:v>
                </c:pt>
                <c:pt idx="50">
                  <c:v>7.577744714377328</c:v>
                </c:pt>
                <c:pt idx="51">
                  <c:v>7.5771521198731113</c:v>
                </c:pt>
                <c:pt idx="52">
                  <c:v>7.5764726786834249</c:v>
                </c:pt>
                <c:pt idx="53">
                  <c:v>7.5762016360555018</c:v>
                </c:pt>
                <c:pt idx="54">
                  <c:v>7.5762890936366096</c:v>
                </c:pt>
                <c:pt idx="55">
                  <c:v>7.5755691268218994</c:v>
                </c:pt>
                <c:pt idx="56">
                  <c:v>7.5754673944270339</c:v>
                </c:pt>
                <c:pt idx="57">
                  <c:v>7.5751913198540448</c:v>
                </c:pt>
                <c:pt idx="58">
                  <c:v>7.5747217742580242</c:v>
                </c:pt>
                <c:pt idx="59">
                  <c:v>7.5746116850460172</c:v>
                </c:pt>
                <c:pt idx="60">
                  <c:v>7.5740226224817455</c:v>
                </c:pt>
                <c:pt idx="61">
                  <c:v>7.5737304695216681</c:v>
                </c:pt>
                <c:pt idx="62">
                  <c:v>7.5736616047135543</c:v>
                </c:pt>
                <c:pt idx="63">
                  <c:v>7.5731396326259253</c:v>
                </c:pt>
                <c:pt idx="64">
                  <c:v>7.5728699449457286</c:v>
                </c:pt>
                <c:pt idx="65">
                  <c:v>7.5724232344124056</c:v>
                </c:pt>
                <c:pt idx="66">
                  <c:v>7.5721454385979916</c:v>
                </c:pt>
                <c:pt idx="67">
                  <c:v>7.5717770811838347</c:v>
                </c:pt>
                <c:pt idx="68">
                  <c:v>7.5716644674104714</c:v>
                </c:pt>
                <c:pt idx="69">
                  <c:v>7.5713786659677274</c:v>
                </c:pt>
                <c:pt idx="70">
                  <c:v>7.5712863141064481</c:v>
                </c:pt>
                <c:pt idx="71">
                  <c:v>7.5710235470557201</c:v>
                </c:pt>
                <c:pt idx="72">
                  <c:v>7.5707110156900281</c:v>
                </c:pt>
                <c:pt idx="73">
                  <c:v>7.5704845285250766</c:v>
                </c:pt>
                <c:pt idx="74">
                  <c:v>7.570330362180397</c:v>
                </c:pt>
                <c:pt idx="75">
                  <c:v>7.5699114127177562</c:v>
                </c:pt>
                <c:pt idx="76">
                  <c:v>7.569807340630204</c:v>
                </c:pt>
                <c:pt idx="77">
                  <c:v>7.5694701173751673</c:v>
                </c:pt>
                <c:pt idx="78">
                  <c:v>7.569385211086078</c:v>
                </c:pt>
                <c:pt idx="79">
                  <c:v>7.5691198643949464</c:v>
                </c:pt>
                <c:pt idx="80">
                  <c:v>7.5688100784334003</c:v>
                </c:pt>
                <c:pt idx="81">
                  <c:v>7.5684114243442897</c:v>
                </c:pt>
                <c:pt idx="82">
                  <c:v>7.5683678550647855</c:v>
                </c:pt>
                <c:pt idx="83">
                  <c:v>7.5680368321459976</c:v>
                </c:pt>
                <c:pt idx="84">
                  <c:v>7.5678229240564301</c:v>
                </c:pt>
                <c:pt idx="85">
                  <c:v>7.5677121352290753</c:v>
                </c:pt>
                <c:pt idx="86">
                  <c:v>7.5676684098649512</c:v>
                </c:pt>
                <c:pt idx="87">
                  <c:v>7.5673934551199906</c:v>
                </c:pt>
                <c:pt idx="88">
                  <c:v>7.5674802977682845</c:v>
                </c:pt>
                <c:pt idx="89">
                  <c:v>7.5668598646444112</c:v>
                </c:pt>
                <c:pt idx="90">
                  <c:v>7.5671078188753533</c:v>
                </c:pt>
                <c:pt idx="91">
                  <c:v>7.5666992013230763</c:v>
                </c:pt>
                <c:pt idx="92">
                  <c:v>7.5665459659477419</c:v>
                </c:pt>
                <c:pt idx="93">
                  <c:v>7.5666159542985243</c:v>
                </c:pt>
                <c:pt idx="94">
                  <c:v>7.5661635339184006</c:v>
                </c:pt>
                <c:pt idx="95">
                  <c:v>7.5663983303185285</c:v>
                </c:pt>
                <c:pt idx="96">
                  <c:v>7.5659511839955851</c:v>
                </c:pt>
                <c:pt idx="97">
                  <c:v>7.5661239113483845</c:v>
                </c:pt>
                <c:pt idx="98">
                  <c:v>7.5656440180524767</c:v>
                </c:pt>
                <c:pt idx="99">
                  <c:v>7.565601592902409</c:v>
                </c:pt>
                <c:pt idx="100">
                  <c:v>7.5656060189092607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PANI_2ndPhase!$B$2:$B$102</c:f>
              <c:numCache>
                <c:formatCode>General</c:formatCode>
                <c:ptCount val="101"/>
                <c:pt idx="0">
                  <c:v>2368.3127439999998</c:v>
                </c:pt>
                <c:pt idx="1">
                  <c:v>2283.4916990000002</c:v>
                </c:pt>
                <c:pt idx="2">
                  <c:v>2182.5805660000001</c:v>
                </c:pt>
                <c:pt idx="3">
                  <c:v>2138.233643</c:v>
                </c:pt>
                <c:pt idx="4">
                  <c:v>2112.7607419999999</c:v>
                </c:pt>
                <c:pt idx="5">
                  <c:v>2094.3759770000001</c:v>
                </c:pt>
                <c:pt idx="6">
                  <c:v>2079.821289</c:v>
                </c:pt>
                <c:pt idx="7">
                  <c:v>2066.7614749999998</c:v>
                </c:pt>
                <c:pt idx="8">
                  <c:v>2056.6333009999998</c:v>
                </c:pt>
                <c:pt idx="9">
                  <c:v>2047.8258060000001</c:v>
                </c:pt>
                <c:pt idx="10">
                  <c:v>2042.456543</c:v>
                </c:pt>
                <c:pt idx="11">
                  <c:v>2036.2486570000001</c:v>
                </c:pt>
                <c:pt idx="12">
                  <c:v>2029.5493160000001</c:v>
                </c:pt>
                <c:pt idx="13">
                  <c:v>2024.7067870000001</c:v>
                </c:pt>
                <c:pt idx="14">
                  <c:v>2019.8066409999999</c:v>
                </c:pt>
                <c:pt idx="15">
                  <c:v>2015.9655760000001</c:v>
                </c:pt>
                <c:pt idx="16">
                  <c:v>2011.9746090000001</c:v>
                </c:pt>
                <c:pt idx="17">
                  <c:v>2007.7368160000001</c:v>
                </c:pt>
                <c:pt idx="18">
                  <c:v>2004.9632570000001</c:v>
                </c:pt>
                <c:pt idx="19">
                  <c:v>2001.911987</c:v>
                </c:pt>
                <c:pt idx="20">
                  <c:v>1999.062866</c:v>
                </c:pt>
                <c:pt idx="21">
                  <c:v>1995.8386230000001</c:v>
                </c:pt>
                <c:pt idx="22">
                  <c:v>1994.0101320000001</c:v>
                </c:pt>
                <c:pt idx="23">
                  <c:v>1991.5932620000001</c:v>
                </c:pt>
                <c:pt idx="24">
                  <c:v>1989.708862</c:v>
                </c:pt>
                <c:pt idx="25">
                  <c:v>1987.1986079999999</c:v>
                </c:pt>
                <c:pt idx="26">
                  <c:v>1984.5703129999999</c:v>
                </c:pt>
                <c:pt idx="27">
                  <c:v>1982.6748050000001</c:v>
                </c:pt>
                <c:pt idx="28">
                  <c:v>1980.8725589999999</c:v>
                </c:pt>
                <c:pt idx="29">
                  <c:v>1979.2642820000001</c:v>
                </c:pt>
                <c:pt idx="30">
                  <c:v>1977.715332</c:v>
                </c:pt>
                <c:pt idx="31">
                  <c:v>1976.045288</c:v>
                </c:pt>
                <c:pt idx="32">
                  <c:v>1974.5078129999999</c:v>
                </c:pt>
                <c:pt idx="33">
                  <c:v>1972.30249</c:v>
                </c:pt>
                <c:pt idx="34">
                  <c:v>1971.5058590000001</c:v>
                </c:pt>
                <c:pt idx="35">
                  <c:v>1969.982422</c:v>
                </c:pt>
                <c:pt idx="36">
                  <c:v>1968.7028809999999</c:v>
                </c:pt>
                <c:pt idx="37">
                  <c:v>1967.1910399999999</c:v>
                </c:pt>
                <c:pt idx="38">
                  <c:v>1965.897095</c:v>
                </c:pt>
                <c:pt idx="39">
                  <c:v>1964.5135499999999</c:v>
                </c:pt>
                <c:pt idx="40">
                  <c:v>1963.3950199999999</c:v>
                </c:pt>
                <c:pt idx="41">
                  <c:v>1961.989014</c:v>
                </c:pt>
                <c:pt idx="42">
                  <c:v>1961.065552</c:v>
                </c:pt>
                <c:pt idx="43">
                  <c:v>1959.804077</c:v>
                </c:pt>
                <c:pt idx="44">
                  <c:v>1958.4539789999999</c:v>
                </c:pt>
                <c:pt idx="45">
                  <c:v>1957.6988530000001</c:v>
                </c:pt>
                <c:pt idx="46">
                  <c:v>1957.705078</c:v>
                </c:pt>
                <c:pt idx="47">
                  <c:v>1956.369629</c:v>
                </c:pt>
                <c:pt idx="48">
                  <c:v>1955.348755</c:v>
                </c:pt>
                <c:pt idx="49">
                  <c:v>1954.5032960000001</c:v>
                </c:pt>
                <c:pt idx="50">
                  <c:v>1954.2166749999999</c:v>
                </c:pt>
                <c:pt idx="51">
                  <c:v>1953.0589600000001</c:v>
                </c:pt>
                <c:pt idx="52">
                  <c:v>1951.732422</c:v>
                </c:pt>
                <c:pt idx="53">
                  <c:v>1951.203491</c:v>
                </c:pt>
                <c:pt idx="54">
                  <c:v>1951.3741460000001</c:v>
                </c:pt>
                <c:pt idx="55">
                  <c:v>1949.9697269999999</c:v>
                </c:pt>
                <c:pt idx="56">
                  <c:v>1949.771362</c:v>
                </c:pt>
                <c:pt idx="57">
                  <c:v>1949.233154</c:v>
                </c:pt>
                <c:pt idx="58">
                  <c:v>1948.318115</c:v>
                </c:pt>
                <c:pt idx="59">
                  <c:v>1948.103638</c:v>
                </c:pt>
                <c:pt idx="60">
                  <c:v>1946.9564210000001</c:v>
                </c:pt>
                <c:pt idx="61">
                  <c:v>1946.3876949999999</c:v>
                </c:pt>
                <c:pt idx="62">
                  <c:v>1946.2536620000001</c:v>
                </c:pt>
                <c:pt idx="63">
                  <c:v>1945.2380370000001</c:v>
                </c:pt>
                <c:pt idx="64">
                  <c:v>1944.713501</c:v>
                </c:pt>
                <c:pt idx="65">
                  <c:v>1943.844971</c:v>
                </c:pt>
                <c:pt idx="66">
                  <c:v>1943.3050539999999</c:v>
                </c:pt>
                <c:pt idx="67">
                  <c:v>1942.5893550000001</c:v>
                </c:pt>
                <c:pt idx="68">
                  <c:v>1942.3706050000001</c:v>
                </c:pt>
                <c:pt idx="69">
                  <c:v>1941.815552</c:v>
                </c:pt>
                <c:pt idx="70">
                  <c:v>1941.6362300000001</c:v>
                </c:pt>
                <c:pt idx="71">
                  <c:v>1941.1260990000001</c:v>
                </c:pt>
                <c:pt idx="72">
                  <c:v>1940.5195309999999</c:v>
                </c:pt>
                <c:pt idx="73">
                  <c:v>1940.080078</c:v>
                </c:pt>
                <c:pt idx="74">
                  <c:v>1939.7810059999999</c:v>
                </c:pt>
                <c:pt idx="75">
                  <c:v>1938.9685059999999</c:v>
                </c:pt>
                <c:pt idx="76">
                  <c:v>1938.7667240000001</c:v>
                </c:pt>
                <c:pt idx="77">
                  <c:v>1938.1130370000001</c:v>
                </c:pt>
                <c:pt idx="78">
                  <c:v>1937.948486</c:v>
                </c:pt>
                <c:pt idx="79">
                  <c:v>1937.4343260000001</c:v>
                </c:pt>
                <c:pt idx="80">
                  <c:v>1936.8342290000001</c:v>
                </c:pt>
                <c:pt idx="81">
                  <c:v>1936.0622559999999</c:v>
                </c:pt>
                <c:pt idx="82">
                  <c:v>1935.977905</c:v>
                </c:pt>
                <c:pt idx="83">
                  <c:v>1935.337158</c:v>
                </c:pt>
                <c:pt idx="84">
                  <c:v>1934.9232179999999</c:v>
                </c:pt>
                <c:pt idx="85">
                  <c:v>1934.708862</c:v>
                </c:pt>
                <c:pt idx="86">
                  <c:v>1934.624268</c:v>
                </c:pt>
                <c:pt idx="87">
                  <c:v>1934.0924070000001</c:v>
                </c:pt>
                <c:pt idx="88">
                  <c:v>1934.260376</c:v>
                </c:pt>
                <c:pt idx="89">
                  <c:v>1933.060669</c:v>
                </c:pt>
                <c:pt idx="90">
                  <c:v>1933.540039</c:v>
                </c:pt>
                <c:pt idx="91">
                  <c:v>1932.7501219999999</c:v>
                </c:pt>
                <c:pt idx="92">
                  <c:v>1932.4539789999999</c:v>
                </c:pt>
                <c:pt idx="93">
                  <c:v>1932.5892329999999</c:v>
                </c:pt>
                <c:pt idx="94">
                  <c:v>1931.7150879999999</c:v>
                </c:pt>
                <c:pt idx="95">
                  <c:v>1932.1687010000001</c:v>
                </c:pt>
                <c:pt idx="96">
                  <c:v>1931.304932</c:v>
                </c:pt>
                <c:pt idx="97">
                  <c:v>1931.6385499999999</c:v>
                </c:pt>
                <c:pt idx="98">
                  <c:v>1930.7117920000001</c:v>
                </c:pt>
                <c:pt idx="99">
                  <c:v>1930.6298830000001</c:v>
                </c:pt>
                <c:pt idx="100">
                  <c:v>1930.638428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287503794599619"/>
                  <c:y val="-2.98654855643044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</c:numCache>
            </c:numRef>
          </c:xVal>
          <c:yVal>
            <c:numRef>
              <c:f>PANI_2ndPhase!$H$2:$H$84</c:f>
              <c:numCache>
                <c:formatCode>General</c:formatCode>
                <c:ptCount val="83"/>
                <c:pt idx="0">
                  <c:v>6.0702199126659631</c:v>
                </c:pt>
                <c:pt idx="1">
                  <c:v>5.8520725834072724</c:v>
                </c:pt>
                <c:pt idx="2">
                  <c:v>5.5095651064283766</c:v>
                </c:pt>
                <c:pt idx="3">
                  <c:v>5.311710985247954</c:v>
                </c:pt>
                <c:pt idx="4">
                  <c:v>5.17741357765287</c:v>
                </c:pt>
                <c:pt idx="5">
                  <c:v>5.0678915953672963</c:v>
                </c:pt>
                <c:pt idx="6">
                  <c:v>4.9717862755892934</c:v>
                </c:pt>
                <c:pt idx="7">
                  <c:v>4.8769101684209817</c:v>
                </c:pt>
                <c:pt idx="8">
                  <c:v>4.7965869308771225</c:v>
                </c:pt>
                <c:pt idx="9">
                  <c:v>4.7210750679063</c:v>
                </c:pt>
                <c:pt idx="10">
                  <c:v>4.6720775523201388</c:v>
                </c:pt>
                <c:pt idx="11">
                  <c:v>4.6122625456403314</c:v>
                </c:pt>
                <c:pt idx="12">
                  <c:v>4.5434268586539179</c:v>
                </c:pt>
                <c:pt idx="13">
                  <c:v>4.49054339290364</c:v>
                </c:pt>
                <c:pt idx="14">
                  <c:v>4.4340228563251651</c:v>
                </c:pt>
                <c:pt idx="15">
                  <c:v>4.3873707792611523</c:v>
                </c:pt>
                <c:pt idx="16">
                  <c:v>4.3364761477036708</c:v>
                </c:pt>
                <c:pt idx="17">
                  <c:v>4.2794388824632019</c:v>
                </c:pt>
                <c:pt idx="18">
                  <c:v>4.2402665792747953</c:v>
                </c:pt>
                <c:pt idx="19">
                  <c:v>4.1953217902957061</c:v>
                </c:pt>
                <c:pt idx="20">
                  <c:v>4.1514487357021785</c:v>
                </c:pt>
                <c:pt idx="21">
                  <c:v>4.0993606771225961</c:v>
                </c:pt>
                <c:pt idx="22">
                  <c:v>4.0685690768699301</c:v>
                </c:pt>
                <c:pt idx="23">
                  <c:v>4.026357648875269</c:v>
                </c:pt>
                <c:pt idx="24">
                  <c:v>3.9921634683234841</c:v>
                </c:pt>
                <c:pt idx="25">
                  <c:v>3.9447168494517695</c:v>
                </c:pt>
                <c:pt idx="26">
                  <c:v>3.8925019636830323</c:v>
                </c:pt>
                <c:pt idx="27">
                  <c:v>3.8530774544330093</c:v>
                </c:pt>
                <c:pt idx="28">
                  <c:v>3.8140938972226532</c:v>
                </c:pt>
                <c:pt idx="29">
                  <c:v>3.7779744962647692</c:v>
                </c:pt>
                <c:pt idx="30">
                  <c:v>3.741909000343536</c:v>
                </c:pt>
                <c:pt idx="31">
                  <c:v>3.70150906377906</c:v>
                </c:pt>
                <c:pt idx="32">
                  <c:v>3.6628155473543411</c:v>
                </c:pt>
                <c:pt idx="33">
                  <c:v>3.6045623533910378</c:v>
                </c:pt>
                <c:pt idx="34">
                  <c:v>3.5826563165047562</c:v>
                </c:pt>
                <c:pt idx="35">
                  <c:v>3.5393790035246115</c:v>
                </c:pt>
                <c:pt idx="36">
                  <c:v>3.501524681915904</c:v>
                </c:pt>
                <c:pt idx="37">
                  <c:v>3.4548689457230686</c:v>
                </c:pt>
                <c:pt idx="38">
                  <c:v>3.4131323754317044</c:v>
                </c:pt>
                <c:pt idx="39">
                  <c:v>3.3664903332472655</c:v>
                </c:pt>
                <c:pt idx="40">
                  <c:v>3.3271244858163271</c:v>
                </c:pt>
                <c:pt idx="41">
                  <c:v>3.2753360794961579</c:v>
                </c:pt>
                <c:pt idx="42">
                  <c:v>3.2398014292326773</c:v>
                </c:pt>
                <c:pt idx="43">
                  <c:v>3.1891246965331792</c:v>
                </c:pt>
                <c:pt idx="44">
                  <c:v>3.1318824404439716</c:v>
                </c:pt>
                <c:pt idx="45">
                  <c:v>3.0983769897646645</c:v>
                </c:pt>
                <c:pt idx="46">
                  <c:v>3.0986578371206432</c:v>
                </c:pt>
                <c:pt idx="47">
                  <c:v>3.0365252596535073</c:v>
                </c:pt>
                <c:pt idx="48">
                  <c:v>2.9862804959025189</c:v>
                </c:pt>
                <c:pt idx="49">
                  <c:v>2.94266878171209</c:v>
                </c:pt>
                <c:pt idx="50">
                  <c:v>2.9274413877602696</c:v>
                </c:pt>
                <c:pt idx="51">
                  <c:v>2.8634606585049496</c:v>
                </c:pt>
                <c:pt idx="52">
                  <c:v>2.7847347842742729</c:v>
                </c:pt>
                <c:pt idx="53">
                  <c:v>2.7515304832430503</c:v>
                </c:pt>
                <c:pt idx="54">
                  <c:v>2.762364507633889</c:v>
                </c:pt>
                <c:pt idx="55">
                  <c:v>2.6695052648935733</c:v>
                </c:pt>
                <c:pt idx="56">
                  <c:v>2.655665925846479</c:v>
                </c:pt>
                <c:pt idx="57">
                  <c:v>2.6171223647881678</c:v>
                </c:pt>
                <c:pt idx="58">
                  <c:v>2.54797651485302</c:v>
                </c:pt>
                <c:pt idx="59">
                  <c:v>2.5310534821623212</c:v>
                </c:pt>
                <c:pt idx="60">
                  <c:v>2.4353242593902311</c:v>
                </c:pt>
                <c:pt idx="61">
                  <c:v>2.3842383491916057</c:v>
                </c:pt>
                <c:pt idx="62">
                  <c:v>2.3718090577768911</c:v>
                </c:pt>
                <c:pt idx="63">
                  <c:v>2.2722430951348738</c:v>
                </c:pt>
                <c:pt idx="64">
                  <c:v>2.216656874630794</c:v>
                </c:pt>
                <c:pt idx="65">
                  <c:v>2.1172274519571257</c:v>
                </c:pt>
                <c:pt idx="66">
                  <c:v>2.050032555715263</c:v>
                </c:pt>
                <c:pt idx="67">
                  <c:v>1.9533757831576086</c:v>
                </c:pt>
                <c:pt idx="68">
                  <c:v>1.9218669862410691</c:v>
                </c:pt>
                <c:pt idx="69">
                  <c:v>1.8371553077580423</c:v>
                </c:pt>
                <c:pt idx="70">
                  <c:v>1.8081789290812802</c:v>
                </c:pt>
                <c:pt idx="71">
                  <c:v>1.7208359853076696</c:v>
                </c:pt>
                <c:pt idx="72">
                  <c:v>1.6059580647812433</c:v>
                </c:pt>
                <c:pt idx="73">
                  <c:v>1.5136267671675201</c:v>
                </c:pt>
                <c:pt idx="74">
                  <c:v>1.4455311968771378</c:v>
                </c:pt>
                <c:pt idx="75">
                  <c:v>1.2330283731706555</c:v>
                </c:pt>
                <c:pt idx="76">
                  <c:v>1.17242764658591</c:v>
                </c:pt>
                <c:pt idx="77">
                  <c:v>0.94629099005777173</c:v>
                </c:pt>
                <c:pt idx="78">
                  <c:v>0.88028462234175608</c:v>
                </c:pt>
                <c:pt idx="79">
                  <c:v>0.64049823084473034</c:v>
                </c:pt>
                <c:pt idx="80">
                  <c:v>0.26030753546511226</c:v>
                </c:pt>
                <c:pt idx="81">
                  <c:v>-0.64367915095524564</c:v>
                </c:pt>
                <c:pt idx="82">
                  <c:v>-0.81869906573117091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2-4E1C-BBA6-F96606434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5066371957164174"/>
                  <c:y val="-0.286258019830854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</c:numCache>
            </c:numRef>
          </c:xVal>
          <c:yVal>
            <c:numRef>
              <c:f>PANI_2ndPhase!$F$2:$F$84</c:f>
              <c:numCache>
                <c:formatCode>General</c:formatCode>
                <c:ptCount val="83"/>
                <c:pt idx="0">
                  <c:v>432.77584399999984</c:v>
                </c:pt>
                <c:pt idx="1">
                  <c:v>347.95479900000015</c:v>
                </c:pt>
                <c:pt idx="2">
                  <c:v>247.04366600000009</c:v>
                </c:pt>
                <c:pt idx="3">
                  <c:v>202.69674300000003</c:v>
                </c:pt>
                <c:pt idx="4">
                  <c:v>177.22384199999993</c:v>
                </c:pt>
                <c:pt idx="5">
                  <c:v>158.83907700000015</c:v>
                </c:pt>
                <c:pt idx="6">
                  <c:v>144.28438899999998</c:v>
                </c:pt>
                <c:pt idx="7">
                  <c:v>131.22457499999979</c:v>
                </c:pt>
                <c:pt idx="8">
                  <c:v>121.09640099999984</c:v>
                </c:pt>
                <c:pt idx="9">
                  <c:v>112.28890600000005</c:v>
                </c:pt>
                <c:pt idx="10">
                  <c:v>106.91964300000001</c:v>
                </c:pt>
                <c:pt idx="11">
                  <c:v>100.71175700000009</c:v>
                </c:pt>
                <c:pt idx="12">
                  <c:v>94.012416000000087</c:v>
                </c:pt>
                <c:pt idx="13">
                  <c:v>89.169887000000074</c:v>
                </c:pt>
                <c:pt idx="14">
                  <c:v>84.269740999999897</c:v>
                </c:pt>
                <c:pt idx="15">
                  <c:v>80.428676000000053</c:v>
                </c:pt>
                <c:pt idx="16">
                  <c:v>76.437709000000098</c:v>
                </c:pt>
                <c:pt idx="17">
                  <c:v>72.199916000000087</c:v>
                </c:pt>
                <c:pt idx="18">
                  <c:v>69.42635700000011</c:v>
                </c:pt>
                <c:pt idx="19">
                  <c:v>66.375086999999951</c:v>
                </c:pt>
                <c:pt idx="20">
                  <c:v>63.525965999999983</c:v>
                </c:pt>
                <c:pt idx="21">
                  <c:v>60.301723000000095</c:v>
                </c:pt>
                <c:pt idx="22">
                  <c:v>58.47323200000011</c:v>
                </c:pt>
                <c:pt idx="23">
                  <c:v>56.056362000000092</c:v>
                </c:pt>
                <c:pt idx="24">
                  <c:v>54.171961999999951</c:v>
                </c:pt>
                <c:pt idx="25">
                  <c:v>51.661707999999919</c:v>
                </c:pt>
                <c:pt idx="26">
                  <c:v>49.033412999999939</c:v>
                </c:pt>
                <c:pt idx="27">
                  <c:v>47.137905000000103</c:v>
                </c:pt>
                <c:pt idx="28">
                  <c:v>45.335658999999907</c:v>
                </c:pt>
                <c:pt idx="29">
                  <c:v>43.727382000000091</c:v>
                </c:pt>
                <c:pt idx="30">
                  <c:v>42.178431999999987</c:v>
                </c:pt>
                <c:pt idx="31">
                  <c:v>40.508388000000025</c:v>
                </c:pt>
                <c:pt idx="32">
                  <c:v>38.970912999999939</c:v>
                </c:pt>
                <c:pt idx="33">
                  <c:v>36.765590000000032</c:v>
                </c:pt>
                <c:pt idx="34">
                  <c:v>35.968959000000098</c:v>
                </c:pt>
                <c:pt idx="35">
                  <c:v>34.445522000000039</c:v>
                </c:pt>
                <c:pt idx="36">
                  <c:v>33.165980999999931</c:v>
                </c:pt>
                <c:pt idx="37">
                  <c:v>31.654139999999927</c:v>
                </c:pt>
                <c:pt idx="38">
                  <c:v>30.360195000000033</c:v>
                </c:pt>
                <c:pt idx="39">
                  <c:v>28.976649999999893</c:v>
                </c:pt>
                <c:pt idx="40">
                  <c:v>27.858119999999928</c:v>
                </c:pt>
                <c:pt idx="41">
                  <c:v>26.452113999999995</c:v>
                </c:pt>
                <c:pt idx="42">
                  <c:v>25.528652000000022</c:v>
                </c:pt>
                <c:pt idx="43">
                  <c:v>24.267177000000004</c:v>
                </c:pt>
                <c:pt idx="44">
                  <c:v>22.917078999999887</c:v>
                </c:pt>
                <c:pt idx="45">
                  <c:v>22.161953000000096</c:v>
                </c:pt>
                <c:pt idx="46">
                  <c:v>22.168177999999955</c:v>
                </c:pt>
                <c:pt idx="47">
                  <c:v>20.832729000000029</c:v>
                </c:pt>
                <c:pt idx="48">
                  <c:v>19.81185499999998</c:v>
                </c:pt>
                <c:pt idx="49">
                  <c:v>18.966396000000088</c:v>
                </c:pt>
                <c:pt idx="50">
                  <c:v>18.679774999999893</c:v>
                </c:pt>
                <c:pt idx="51">
                  <c:v>17.522060000000067</c:v>
                </c:pt>
                <c:pt idx="52">
                  <c:v>16.195522000000039</c:v>
                </c:pt>
                <c:pt idx="53">
                  <c:v>15.666590999999983</c:v>
                </c:pt>
                <c:pt idx="54">
                  <c:v>15.837246000000107</c:v>
                </c:pt>
                <c:pt idx="55">
                  <c:v>14.432826999999918</c:v>
                </c:pt>
                <c:pt idx="56">
                  <c:v>14.234461999999951</c:v>
                </c:pt>
                <c:pt idx="57">
                  <c:v>13.69625400000001</c:v>
                </c:pt>
                <c:pt idx="58">
                  <c:v>12.781215000000032</c:v>
                </c:pt>
                <c:pt idx="59">
                  <c:v>12.566738000000043</c:v>
                </c:pt>
                <c:pt idx="60">
                  <c:v>11.419521000000088</c:v>
                </c:pt>
                <c:pt idx="61">
                  <c:v>10.850794999999891</c:v>
                </c:pt>
                <c:pt idx="62">
                  <c:v>10.716762000000074</c:v>
                </c:pt>
                <c:pt idx="63">
                  <c:v>9.7011370000000738</c:v>
                </c:pt>
                <c:pt idx="64">
                  <c:v>9.1766009999999483</c:v>
                </c:pt>
                <c:pt idx="65">
                  <c:v>8.308070999999984</c:v>
                </c:pt>
                <c:pt idx="66">
                  <c:v>7.7681539999999245</c:v>
                </c:pt>
                <c:pt idx="67">
                  <c:v>7.0524550000000659</c:v>
                </c:pt>
                <c:pt idx="68">
                  <c:v>6.8337050000000659</c:v>
                </c:pt>
                <c:pt idx="69">
                  <c:v>6.2786520000000223</c:v>
                </c:pt>
                <c:pt idx="70">
                  <c:v>6.0993300000000659</c:v>
                </c:pt>
                <c:pt idx="71">
                  <c:v>5.5891990000000646</c:v>
                </c:pt>
                <c:pt idx="72">
                  <c:v>4.9826309999999125</c:v>
                </c:pt>
                <c:pt idx="73">
                  <c:v>4.5431779999999549</c:v>
                </c:pt>
                <c:pt idx="74">
                  <c:v>4.2441059999999311</c:v>
                </c:pt>
                <c:pt idx="75">
                  <c:v>3.4316059999999311</c:v>
                </c:pt>
                <c:pt idx="76">
                  <c:v>3.2298240000000646</c:v>
                </c:pt>
                <c:pt idx="77">
                  <c:v>2.5761370000000738</c:v>
                </c:pt>
                <c:pt idx="78">
                  <c:v>2.4115859999999998</c:v>
                </c:pt>
                <c:pt idx="79">
                  <c:v>1.8974260000000527</c:v>
                </c:pt>
                <c:pt idx="80">
                  <c:v>1.2973290000000475</c:v>
                </c:pt>
                <c:pt idx="81">
                  <c:v>0.5253559999999311</c:v>
                </c:pt>
                <c:pt idx="82">
                  <c:v>0.44100499999996146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4-4409-8E3B-96CCCD984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</c:numCache>
            </c:numRef>
          </c:xVal>
          <c:yVal>
            <c:numRef>
              <c:f>Cu_3rdPhase!$I$2:$I$194</c:f>
              <c:numCache>
                <c:formatCode>General</c:formatCode>
                <c:ptCount val="193"/>
                <c:pt idx="0">
                  <c:v>8.5289213153158894</c:v>
                </c:pt>
                <c:pt idx="1">
                  <c:v>8.4660099854950452</c:v>
                </c:pt>
                <c:pt idx="2">
                  <c:v>8.3184567460856087</c:v>
                </c:pt>
                <c:pt idx="3">
                  <c:v>8.3066993960089448</c:v>
                </c:pt>
                <c:pt idx="4">
                  <c:v>8.286077271304034</c:v>
                </c:pt>
                <c:pt idx="5">
                  <c:v>8.2615689451690866</c:v>
                </c:pt>
                <c:pt idx="6">
                  <c:v>8.239453198958504</c:v>
                </c:pt>
                <c:pt idx="7">
                  <c:v>8.2197132107770301</c:v>
                </c:pt>
                <c:pt idx="8">
                  <c:v>8.2018365026572102</c:v>
                </c:pt>
                <c:pt idx="9">
                  <c:v>8.1829765632365561</c:v>
                </c:pt>
                <c:pt idx="10">
                  <c:v>8.1668646262606046</c:v>
                </c:pt>
                <c:pt idx="11">
                  <c:v>8.1470901840824546</c:v>
                </c:pt>
                <c:pt idx="12">
                  <c:v>8.1268404142232669</c:v>
                </c:pt>
                <c:pt idx="13">
                  <c:v>8.1175541695600888</c:v>
                </c:pt>
                <c:pt idx="14">
                  <c:v>8.1085641967934734</c:v>
                </c:pt>
                <c:pt idx="15">
                  <c:v>8.0982185130143769</c:v>
                </c:pt>
                <c:pt idx="16">
                  <c:v>8.0863440171287575</c:v>
                </c:pt>
                <c:pt idx="17">
                  <c:v>8.0764817937396103</c:v>
                </c:pt>
                <c:pt idx="18">
                  <c:v>8.0668507118513517</c:v>
                </c:pt>
                <c:pt idx="19">
                  <c:v>8.0564282383525931</c:v>
                </c:pt>
                <c:pt idx="20">
                  <c:v>8.0481938234912533</c:v>
                </c:pt>
                <c:pt idx="21">
                  <c:v>8.0406400356501848</c:v>
                </c:pt>
                <c:pt idx="22">
                  <c:v>8.0323997138842067</c:v>
                </c:pt>
                <c:pt idx="23">
                  <c:v>8.0242308283352148</c:v>
                </c:pt>
                <c:pt idx="24">
                  <c:v>8.0171647803917541</c:v>
                </c:pt>
                <c:pt idx="25">
                  <c:v>8.0078649809671223</c:v>
                </c:pt>
                <c:pt idx="26">
                  <c:v>8.0010426242705979</c:v>
                </c:pt>
                <c:pt idx="27">
                  <c:v>7.9955972922310572</c:v>
                </c:pt>
                <c:pt idx="28">
                  <c:v>7.9883858984630427</c:v>
                </c:pt>
                <c:pt idx="29">
                  <c:v>7.9828846802971523</c:v>
                </c:pt>
                <c:pt idx="30">
                  <c:v>7.9782928075498907</c:v>
                </c:pt>
                <c:pt idx="31">
                  <c:v>7.9728176851661887</c:v>
                </c:pt>
                <c:pt idx="32">
                  <c:v>7.9671467176969557</c:v>
                </c:pt>
                <c:pt idx="33">
                  <c:v>7.9645261057329844</c:v>
                </c:pt>
                <c:pt idx="34">
                  <c:v>7.9581184802223897</c:v>
                </c:pt>
                <c:pt idx="35">
                  <c:v>7.9552788165528172</c:v>
                </c:pt>
                <c:pt idx="36">
                  <c:v>7.9490388440142903</c:v>
                </c:pt>
                <c:pt idx="37">
                  <c:v>7.9447682123521108</c:v>
                </c:pt>
                <c:pt idx="38">
                  <c:v>7.9428894217161234</c:v>
                </c:pt>
                <c:pt idx="39">
                  <c:v>7.938677383725862</c:v>
                </c:pt>
                <c:pt idx="40">
                  <c:v>7.9367428698173468</c:v>
                </c:pt>
                <c:pt idx="41">
                  <c:v>7.931793879477909</c:v>
                </c:pt>
                <c:pt idx="42">
                  <c:v>7.9296821330511476</c:v>
                </c:pt>
                <c:pt idx="43">
                  <c:v>7.9276909442640857</c:v>
                </c:pt>
                <c:pt idx="44">
                  <c:v>7.9252553049844119</c:v>
                </c:pt>
                <c:pt idx="45">
                  <c:v>7.923493040992807</c:v>
                </c:pt>
                <c:pt idx="46">
                  <c:v>7.9216413972223734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</c:numCache>
            </c:numRef>
          </c:xVal>
          <c:yVal>
            <c:numRef>
              <c:f>Cu_3rdPhase!$B$2:$B$197</c:f>
              <c:numCache>
                <c:formatCode>General</c:formatCode>
                <c:ptCount val="196"/>
                <c:pt idx="0">
                  <c:v>5058.9858400000003</c:v>
                </c:pt>
                <c:pt idx="1">
                  <c:v>4750.5229490000002</c:v>
                </c:pt>
                <c:pt idx="2">
                  <c:v>4098.8295900000003</c:v>
                </c:pt>
                <c:pt idx="3">
                  <c:v>4050.9204100000002</c:v>
                </c:pt>
                <c:pt idx="4">
                  <c:v>3968.2373050000001</c:v>
                </c:pt>
                <c:pt idx="5">
                  <c:v>3872.1645509999998</c:v>
                </c:pt>
                <c:pt idx="6">
                  <c:v>3787.46875</c:v>
                </c:pt>
                <c:pt idx="7">
                  <c:v>3713.4372560000002</c:v>
                </c:pt>
                <c:pt idx="8">
                  <c:v>3647.6430660000001</c:v>
                </c:pt>
                <c:pt idx="9">
                  <c:v>3579.4934079999998</c:v>
                </c:pt>
                <c:pt idx="10">
                  <c:v>3522.2829590000001</c:v>
                </c:pt>
                <c:pt idx="11">
                  <c:v>3453.3159179999998</c:v>
                </c:pt>
                <c:pt idx="12">
                  <c:v>3384.0903320000002</c:v>
                </c:pt>
                <c:pt idx="13">
                  <c:v>3352.8103030000002</c:v>
                </c:pt>
                <c:pt idx="14">
                  <c:v>3322.803711</c:v>
                </c:pt>
                <c:pt idx="15">
                  <c:v>3288.6042480000001</c:v>
                </c:pt>
                <c:pt idx="16">
                  <c:v>3249.7846679999998</c:v>
                </c:pt>
                <c:pt idx="17">
                  <c:v>3217.8920899999998</c:v>
                </c:pt>
                <c:pt idx="18">
                  <c:v>3187.0490719999998</c:v>
                </c:pt>
                <c:pt idx="19">
                  <c:v>3154.0046390000002</c:v>
                </c:pt>
                <c:pt idx="20">
                  <c:v>3128.139893</c:v>
                </c:pt>
                <c:pt idx="21">
                  <c:v>3104.5996089999999</c:v>
                </c:pt>
                <c:pt idx="22">
                  <c:v>3079.1218260000001</c:v>
                </c:pt>
                <c:pt idx="23">
                  <c:v>3054.071289</c:v>
                </c:pt>
                <c:pt idx="24">
                  <c:v>3032.5671390000002</c:v>
                </c:pt>
                <c:pt idx="25">
                  <c:v>3004.4956050000001</c:v>
                </c:pt>
                <c:pt idx="26">
                  <c:v>2984.0676269999999</c:v>
                </c:pt>
                <c:pt idx="27">
                  <c:v>2967.8625489999999</c:v>
                </c:pt>
                <c:pt idx="28">
                  <c:v>2946.5371089999999</c:v>
                </c:pt>
                <c:pt idx="29">
                  <c:v>2930.3720699999999</c:v>
                </c:pt>
                <c:pt idx="30">
                  <c:v>2916.9470209999999</c:v>
                </c:pt>
                <c:pt idx="31">
                  <c:v>2901.0200199999999</c:v>
                </c:pt>
                <c:pt idx="32">
                  <c:v>2884.61499</c:v>
                </c:pt>
                <c:pt idx="33">
                  <c:v>2877.0654300000001</c:v>
                </c:pt>
                <c:pt idx="34">
                  <c:v>2858.6892090000001</c:v>
                </c:pt>
                <c:pt idx="35">
                  <c:v>2850.5830080000001</c:v>
                </c:pt>
                <c:pt idx="36">
                  <c:v>2832.8508299999999</c:v>
                </c:pt>
                <c:pt idx="37">
                  <c:v>2820.7785640000002</c:v>
                </c:pt>
                <c:pt idx="38">
                  <c:v>2815.4838869999999</c:v>
                </c:pt>
                <c:pt idx="39">
                  <c:v>2803.6499020000001</c:v>
                </c:pt>
                <c:pt idx="40">
                  <c:v>2798.2314449999999</c:v>
                </c:pt>
                <c:pt idx="41">
                  <c:v>2784.4172359999998</c:v>
                </c:pt>
                <c:pt idx="42">
                  <c:v>2778.5434570000002</c:v>
                </c:pt>
                <c:pt idx="43">
                  <c:v>2773.016357</c:v>
                </c:pt>
                <c:pt idx="44">
                  <c:v>2766.2705080000001</c:v>
                </c:pt>
                <c:pt idx="45">
                  <c:v>2761.3999020000001</c:v>
                </c:pt>
                <c:pt idx="46">
                  <c:v>2756.2915039999998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70326811938481"/>
                  <c:y val="5.60691892680081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</c:numCache>
            </c:numRef>
          </c:xVal>
          <c:yVal>
            <c:numRef>
              <c:f>Cu_3rdPhase!$H$2:$H$37</c:f>
              <c:numCache>
                <c:formatCode>General</c:formatCode>
                <c:ptCount val="36"/>
                <c:pt idx="0">
                  <c:v>7.7011937764950122</c:v>
                </c:pt>
                <c:pt idx="1">
                  <c:v>7.5509361522123664</c:v>
                </c:pt>
                <c:pt idx="2">
                  <c:v>7.1315622821634772</c:v>
                </c:pt>
                <c:pt idx="3">
                  <c:v>7.0925075541850386</c:v>
                </c:pt>
                <c:pt idx="4">
                  <c:v>7.0212958213101428</c:v>
                </c:pt>
                <c:pt idx="5">
                  <c:v>6.9316324870254391</c:v>
                </c:pt>
                <c:pt idx="6">
                  <c:v>6.8453145559267119</c:v>
                </c:pt>
                <c:pt idx="7">
                  <c:v>6.7632348774765667</c:v>
                </c:pt>
                <c:pt idx="8">
                  <c:v>6.6841654606055929</c:v>
                </c:pt>
                <c:pt idx="9">
                  <c:v>6.5950882087996145</c:v>
                </c:pt>
                <c:pt idx="10">
                  <c:v>6.5136498432871255</c:v>
                </c:pt>
                <c:pt idx="11">
                  <c:v>6.4057505002554809</c:v>
                </c:pt>
                <c:pt idx="12">
                  <c:v>6.2843026767219889</c:v>
                </c:pt>
                <c:pt idx="13">
                  <c:v>6.224182721082113</c:v>
                </c:pt>
                <c:pt idx="14">
                  <c:v>6.1629014786274627</c:v>
                </c:pt>
                <c:pt idx="15">
                  <c:v>6.0881470757198581</c:v>
                </c:pt>
                <c:pt idx="16">
                  <c:v>5.9959162933650818</c:v>
                </c:pt>
                <c:pt idx="17">
                  <c:v>5.9132113144518827</c:v>
                </c:pt>
                <c:pt idx="18">
                  <c:v>5.8261448520666743</c:v>
                </c:pt>
                <c:pt idx="19">
                  <c:v>5.7236002619681869</c:v>
                </c:pt>
                <c:pt idx="20">
                  <c:v>5.6352890962589468</c:v>
                </c:pt>
                <c:pt idx="21">
                  <c:v>5.5475169284079664</c:v>
                </c:pt>
                <c:pt idx="22">
                  <c:v>5.4429449567844372</c:v>
                </c:pt>
                <c:pt idx="23">
                  <c:v>5.3282221720303511</c:v>
                </c:pt>
                <c:pt idx="24">
                  <c:v>5.2180132943050914</c:v>
                </c:pt>
                <c:pt idx="25">
                  <c:v>5.0530279265187792</c:v>
                </c:pt>
                <c:pt idx="26">
                  <c:v>4.9131520194975247</c:v>
                </c:pt>
                <c:pt idx="27">
                  <c:v>4.7863456612814677</c:v>
                </c:pt>
                <c:pt idx="28">
                  <c:v>4.5904332183456775</c:v>
                </c:pt>
                <c:pt idx="29">
                  <c:v>4.4112464231460704</c:v>
                </c:pt>
                <c:pt idx="30">
                  <c:v>4.2333383980847632</c:v>
                </c:pt>
                <c:pt idx="31">
                  <c:v>3.9706695780769521</c:v>
                </c:pt>
                <c:pt idx="32">
                  <c:v>3.6004577194008842</c:v>
                </c:pt>
                <c:pt idx="33">
                  <c:v>3.3695494954701668</c:v>
                </c:pt>
                <c:pt idx="34">
                  <c:v>2.3692347279119677</c:v>
                </c:pt>
                <c:pt idx="35">
                  <c:v>0.94895461128276071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6-4977-BD42-2EBC65D6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590063884474325"/>
                  <c:y val="-0.32329505686789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</c:numCache>
            </c:numRef>
          </c:xVal>
          <c:yVal>
            <c:numRef>
              <c:f>Cu_3rdPhase!$F$2:$F$37</c:f>
              <c:numCache>
                <c:formatCode>General</c:formatCode>
                <c:ptCount val="36"/>
                <c:pt idx="0">
                  <c:v>2210.9858400000003</c:v>
                </c:pt>
                <c:pt idx="1">
                  <c:v>1902.5229490000002</c:v>
                </c:pt>
                <c:pt idx="2">
                  <c:v>1250.8295900000003</c:v>
                </c:pt>
                <c:pt idx="3">
                  <c:v>1202.9204100000002</c:v>
                </c:pt>
                <c:pt idx="4">
                  <c:v>1120.2373050000001</c:v>
                </c:pt>
                <c:pt idx="5">
                  <c:v>1024.1645509999998</c:v>
                </c:pt>
                <c:pt idx="6">
                  <c:v>939.46875</c:v>
                </c:pt>
                <c:pt idx="7">
                  <c:v>865.43725600000016</c:v>
                </c:pt>
                <c:pt idx="8">
                  <c:v>799.64306600000009</c:v>
                </c:pt>
                <c:pt idx="9">
                  <c:v>731.49340799999982</c:v>
                </c:pt>
                <c:pt idx="10">
                  <c:v>674.28295900000012</c:v>
                </c:pt>
                <c:pt idx="11">
                  <c:v>605.31591799999978</c:v>
                </c:pt>
                <c:pt idx="12">
                  <c:v>536.09033200000022</c:v>
                </c:pt>
                <c:pt idx="13">
                  <c:v>504.8103030000002</c:v>
                </c:pt>
                <c:pt idx="14">
                  <c:v>474.80371100000002</c:v>
                </c:pt>
                <c:pt idx="15">
                  <c:v>440.6042480000001</c:v>
                </c:pt>
                <c:pt idx="16">
                  <c:v>401.78466799999978</c:v>
                </c:pt>
                <c:pt idx="17">
                  <c:v>369.89208999999983</c:v>
                </c:pt>
                <c:pt idx="18">
                  <c:v>339.0490719999998</c:v>
                </c:pt>
                <c:pt idx="19">
                  <c:v>306.00463900000022</c:v>
                </c:pt>
                <c:pt idx="20">
                  <c:v>280.13989300000003</c:v>
                </c:pt>
                <c:pt idx="21">
                  <c:v>256.59960899999987</c:v>
                </c:pt>
                <c:pt idx="22">
                  <c:v>231.12182600000006</c:v>
                </c:pt>
                <c:pt idx="23">
                  <c:v>206.07128899999998</c:v>
                </c:pt>
                <c:pt idx="24">
                  <c:v>184.56713900000022</c:v>
                </c:pt>
                <c:pt idx="25">
                  <c:v>156.49560500000007</c:v>
                </c:pt>
                <c:pt idx="26">
                  <c:v>136.0676269999999</c:v>
                </c:pt>
                <c:pt idx="27">
                  <c:v>119.86254899999994</c:v>
                </c:pt>
                <c:pt idx="28">
                  <c:v>98.537108999999873</c:v>
                </c:pt>
                <c:pt idx="29">
                  <c:v>82.372069999999894</c:v>
                </c:pt>
                <c:pt idx="30">
                  <c:v>68.94702099999995</c:v>
                </c:pt>
                <c:pt idx="31">
                  <c:v>53.020019999999931</c:v>
                </c:pt>
                <c:pt idx="32">
                  <c:v>36.614990000000034</c:v>
                </c:pt>
                <c:pt idx="33">
                  <c:v>29.065430000000106</c:v>
                </c:pt>
                <c:pt idx="34">
                  <c:v>10.689209000000119</c:v>
                </c:pt>
                <c:pt idx="35">
                  <c:v>2.5830080000000635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C-4506-8F12-21EA4355F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</c:numCache>
            </c:numRef>
          </c:xVal>
          <c:yVal>
            <c:numRef>
              <c:f>PANI_3rdPhase!$I$2:$I$194</c:f>
              <c:numCache>
                <c:formatCode>General</c:formatCode>
                <c:ptCount val="193"/>
                <c:pt idx="0">
                  <c:v>8.0651853345576416</c:v>
                </c:pt>
                <c:pt idx="1">
                  <c:v>7.9583866951659399</c:v>
                </c:pt>
                <c:pt idx="2">
                  <c:v>7.8952884206336469</c:v>
                </c:pt>
                <c:pt idx="3">
                  <c:v>7.8526207504261745</c:v>
                </c:pt>
                <c:pt idx="4">
                  <c:v>7.8151675537411656</c:v>
                </c:pt>
                <c:pt idx="5">
                  <c:v>7.7900051714115541</c:v>
                </c:pt>
                <c:pt idx="6">
                  <c:v>7.7693800535349098</c:v>
                </c:pt>
                <c:pt idx="7">
                  <c:v>7.756024347308478</c:v>
                </c:pt>
                <c:pt idx="8">
                  <c:v>7.7424401682236148</c:v>
                </c:pt>
                <c:pt idx="9">
                  <c:v>7.732502789865376</c:v>
                </c:pt>
                <c:pt idx="10">
                  <c:v>7.7225459810358359</c:v>
                </c:pt>
                <c:pt idx="11">
                  <c:v>7.7137077404862024</c:v>
                </c:pt>
                <c:pt idx="12">
                  <c:v>7.7065306519212982</c:v>
                </c:pt>
                <c:pt idx="13">
                  <c:v>7.7007053727975308</c:v>
                </c:pt>
                <c:pt idx="14">
                  <c:v>7.6954665115168002</c:v>
                </c:pt>
                <c:pt idx="15">
                  <c:v>7.6896621342848475</c:v>
                </c:pt>
                <c:pt idx="16">
                  <c:v>7.6849992132241631</c:v>
                </c:pt>
                <c:pt idx="17">
                  <c:v>7.6809223306471743</c:v>
                </c:pt>
                <c:pt idx="18">
                  <c:v>7.6761308625643618</c:v>
                </c:pt>
                <c:pt idx="19">
                  <c:v>7.6728433252874702</c:v>
                </c:pt>
                <c:pt idx="20">
                  <c:v>7.6698628762357162</c:v>
                </c:pt>
                <c:pt idx="21">
                  <c:v>7.6668210627718718</c:v>
                </c:pt>
                <c:pt idx="22">
                  <c:v>7.6635203828242764</c:v>
                </c:pt>
                <c:pt idx="23">
                  <c:v>7.6611089101724268</c:v>
                </c:pt>
                <c:pt idx="24">
                  <c:v>7.6584608044267259</c:v>
                </c:pt>
                <c:pt idx="25">
                  <c:v>7.6562884296701919</c:v>
                </c:pt>
                <c:pt idx="26">
                  <c:v>7.6539165076833369</c:v>
                </c:pt>
                <c:pt idx="27">
                  <c:v>7.6517446696814293</c:v>
                </c:pt>
                <c:pt idx="28">
                  <c:v>7.6503790047648019</c:v>
                </c:pt>
                <c:pt idx="29">
                  <c:v>7.6480019748936661</c:v>
                </c:pt>
                <c:pt idx="30">
                  <c:v>7.6460934506422547</c:v>
                </c:pt>
                <c:pt idx="31">
                  <c:v>7.6446458467960934</c:v>
                </c:pt>
                <c:pt idx="32">
                  <c:v>7.6428911560807755</c:v>
                </c:pt>
                <c:pt idx="33">
                  <c:v>7.6414085448082627</c:v>
                </c:pt>
                <c:pt idx="34">
                  <c:v>7.6402031021932242</c:v>
                </c:pt>
                <c:pt idx="35">
                  <c:v>7.6389690598478817</c:v>
                </c:pt>
                <c:pt idx="36">
                  <c:v>7.6374826188264491</c:v>
                </c:pt>
                <c:pt idx="37">
                  <c:v>7.6363245101731261</c:v>
                </c:pt>
                <c:pt idx="38">
                  <c:v>7.6352207335269595</c:v>
                </c:pt>
                <c:pt idx="39">
                  <c:v>7.634270767752068</c:v>
                </c:pt>
                <c:pt idx="40">
                  <c:v>7.632995569555769</c:v>
                </c:pt>
                <c:pt idx="41">
                  <c:v>7.6318926077927935</c:v>
                </c:pt>
                <c:pt idx="42">
                  <c:v>7.6308728979236315</c:v>
                </c:pt>
                <c:pt idx="43">
                  <c:v>7.6305869980532481</c:v>
                </c:pt>
                <c:pt idx="44">
                  <c:v>7.6294399719981065</c:v>
                </c:pt>
                <c:pt idx="45">
                  <c:v>7.628450414199623</c:v>
                </c:pt>
                <c:pt idx="46">
                  <c:v>7.6279078015645174</c:v>
                </c:pt>
                <c:pt idx="47">
                  <c:v>7.6270463575325467</c:v>
                </c:pt>
                <c:pt idx="48">
                  <c:v>7.626329844072643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</c:numCache>
            </c:numRef>
          </c:xVal>
          <c:yVal>
            <c:numRef>
              <c:f>PANI_3rdPhase!$B$2:$B$197</c:f>
              <c:numCache>
                <c:formatCode>General</c:formatCode>
                <c:ptCount val="196"/>
                <c:pt idx="0">
                  <c:v>3181.7458499999998</c:v>
                </c:pt>
                <c:pt idx="1">
                  <c:v>2859.4560550000001</c:v>
                </c:pt>
                <c:pt idx="2">
                  <c:v>2684.60376</c:v>
                </c:pt>
                <c:pt idx="3">
                  <c:v>2572.4672850000002</c:v>
                </c:pt>
                <c:pt idx="4">
                  <c:v>2477.9020999999998</c:v>
                </c:pt>
                <c:pt idx="5">
                  <c:v>2416.330078</c:v>
                </c:pt>
                <c:pt idx="6">
                  <c:v>2367.0034179999998</c:v>
                </c:pt>
                <c:pt idx="7">
                  <c:v>2335.600586</c:v>
                </c:pt>
                <c:pt idx="8">
                  <c:v>2304.0878910000001</c:v>
                </c:pt>
                <c:pt idx="9">
                  <c:v>2281.3046880000002</c:v>
                </c:pt>
                <c:pt idx="10">
                  <c:v>2258.7028810000002</c:v>
                </c:pt>
                <c:pt idx="11">
                  <c:v>2238.8278810000002</c:v>
                </c:pt>
                <c:pt idx="12">
                  <c:v>2222.8171390000002</c:v>
                </c:pt>
                <c:pt idx="13">
                  <c:v>2209.90625</c:v>
                </c:pt>
                <c:pt idx="14">
                  <c:v>2198.3591310000002</c:v>
                </c:pt>
                <c:pt idx="15">
                  <c:v>2185.6359859999998</c:v>
                </c:pt>
                <c:pt idx="16">
                  <c:v>2175.4682619999999</c:v>
                </c:pt>
                <c:pt idx="17">
                  <c:v>2166.6171880000002</c:v>
                </c:pt>
                <c:pt idx="18">
                  <c:v>2156.2607419999999</c:v>
                </c:pt>
                <c:pt idx="19">
                  <c:v>2149.1835940000001</c:v>
                </c:pt>
                <c:pt idx="20">
                  <c:v>2142.7875979999999</c:v>
                </c:pt>
                <c:pt idx="21">
                  <c:v>2136.2795409999999</c:v>
                </c:pt>
                <c:pt idx="22">
                  <c:v>2129.23999</c:v>
                </c:pt>
                <c:pt idx="23">
                  <c:v>2124.1115719999998</c:v>
                </c:pt>
                <c:pt idx="24">
                  <c:v>2118.4941410000001</c:v>
                </c:pt>
                <c:pt idx="25">
                  <c:v>2113.8969729999999</c:v>
                </c:pt>
                <c:pt idx="26">
                  <c:v>2108.8889159999999</c:v>
                </c:pt>
                <c:pt idx="27">
                  <c:v>2104.313721</c:v>
                </c:pt>
                <c:pt idx="28">
                  <c:v>2101.4418949999999</c:v>
                </c:pt>
                <c:pt idx="29">
                  <c:v>2096.4526369999999</c:v>
                </c:pt>
                <c:pt idx="30">
                  <c:v>2092.4553219999998</c:v>
                </c:pt>
                <c:pt idx="31">
                  <c:v>2089.4284670000002</c:v>
                </c:pt>
                <c:pt idx="32">
                  <c:v>2085.7653810000002</c:v>
                </c:pt>
                <c:pt idx="33">
                  <c:v>2082.6752929999998</c:v>
                </c:pt>
                <c:pt idx="34">
                  <c:v>2080.16626</c:v>
                </c:pt>
                <c:pt idx="35">
                  <c:v>2077.6008299999999</c:v>
                </c:pt>
                <c:pt idx="36">
                  <c:v>2074.514893</c:v>
                </c:pt>
                <c:pt idx="37">
                  <c:v>2072.1137699999999</c:v>
                </c:pt>
                <c:pt idx="38">
                  <c:v>2069.8278810000002</c:v>
                </c:pt>
                <c:pt idx="39">
                  <c:v>2067.8625489999999</c:v>
                </c:pt>
                <c:pt idx="40">
                  <c:v>2065.2272950000001</c:v>
                </c:pt>
                <c:pt idx="41">
                  <c:v>2062.9506839999999</c:v>
                </c:pt>
                <c:pt idx="42">
                  <c:v>2060.8481449999999</c:v>
                </c:pt>
                <c:pt idx="43">
                  <c:v>2060.2590329999998</c:v>
                </c:pt>
                <c:pt idx="44">
                  <c:v>2057.8972170000002</c:v>
                </c:pt>
                <c:pt idx="45">
                  <c:v>2055.8618160000001</c:v>
                </c:pt>
                <c:pt idx="46">
                  <c:v>2054.7465820000002</c:v>
                </c:pt>
                <c:pt idx="47">
                  <c:v>2052.9772950000001</c:v>
                </c:pt>
                <c:pt idx="48">
                  <c:v>2051.506836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340265450943767"/>
                  <c:y val="-1.8758019830854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</c:numCache>
            </c:numRef>
          </c:xVal>
          <c:yVal>
            <c:numRef>
              <c:f>PANI_3rdPhase!$H$2:$H$26</c:f>
              <c:numCache>
                <c:formatCode>General</c:formatCode>
                <c:ptCount val="25"/>
                <c:pt idx="0">
                  <c:v>6.9718540940881786</c:v>
                </c:pt>
                <c:pt idx="1">
                  <c:v>6.6119173107817382</c:v>
                </c:pt>
                <c:pt idx="2">
                  <c:v>6.3439782500803314</c:v>
                </c:pt>
                <c:pt idx="3">
                  <c:v>6.1245065371821106</c:v>
                </c:pt>
                <c:pt idx="4">
                  <c:v>5.8926216345450015</c:v>
                </c:pt>
                <c:pt idx="5">
                  <c:v>5.7063856767169661</c:v>
                </c:pt>
                <c:pt idx="6">
                  <c:v>5.5272653117281925</c:v>
                </c:pt>
                <c:pt idx="7">
                  <c:v>5.3938660906256866</c:v>
                </c:pt>
                <c:pt idx="8">
                  <c:v>5.2393090774493043</c:v>
                </c:pt>
                <c:pt idx="9">
                  <c:v>5.1105203748824328</c:v>
                </c:pt>
                <c:pt idx="10">
                  <c:v>4.9639264295194145</c:v>
                </c:pt>
                <c:pt idx="11">
                  <c:v>4.8144564145664166</c:v>
                </c:pt>
                <c:pt idx="12">
                  <c:v>4.675340061866871</c:v>
                </c:pt>
                <c:pt idx="13">
                  <c:v>4.547097648582124</c:v>
                </c:pt>
                <c:pt idx="14">
                  <c:v>4.4165612771552833</c:v>
                </c:pt>
                <c:pt idx="15">
                  <c:v>4.2497499688360847</c:v>
                </c:pt>
                <c:pt idx="16">
                  <c:v>4.0930130428101137</c:v>
                </c:pt>
                <c:pt idx="17">
                  <c:v>3.9331793826579258</c:v>
                </c:pt>
                <c:pt idx="18">
                  <c:v>3.7065386584685434</c:v>
                </c:pt>
                <c:pt idx="19">
                  <c:v>3.5155818784516271</c:v>
                </c:pt>
                <c:pt idx="20">
                  <c:v>3.304668052330292</c:v>
                </c:pt>
                <c:pt idx="21">
                  <c:v>3.0316514368151877</c:v>
                </c:pt>
                <c:pt idx="22">
                  <c:v>2.6168036867472693</c:v>
                </c:pt>
                <c:pt idx="23">
                  <c:v>2.1475057153937889</c:v>
                </c:pt>
                <c:pt idx="24">
                  <c:v>1.0804622351194781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A-42E7-94F0-D1564AF43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</c:numCache>
            </c:numRef>
          </c:xVal>
          <c:yVal>
            <c:numRef>
              <c:f>PANI_3rdPhase!$F$2:$F$26</c:f>
              <c:numCache>
                <c:formatCode>General</c:formatCode>
                <c:ptCount val="25"/>
                <c:pt idx="0">
                  <c:v>1066.1977499999998</c:v>
                </c:pt>
                <c:pt idx="1">
                  <c:v>743.90795500000013</c:v>
                </c:pt>
                <c:pt idx="2">
                  <c:v>569.05565999999999</c:v>
                </c:pt>
                <c:pt idx="3">
                  <c:v>456.9191850000002</c:v>
                </c:pt>
                <c:pt idx="4">
                  <c:v>362.35399999999981</c:v>
                </c:pt>
                <c:pt idx="5">
                  <c:v>300.78197799999998</c:v>
                </c:pt>
                <c:pt idx="6">
                  <c:v>251.45531799999981</c:v>
                </c:pt>
                <c:pt idx="7">
                  <c:v>220.05248600000004</c:v>
                </c:pt>
                <c:pt idx="8">
                  <c:v>188.53979100000015</c:v>
                </c:pt>
                <c:pt idx="9">
                  <c:v>165.75658800000019</c:v>
                </c:pt>
                <c:pt idx="10">
                  <c:v>143.15478100000018</c:v>
                </c:pt>
                <c:pt idx="11">
                  <c:v>123.27978100000018</c:v>
                </c:pt>
                <c:pt idx="12">
                  <c:v>107.26903900000025</c:v>
                </c:pt>
                <c:pt idx="13">
                  <c:v>94.358150000000023</c:v>
                </c:pt>
                <c:pt idx="14">
                  <c:v>82.811031000000185</c:v>
                </c:pt>
                <c:pt idx="15">
                  <c:v>70.087885999999799</c:v>
                </c:pt>
                <c:pt idx="16">
                  <c:v>59.920161999999891</c:v>
                </c:pt>
                <c:pt idx="17">
                  <c:v>51.069088000000193</c:v>
                </c:pt>
                <c:pt idx="18">
                  <c:v>40.71264199999996</c:v>
                </c:pt>
                <c:pt idx="19">
                  <c:v>33.635494000000108</c:v>
                </c:pt>
                <c:pt idx="20">
                  <c:v>27.239497999999912</c:v>
                </c:pt>
                <c:pt idx="21">
                  <c:v>20.731440999999904</c:v>
                </c:pt>
                <c:pt idx="22">
                  <c:v>13.691890000000058</c:v>
                </c:pt>
                <c:pt idx="23">
                  <c:v>8.5634719999998197</c:v>
                </c:pt>
                <c:pt idx="24">
                  <c:v>2.9460410000001502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D-49B1-B5BC-976EC21E5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15</xdr:col>
      <xdr:colOff>552450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77010</xdr:rowOff>
    </xdr:from>
    <xdr:to>
      <xdr:col>15</xdr:col>
      <xdr:colOff>561975</xdr:colOff>
      <xdr:row>34</xdr:row>
      <xdr:rowOff>152631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552450</xdr:colOff>
      <xdr:row>6</xdr:row>
      <xdr:rowOff>0</xdr:rowOff>
    </xdr:from>
    <xdr:to>
      <xdr:col>21</xdr:col>
      <xdr:colOff>198905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552682</xdr:colOff>
      <xdr:row>20</xdr:row>
      <xdr:rowOff>76432</xdr:rowOff>
    </xdr:from>
    <xdr:to>
      <xdr:col>21</xdr:col>
      <xdr:colOff>199137</xdr:colOff>
      <xdr:row>34</xdr:row>
      <xdr:rowOff>152632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15</xdr:col>
      <xdr:colOff>710790</xdr:colOff>
      <xdr:row>53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53</xdr:row>
      <xdr:rowOff>79156</xdr:rowOff>
    </xdr:from>
    <xdr:to>
      <xdr:col>15</xdr:col>
      <xdr:colOff>713746</xdr:colOff>
      <xdr:row>67</xdr:row>
      <xdr:rowOff>155356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866</xdr:colOff>
      <xdr:row>20</xdr:row>
      <xdr:rowOff>77066</xdr:rowOff>
    </xdr:from>
    <xdr:to>
      <xdr:col>16</xdr:col>
      <xdr:colOff>250758</xdr:colOff>
      <xdr:row>34</xdr:row>
      <xdr:rowOff>153266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250069</xdr:colOff>
      <xdr:row>6</xdr:row>
      <xdr:rowOff>0</xdr:rowOff>
    </xdr:from>
    <xdr:to>
      <xdr:col>22</xdr:col>
      <xdr:colOff>253431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249568</xdr:colOff>
      <xdr:row>20</xdr:row>
      <xdr:rowOff>75698</xdr:rowOff>
    </xdr:from>
    <xdr:to>
      <xdr:col>22</xdr:col>
      <xdr:colOff>252930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16</xdr:col>
      <xdr:colOff>251349</xdr:colOff>
      <xdr:row>52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52</xdr:row>
      <xdr:rowOff>79156</xdr:rowOff>
    </xdr:from>
    <xdr:to>
      <xdr:col>16</xdr:col>
      <xdr:colOff>254305</xdr:colOff>
      <xdr:row>66</xdr:row>
      <xdr:rowOff>155356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15</xdr:col>
      <xdr:colOff>552450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760639</xdr:colOff>
      <xdr:row>20</xdr:row>
      <xdr:rowOff>69396</xdr:rowOff>
    </xdr:from>
    <xdr:to>
      <xdr:col>15</xdr:col>
      <xdr:colOff>551089</xdr:colOff>
      <xdr:row>34</xdr:row>
      <xdr:rowOff>145596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549729</xdr:colOff>
      <xdr:row>5</xdr:row>
      <xdr:rowOff>185057</xdr:rowOff>
    </xdr:from>
    <xdr:to>
      <xdr:col>21</xdr:col>
      <xdr:colOff>194823</xdr:colOff>
      <xdr:row>20</xdr:row>
      <xdr:rowOff>70757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548368</xdr:colOff>
      <xdr:row>20</xdr:row>
      <xdr:rowOff>69396</xdr:rowOff>
    </xdr:from>
    <xdr:to>
      <xdr:col>21</xdr:col>
      <xdr:colOff>193462</xdr:colOff>
      <xdr:row>34</xdr:row>
      <xdr:rowOff>145596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15</xdr:col>
      <xdr:colOff>719594</xdr:colOff>
      <xdr:row>51</xdr:row>
      <xdr:rowOff>76200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51</xdr:row>
      <xdr:rowOff>79156</xdr:rowOff>
    </xdr:from>
    <xdr:to>
      <xdr:col>15</xdr:col>
      <xdr:colOff>722550</xdr:colOff>
      <xdr:row>65</xdr:row>
      <xdr:rowOff>155356</xdr:rowOff>
    </xdr:to>
    <xdr:graphicFrame macro="">
      <xdr:nvGraphicFramePr>
        <xdr:cNvPr id="11" name="Graphique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761499</xdr:colOff>
      <xdr:row>20</xdr:row>
      <xdr:rowOff>75698</xdr:rowOff>
    </xdr:from>
    <xdr:to>
      <xdr:col>16</xdr:col>
      <xdr:colOff>249391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250069</xdr:colOff>
      <xdr:row>6</xdr:row>
      <xdr:rowOff>0</xdr:rowOff>
    </xdr:from>
    <xdr:to>
      <xdr:col>22</xdr:col>
      <xdr:colOff>253431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249568</xdr:colOff>
      <xdr:row>20</xdr:row>
      <xdr:rowOff>75698</xdr:rowOff>
    </xdr:from>
    <xdr:to>
      <xdr:col>22</xdr:col>
      <xdr:colOff>252930</xdr:colOff>
      <xdr:row>34</xdr:row>
      <xdr:rowOff>151898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16</xdr:col>
      <xdr:colOff>243344</xdr:colOff>
      <xdr:row>52</xdr:row>
      <xdr:rowOff>76200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52</xdr:row>
      <xdr:rowOff>79156</xdr:rowOff>
    </xdr:from>
    <xdr:to>
      <xdr:col>16</xdr:col>
      <xdr:colOff>246300</xdr:colOff>
      <xdr:row>66</xdr:row>
      <xdr:rowOff>155356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4329</xdr:colOff>
      <xdr:row>6</xdr:row>
      <xdr:rowOff>4330</xdr:rowOff>
    </xdr:from>
    <xdr:to>
      <xdr:col>15</xdr:col>
      <xdr:colOff>556779</xdr:colOff>
      <xdr:row>20</xdr:row>
      <xdr:rowOff>80530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757670</xdr:colOff>
      <xdr:row>20</xdr:row>
      <xdr:rowOff>71871</xdr:rowOff>
    </xdr:from>
    <xdr:to>
      <xdr:col>15</xdr:col>
      <xdr:colOff>548120</xdr:colOff>
      <xdr:row>34</xdr:row>
      <xdr:rowOff>148071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-1</xdr:colOff>
      <xdr:row>37</xdr:row>
      <xdr:rowOff>0</xdr:rowOff>
    </xdr:from>
    <xdr:to>
      <xdr:col>15</xdr:col>
      <xdr:colOff>719593</xdr:colOff>
      <xdr:row>51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2955</xdr:colOff>
      <xdr:row>51</xdr:row>
      <xdr:rowOff>79156</xdr:rowOff>
    </xdr:from>
    <xdr:to>
      <xdr:col>15</xdr:col>
      <xdr:colOff>722549</xdr:colOff>
      <xdr:row>65</xdr:row>
      <xdr:rowOff>155356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2956</xdr:colOff>
      <xdr:row>20</xdr:row>
      <xdr:rowOff>79156</xdr:rowOff>
    </xdr:from>
    <xdr:to>
      <xdr:col>16</xdr:col>
      <xdr:colOff>252848</xdr:colOff>
      <xdr:row>34</xdr:row>
      <xdr:rowOff>155356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-1</xdr:colOff>
      <xdr:row>37</xdr:row>
      <xdr:rowOff>0</xdr:rowOff>
    </xdr:from>
    <xdr:to>
      <xdr:col>16</xdr:col>
      <xdr:colOff>249891</xdr:colOff>
      <xdr:row>51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2955</xdr:colOff>
      <xdr:row>51</xdr:row>
      <xdr:rowOff>79156</xdr:rowOff>
    </xdr:from>
    <xdr:to>
      <xdr:col>16</xdr:col>
      <xdr:colOff>252847</xdr:colOff>
      <xdr:row>65</xdr:row>
      <xdr:rowOff>155356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topLeftCell="A31" zoomScale="85" zoomScaleNormal="85" workbookViewId="0">
      <selection activeCell="Q58" sqref="Q58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6.7109375" customWidth="1"/>
    <col min="18" max="18" width="9.42578125" bestFit="1" customWidth="1"/>
    <col min="26" max="26" width="23" bestFit="1" customWidth="1"/>
  </cols>
  <sheetData>
    <row r="1" spans="1:18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606</v>
      </c>
      <c r="G1" t="s">
        <v>602</v>
      </c>
      <c r="H1" t="s">
        <v>608</v>
      </c>
      <c r="I1" t="s">
        <v>603</v>
      </c>
    </row>
    <row r="2" spans="1:18" x14ac:dyDescent="0.25">
      <c r="A2">
        <v>1000</v>
      </c>
      <c r="B2">
        <v>2105.165039</v>
      </c>
      <c r="C2">
        <v>-18.278600999999998</v>
      </c>
      <c r="D2" t="s">
        <v>7</v>
      </c>
      <c r="E2">
        <f t="shared" ref="E2:E65" si="0">B2-$P$3</f>
        <v>627.16503899999998</v>
      </c>
      <c r="F2" t="e">
        <f>E2-$R$3</f>
        <v>#VALUE!</v>
      </c>
      <c r="G2">
        <v>0</v>
      </c>
      <c r="H2" t="e">
        <f>LN(F2)</f>
        <v>#VALUE!</v>
      </c>
      <c r="I2">
        <f>LN(B2)</f>
        <v>7.652149146368517</v>
      </c>
      <c r="L2" s="1" t="s">
        <v>0</v>
      </c>
      <c r="M2" s="1" t="s">
        <v>1</v>
      </c>
      <c r="P2" t="s">
        <v>604</v>
      </c>
      <c r="R2" t="s">
        <v>605</v>
      </c>
    </row>
    <row r="3" spans="1:18" x14ac:dyDescent="0.25">
      <c r="A3">
        <v>1000</v>
      </c>
      <c r="B3">
        <v>2099.2402339999999</v>
      </c>
      <c r="C3">
        <v>-18.210515999999998</v>
      </c>
      <c r="D3" t="s">
        <v>8</v>
      </c>
      <c r="E3">
        <f t="shared" si="0"/>
        <v>621.24023399999987</v>
      </c>
      <c r="F3" t="e">
        <f t="shared" ref="F3:F66" si="1">E3-$R$3</f>
        <v>#VALUE!</v>
      </c>
      <c r="G3">
        <v>10</v>
      </c>
      <c r="H3" t="e">
        <f t="shared" ref="H3:H66" si="2">LN(F3)</f>
        <v>#VALUE!</v>
      </c>
      <c r="I3">
        <f t="shared" ref="I3:I66" si="3">LN(B3)</f>
        <v>7.6493307649151827</v>
      </c>
      <c r="K3" t="s">
        <v>2</v>
      </c>
      <c r="L3">
        <f>1/(0.00008)</f>
        <v>12499.999999999998</v>
      </c>
      <c r="M3">
        <f>1/(0.00009)</f>
        <v>11111.111111111111</v>
      </c>
      <c r="N3" s="3" t="s">
        <v>3</v>
      </c>
      <c r="P3">
        <v>1478</v>
      </c>
      <c r="R3" s="4" t="s">
        <v>607</v>
      </c>
    </row>
    <row r="4" spans="1:18" x14ac:dyDescent="0.25">
      <c r="A4">
        <v>1000</v>
      </c>
      <c r="B4">
        <v>2102.4377439999998</v>
      </c>
      <c r="C4">
        <v>-18.134974</v>
      </c>
      <c r="D4" t="s">
        <v>9</v>
      </c>
      <c r="E4">
        <f t="shared" si="0"/>
        <v>624.43774399999984</v>
      </c>
      <c r="F4" t="e">
        <f t="shared" si="1"/>
        <v>#VALUE!</v>
      </c>
      <c r="G4">
        <v>20</v>
      </c>
      <c r="H4" t="e">
        <f t="shared" si="2"/>
        <v>#VALUE!</v>
      </c>
      <c r="I4">
        <f t="shared" si="3"/>
        <v>7.6508527809449713</v>
      </c>
      <c r="L4">
        <f>L3/60</f>
        <v>208.33333333333331</v>
      </c>
      <c r="M4">
        <f>M3/60</f>
        <v>185.18518518518519</v>
      </c>
      <c r="N4" s="3" t="s">
        <v>4</v>
      </c>
    </row>
    <row r="5" spans="1:18" x14ac:dyDescent="0.25">
      <c r="A5">
        <v>1000</v>
      </c>
      <c r="B5">
        <v>2097.8952640000002</v>
      </c>
      <c r="C5">
        <v>-18.019749000000001</v>
      </c>
      <c r="D5" t="s">
        <v>10</v>
      </c>
      <c r="E5">
        <f t="shared" si="0"/>
        <v>619.89526400000022</v>
      </c>
      <c r="F5" t="e">
        <f t="shared" si="1"/>
        <v>#VALUE!</v>
      </c>
      <c r="G5">
        <v>30</v>
      </c>
      <c r="H5" t="e">
        <f t="shared" si="2"/>
        <v>#VALUE!</v>
      </c>
      <c r="I5">
        <f t="shared" si="3"/>
        <v>7.6486898658797919</v>
      </c>
      <c r="L5">
        <f>L4/60</f>
        <v>3.4722222222222219</v>
      </c>
      <c r="M5">
        <f>M4/60</f>
        <v>3.0864197530864197</v>
      </c>
      <c r="N5" s="3" t="s">
        <v>5</v>
      </c>
    </row>
    <row r="6" spans="1:18" x14ac:dyDescent="0.25">
      <c r="A6">
        <v>1000</v>
      </c>
      <c r="B6">
        <v>2093.26001</v>
      </c>
      <c r="C6">
        <v>-17.916996000000001</v>
      </c>
      <c r="D6" t="s">
        <v>11</v>
      </c>
      <c r="E6">
        <f t="shared" si="0"/>
        <v>615.26000999999997</v>
      </c>
      <c r="F6" t="e">
        <f t="shared" si="1"/>
        <v>#VALUE!</v>
      </c>
      <c r="G6">
        <v>40</v>
      </c>
      <c r="H6" t="e">
        <f t="shared" si="2"/>
        <v>#VALUE!</v>
      </c>
      <c r="I6">
        <f t="shared" si="3"/>
        <v>7.6464779431106091</v>
      </c>
    </row>
    <row r="7" spans="1:18" x14ac:dyDescent="0.25">
      <c r="A7">
        <v>1000</v>
      </c>
      <c r="B7">
        <v>2090.1982419999999</v>
      </c>
      <c r="C7">
        <v>-17.894072999999999</v>
      </c>
      <c r="D7" t="s">
        <v>12</v>
      </c>
      <c r="E7">
        <f t="shared" si="0"/>
        <v>612.19824199999994</v>
      </c>
      <c r="F7" t="e">
        <f t="shared" si="1"/>
        <v>#VALUE!</v>
      </c>
      <c r="G7">
        <v>50</v>
      </c>
      <c r="H7" t="e">
        <f t="shared" si="2"/>
        <v>#VALUE!</v>
      </c>
      <c r="I7">
        <f t="shared" si="3"/>
        <v>7.6450141930922095</v>
      </c>
    </row>
    <row r="8" spans="1:18" x14ac:dyDescent="0.25">
      <c r="A8">
        <v>1000</v>
      </c>
      <c r="B8">
        <v>2085.047607</v>
      </c>
      <c r="C8">
        <v>-17.732225</v>
      </c>
      <c r="D8" t="s">
        <v>13</v>
      </c>
      <c r="E8">
        <f t="shared" si="0"/>
        <v>607.04760699999997</v>
      </c>
      <c r="F8" t="e">
        <f t="shared" si="1"/>
        <v>#VALUE!</v>
      </c>
      <c r="G8">
        <v>60</v>
      </c>
      <c r="H8" t="e">
        <f t="shared" si="2"/>
        <v>#VALUE!</v>
      </c>
      <c r="I8">
        <f t="shared" si="3"/>
        <v>7.6425469670657558</v>
      </c>
    </row>
    <row r="9" spans="1:18" x14ac:dyDescent="0.25">
      <c r="A9">
        <v>1000</v>
      </c>
      <c r="B9">
        <v>2079.8745119999999</v>
      </c>
      <c r="C9">
        <v>-17.633828999999999</v>
      </c>
      <c r="D9" t="s">
        <v>14</v>
      </c>
      <c r="E9">
        <f t="shared" si="0"/>
        <v>601.87451199999987</v>
      </c>
      <c r="F9" t="e">
        <f t="shared" si="1"/>
        <v>#VALUE!</v>
      </c>
      <c r="G9">
        <v>70</v>
      </c>
      <c r="H9" t="e">
        <f t="shared" si="2"/>
        <v>#VALUE!</v>
      </c>
      <c r="I9">
        <f t="shared" si="3"/>
        <v>7.6400628401061583</v>
      </c>
    </row>
    <row r="10" spans="1:18" x14ac:dyDescent="0.25">
      <c r="A10">
        <v>1000</v>
      </c>
      <c r="B10">
        <v>2077.329346</v>
      </c>
      <c r="C10">
        <v>-17.576826000000001</v>
      </c>
      <c r="D10" t="s">
        <v>15</v>
      </c>
      <c r="E10">
        <f t="shared" si="0"/>
        <v>599.32934599999999</v>
      </c>
      <c r="F10" t="e">
        <f t="shared" si="1"/>
        <v>#VALUE!</v>
      </c>
      <c r="G10">
        <v>80</v>
      </c>
      <c r="H10" t="e">
        <f t="shared" si="2"/>
        <v>#VALUE!</v>
      </c>
      <c r="I10">
        <f t="shared" si="3"/>
        <v>7.638838379432622</v>
      </c>
    </row>
    <row r="11" spans="1:18" x14ac:dyDescent="0.25">
      <c r="A11">
        <v>1000</v>
      </c>
      <c r="B11">
        <v>2074.0451659999999</v>
      </c>
      <c r="C11">
        <v>-17.520544000000001</v>
      </c>
      <c r="D11" t="s">
        <v>16</v>
      </c>
      <c r="E11">
        <f t="shared" si="0"/>
        <v>596.04516599999988</v>
      </c>
      <c r="F11" t="e">
        <f t="shared" si="1"/>
        <v>#VALUE!</v>
      </c>
      <c r="G11">
        <v>90</v>
      </c>
      <c r="H11" t="e">
        <f t="shared" si="2"/>
        <v>#VALUE!</v>
      </c>
      <c r="I11">
        <f t="shared" si="3"/>
        <v>7.6372561657943958</v>
      </c>
    </row>
    <row r="12" spans="1:18" x14ac:dyDescent="0.25">
      <c r="A12">
        <v>1000</v>
      </c>
      <c r="B12">
        <v>2072.7333979999999</v>
      </c>
      <c r="C12">
        <v>-17.513549999999999</v>
      </c>
      <c r="D12" t="s">
        <v>17</v>
      </c>
      <c r="E12">
        <f t="shared" si="0"/>
        <v>594.73339799999985</v>
      </c>
      <c r="F12" t="e">
        <f t="shared" si="1"/>
        <v>#VALUE!</v>
      </c>
      <c r="G12">
        <v>100</v>
      </c>
      <c r="H12" t="e">
        <f t="shared" si="2"/>
        <v>#VALUE!</v>
      </c>
      <c r="I12">
        <f t="shared" si="3"/>
        <v>7.6366234973152336</v>
      </c>
    </row>
    <row r="13" spans="1:18" x14ac:dyDescent="0.25">
      <c r="A13">
        <v>1000</v>
      </c>
      <c r="B13">
        <v>2069.3466800000001</v>
      </c>
      <c r="C13">
        <v>-17.410934000000001</v>
      </c>
      <c r="D13" t="s">
        <v>18</v>
      </c>
      <c r="E13">
        <f t="shared" si="0"/>
        <v>591.34668000000011</v>
      </c>
      <c r="F13" t="e">
        <f t="shared" si="1"/>
        <v>#VALUE!</v>
      </c>
      <c r="G13">
        <v>110</v>
      </c>
      <c r="H13" t="e">
        <f t="shared" si="2"/>
        <v>#VALUE!</v>
      </c>
      <c r="I13">
        <f t="shared" si="3"/>
        <v>7.6349882229164132</v>
      </c>
    </row>
    <row r="14" spans="1:18" x14ac:dyDescent="0.25">
      <c r="A14">
        <v>1000</v>
      </c>
      <c r="B14">
        <v>2064.1428219999998</v>
      </c>
      <c r="C14">
        <v>-17.214935000000001</v>
      </c>
      <c r="D14" t="s">
        <v>19</v>
      </c>
      <c r="E14">
        <f t="shared" si="0"/>
        <v>586.1428219999998</v>
      </c>
      <c r="F14" t="e">
        <f t="shared" si="1"/>
        <v>#VALUE!</v>
      </c>
      <c r="G14">
        <v>120</v>
      </c>
      <c r="H14" t="e">
        <f t="shared" si="2"/>
        <v>#VALUE!</v>
      </c>
      <c r="I14">
        <f t="shared" si="3"/>
        <v>7.6324703209128977</v>
      </c>
    </row>
    <row r="15" spans="1:18" x14ac:dyDescent="0.25">
      <c r="A15">
        <v>1000</v>
      </c>
      <c r="B15">
        <v>2060.5356449999999</v>
      </c>
      <c r="C15">
        <v>-17.088902999999998</v>
      </c>
      <c r="D15" t="s">
        <v>20</v>
      </c>
      <c r="E15">
        <f t="shared" si="0"/>
        <v>582.53564499999993</v>
      </c>
      <c r="F15" t="e">
        <f t="shared" si="1"/>
        <v>#VALUE!</v>
      </c>
      <c r="G15">
        <v>130</v>
      </c>
      <c r="H15" t="e">
        <f t="shared" si="2"/>
        <v>#VALUE!</v>
      </c>
      <c r="I15">
        <f t="shared" si="3"/>
        <v>7.6307212498284658</v>
      </c>
    </row>
    <row r="16" spans="1:18" x14ac:dyDescent="0.25">
      <c r="A16">
        <v>1000</v>
      </c>
      <c r="B16">
        <v>2056.8342290000001</v>
      </c>
      <c r="C16">
        <v>-16.934035999999999</v>
      </c>
      <c r="D16" t="s">
        <v>21</v>
      </c>
      <c r="E16">
        <f t="shared" si="0"/>
        <v>578.83422900000005</v>
      </c>
      <c r="F16" t="e">
        <f t="shared" si="1"/>
        <v>#VALUE!</v>
      </c>
      <c r="G16">
        <v>140</v>
      </c>
      <c r="H16" t="e">
        <f t="shared" si="2"/>
        <v>#VALUE!</v>
      </c>
      <c r="I16">
        <f t="shared" si="3"/>
        <v>7.6289232976840724</v>
      </c>
    </row>
    <row r="17" spans="1:9" x14ac:dyDescent="0.25">
      <c r="A17">
        <v>1000</v>
      </c>
      <c r="B17">
        <v>2053.3652339999999</v>
      </c>
      <c r="C17">
        <v>-16.825600000000001</v>
      </c>
      <c r="D17" t="s">
        <v>22</v>
      </c>
      <c r="E17">
        <f t="shared" si="0"/>
        <v>575.36523399999987</v>
      </c>
      <c r="F17" t="e">
        <f t="shared" si="1"/>
        <v>#VALUE!</v>
      </c>
      <c r="G17">
        <v>150</v>
      </c>
      <c r="H17" t="e">
        <f t="shared" si="2"/>
        <v>#VALUE!</v>
      </c>
      <c r="I17">
        <f t="shared" si="3"/>
        <v>7.6272353037777334</v>
      </c>
    </row>
    <row r="18" spans="1:9" x14ac:dyDescent="0.25">
      <c r="A18">
        <v>1000</v>
      </c>
      <c r="B18">
        <v>2050.5280760000001</v>
      </c>
      <c r="C18">
        <v>-16.735112999999998</v>
      </c>
      <c r="D18" t="s">
        <v>23</v>
      </c>
      <c r="E18">
        <f t="shared" si="0"/>
        <v>572.52807600000006</v>
      </c>
      <c r="F18" t="e">
        <f t="shared" si="1"/>
        <v>#VALUE!</v>
      </c>
      <c r="G18">
        <v>160</v>
      </c>
      <c r="H18" t="e">
        <f t="shared" si="2"/>
        <v>#VALUE!</v>
      </c>
      <c r="I18">
        <f t="shared" si="3"/>
        <v>7.6258526370085535</v>
      </c>
    </row>
    <row r="19" spans="1:9" x14ac:dyDescent="0.25">
      <c r="A19">
        <v>1000</v>
      </c>
      <c r="B19">
        <v>2046.5432129999999</v>
      </c>
      <c r="C19">
        <v>-16.576201999999999</v>
      </c>
      <c r="D19" t="s">
        <v>24</v>
      </c>
      <c r="E19">
        <f t="shared" si="0"/>
        <v>568.54321299999992</v>
      </c>
      <c r="F19" t="e">
        <f t="shared" si="1"/>
        <v>#VALUE!</v>
      </c>
      <c r="G19">
        <v>170</v>
      </c>
      <c r="H19" t="e">
        <f t="shared" si="2"/>
        <v>#VALUE!</v>
      </c>
      <c r="I19">
        <f t="shared" si="3"/>
        <v>7.6239074112726843</v>
      </c>
    </row>
    <row r="20" spans="1:9" x14ac:dyDescent="0.25">
      <c r="A20">
        <v>1000</v>
      </c>
      <c r="B20">
        <v>2044.4757079999999</v>
      </c>
      <c r="C20">
        <v>-16.507857999999999</v>
      </c>
      <c r="D20" t="s">
        <v>25</v>
      </c>
      <c r="E20">
        <f t="shared" si="0"/>
        <v>566.47570799999994</v>
      </c>
      <c r="F20" t="e">
        <f t="shared" si="1"/>
        <v>#VALUE!</v>
      </c>
      <c r="G20">
        <v>180</v>
      </c>
      <c r="H20" t="e">
        <f t="shared" si="2"/>
        <v>#VALUE!</v>
      </c>
      <c r="I20">
        <f t="shared" si="3"/>
        <v>7.6228966581004585</v>
      </c>
    </row>
    <row r="21" spans="1:9" x14ac:dyDescent="0.25">
      <c r="A21">
        <v>1000</v>
      </c>
      <c r="B21">
        <v>2040.8743899999999</v>
      </c>
      <c r="C21">
        <v>-16.431511</v>
      </c>
      <c r="D21" t="s">
        <v>26</v>
      </c>
      <c r="E21">
        <f t="shared" si="0"/>
        <v>562.87438999999995</v>
      </c>
      <c r="F21" t="e">
        <f t="shared" si="1"/>
        <v>#VALUE!</v>
      </c>
      <c r="G21">
        <v>190</v>
      </c>
      <c r="H21" t="e">
        <f t="shared" si="2"/>
        <v>#VALUE!</v>
      </c>
      <c r="I21">
        <f t="shared" si="3"/>
        <v>7.6211336175548769</v>
      </c>
    </row>
    <row r="22" spans="1:9" x14ac:dyDescent="0.25">
      <c r="A22">
        <v>1000</v>
      </c>
      <c r="B22">
        <v>2038.2055660000001</v>
      </c>
      <c r="C22">
        <v>-16.351284</v>
      </c>
      <c r="D22" t="s">
        <v>27</v>
      </c>
      <c r="E22">
        <f t="shared" si="0"/>
        <v>560.20556600000009</v>
      </c>
      <c r="F22" t="e">
        <f t="shared" si="1"/>
        <v>#VALUE!</v>
      </c>
      <c r="G22">
        <v>200</v>
      </c>
      <c r="H22" t="e">
        <f t="shared" si="2"/>
        <v>#VALUE!</v>
      </c>
      <c r="I22">
        <f t="shared" si="3"/>
        <v>7.6198250752318026</v>
      </c>
    </row>
    <row r="23" spans="1:9" x14ac:dyDescent="0.25">
      <c r="A23">
        <v>1000</v>
      </c>
      <c r="B23">
        <v>2036.0187989999999</v>
      </c>
      <c r="C23">
        <v>-16.256453</v>
      </c>
      <c r="D23" t="s">
        <v>28</v>
      </c>
      <c r="E23">
        <f t="shared" si="0"/>
        <v>558.01879899999994</v>
      </c>
      <c r="F23" t="e">
        <f t="shared" si="1"/>
        <v>#VALUE!</v>
      </c>
      <c r="G23">
        <v>210</v>
      </c>
      <c r="H23" t="e">
        <f t="shared" si="2"/>
        <v>#VALUE!</v>
      </c>
      <c r="I23">
        <f t="shared" si="3"/>
        <v>7.6187516109283759</v>
      </c>
    </row>
    <row r="24" spans="1:9" x14ac:dyDescent="0.25">
      <c r="A24">
        <v>1000</v>
      </c>
      <c r="B24">
        <v>2033.1345209999999</v>
      </c>
      <c r="C24">
        <v>-16.198409999999999</v>
      </c>
      <c r="D24" t="s">
        <v>29</v>
      </c>
      <c r="E24">
        <f t="shared" si="0"/>
        <v>555.13452099999995</v>
      </c>
      <c r="F24" t="e">
        <f t="shared" si="1"/>
        <v>#VALUE!</v>
      </c>
      <c r="G24">
        <v>220</v>
      </c>
      <c r="H24" t="e">
        <f t="shared" si="2"/>
        <v>#VALUE!</v>
      </c>
      <c r="I24">
        <f t="shared" si="3"/>
        <v>7.6173339801554762</v>
      </c>
    </row>
    <row r="25" spans="1:9" x14ac:dyDescent="0.25">
      <c r="A25">
        <v>1000</v>
      </c>
      <c r="B25">
        <v>2031.5196530000001</v>
      </c>
      <c r="C25">
        <v>-16.145762999999999</v>
      </c>
      <c r="D25" t="s">
        <v>30</v>
      </c>
      <c r="E25">
        <f t="shared" si="0"/>
        <v>553.51965300000006</v>
      </c>
      <c r="F25" t="e">
        <f t="shared" si="1"/>
        <v>#VALUE!</v>
      </c>
      <c r="G25">
        <v>230</v>
      </c>
      <c r="H25" t="e">
        <f t="shared" si="2"/>
        <v>#VALUE!</v>
      </c>
      <c r="I25">
        <f t="shared" si="3"/>
        <v>7.6165393895134015</v>
      </c>
    </row>
    <row r="26" spans="1:9" x14ac:dyDescent="0.25">
      <c r="A26">
        <v>1000</v>
      </c>
      <c r="B26">
        <v>2029.5351559999999</v>
      </c>
      <c r="C26">
        <v>-16.066846999999999</v>
      </c>
      <c r="D26" t="s">
        <v>31</v>
      </c>
      <c r="E26">
        <f t="shared" si="0"/>
        <v>551.53515599999992</v>
      </c>
      <c r="F26" t="e">
        <f t="shared" si="1"/>
        <v>#VALUE!</v>
      </c>
      <c r="G26">
        <v>240</v>
      </c>
      <c r="H26" t="e">
        <f t="shared" si="2"/>
        <v>#VALUE!</v>
      </c>
      <c r="I26">
        <f t="shared" si="3"/>
        <v>7.6155620586221451</v>
      </c>
    </row>
    <row r="27" spans="1:9" x14ac:dyDescent="0.25">
      <c r="A27">
        <v>1000</v>
      </c>
      <c r="B27">
        <v>2025.5482179999999</v>
      </c>
      <c r="C27">
        <v>-15.951691</v>
      </c>
      <c r="D27" t="s">
        <v>32</v>
      </c>
      <c r="E27">
        <f t="shared" si="0"/>
        <v>547.54821799999991</v>
      </c>
      <c r="F27" t="e">
        <f t="shared" si="1"/>
        <v>#VALUE!</v>
      </c>
      <c r="G27">
        <v>250</v>
      </c>
      <c r="H27" t="e">
        <f t="shared" si="2"/>
        <v>#VALUE!</v>
      </c>
      <c r="I27">
        <f t="shared" si="3"/>
        <v>7.6135956678395278</v>
      </c>
    </row>
    <row r="28" spans="1:9" x14ac:dyDescent="0.25">
      <c r="A28">
        <v>1000</v>
      </c>
      <c r="B28">
        <v>2023.205322</v>
      </c>
      <c r="C28">
        <v>-15.871435999999999</v>
      </c>
      <c r="D28" t="s">
        <v>33</v>
      </c>
      <c r="E28">
        <f t="shared" si="0"/>
        <v>545.20532200000002</v>
      </c>
      <c r="F28" t="e">
        <f t="shared" si="1"/>
        <v>#VALUE!</v>
      </c>
      <c r="G28">
        <v>260</v>
      </c>
      <c r="H28" t="e">
        <f t="shared" si="2"/>
        <v>#VALUE!</v>
      </c>
      <c r="I28">
        <f t="shared" si="3"/>
        <v>7.6124383258386539</v>
      </c>
    </row>
    <row r="29" spans="1:9" x14ac:dyDescent="0.25">
      <c r="A29">
        <v>1000</v>
      </c>
      <c r="B29">
        <v>2021.597168</v>
      </c>
      <c r="C29">
        <v>-15.778381</v>
      </c>
      <c r="D29" t="s">
        <v>34</v>
      </c>
      <c r="E29">
        <f t="shared" si="0"/>
        <v>543.59716800000001</v>
      </c>
      <c r="F29" t="e">
        <f t="shared" si="1"/>
        <v>#VALUE!</v>
      </c>
      <c r="G29">
        <v>270</v>
      </c>
      <c r="H29" t="e">
        <f t="shared" si="2"/>
        <v>#VALUE!</v>
      </c>
      <c r="I29">
        <f t="shared" si="3"/>
        <v>7.6116431552024055</v>
      </c>
    </row>
    <row r="30" spans="1:9" x14ac:dyDescent="0.25">
      <c r="A30">
        <v>1000</v>
      </c>
      <c r="B30">
        <v>2018.919922</v>
      </c>
      <c r="C30">
        <v>-15.730611</v>
      </c>
      <c r="D30" t="s">
        <v>35</v>
      </c>
      <c r="E30">
        <f t="shared" si="0"/>
        <v>540.91992200000004</v>
      </c>
      <c r="F30" t="e">
        <f t="shared" si="1"/>
        <v>#VALUE!</v>
      </c>
      <c r="G30">
        <v>280</v>
      </c>
      <c r="H30" t="e">
        <f t="shared" si="2"/>
        <v>#VALUE!</v>
      </c>
      <c r="I30">
        <f t="shared" si="3"/>
        <v>7.6103179553172566</v>
      </c>
    </row>
    <row r="31" spans="1:9" x14ac:dyDescent="0.25">
      <c r="A31">
        <v>1000</v>
      </c>
      <c r="B31">
        <v>2016.9920649999999</v>
      </c>
      <c r="C31">
        <v>-15.654126</v>
      </c>
      <c r="D31" t="s">
        <v>36</v>
      </c>
      <c r="E31">
        <f t="shared" si="0"/>
        <v>538.99206499999991</v>
      </c>
      <c r="F31" t="e">
        <f t="shared" si="1"/>
        <v>#VALUE!</v>
      </c>
      <c r="G31">
        <v>290</v>
      </c>
      <c r="H31" t="e">
        <f t="shared" si="2"/>
        <v>#VALUE!</v>
      </c>
      <c r="I31">
        <f t="shared" si="3"/>
        <v>7.6093626038859874</v>
      </c>
    </row>
    <row r="32" spans="1:9" x14ac:dyDescent="0.25">
      <c r="A32">
        <v>1000</v>
      </c>
      <c r="B32">
        <v>2014.686279</v>
      </c>
      <c r="C32">
        <v>-15.550185000000001</v>
      </c>
      <c r="D32" t="s">
        <v>37</v>
      </c>
      <c r="E32">
        <f t="shared" si="0"/>
        <v>536.68627900000001</v>
      </c>
      <c r="F32" t="e">
        <f t="shared" si="1"/>
        <v>#VALUE!</v>
      </c>
      <c r="G32">
        <v>300</v>
      </c>
      <c r="H32" t="e">
        <f t="shared" si="2"/>
        <v>#VALUE!</v>
      </c>
      <c r="I32">
        <f t="shared" si="3"/>
        <v>7.60821876945543</v>
      </c>
    </row>
    <row r="33" spans="1:9" x14ac:dyDescent="0.25">
      <c r="A33">
        <v>1000</v>
      </c>
      <c r="B33">
        <v>2010.9929199999999</v>
      </c>
      <c r="C33">
        <v>-15.461529000000001</v>
      </c>
      <c r="D33" t="s">
        <v>38</v>
      </c>
      <c r="E33">
        <f t="shared" si="0"/>
        <v>532.99291999999991</v>
      </c>
      <c r="F33" t="e">
        <f t="shared" si="1"/>
        <v>#VALUE!</v>
      </c>
      <c r="G33">
        <v>310</v>
      </c>
      <c r="H33" t="e">
        <f t="shared" si="2"/>
        <v>#VALUE!</v>
      </c>
      <c r="I33">
        <f t="shared" si="3"/>
        <v>7.6063838691299557</v>
      </c>
    </row>
    <row r="34" spans="1:9" x14ac:dyDescent="0.25">
      <c r="A34">
        <v>1000</v>
      </c>
      <c r="B34">
        <v>2009.60437</v>
      </c>
      <c r="C34">
        <v>-15.393281</v>
      </c>
      <c r="D34" t="s">
        <v>39</v>
      </c>
      <c r="E34">
        <f t="shared" si="0"/>
        <v>531.60437000000002</v>
      </c>
      <c r="F34" t="e">
        <f t="shared" si="1"/>
        <v>#VALUE!</v>
      </c>
      <c r="G34">
        <v>320</v>
      </c>
      <c r="H34" t="e">
        <f t="shared" si="2"/>
        <v>#VALUE!</v>
      </c>
      <c r="I34">
        <f t="shared" si="3"/>
        <v>7.6056931508336172</v>
      </c>
    </row>
    <row r="35" spans="1:9" x14ac:dyDescent="0.25">
      <c r="A35">
        <v>1000</v>
      </c>
      <c r="B35">
        <v>2007.662842</v>
      </c>
      <c r="C35">
        <v>-15.324488000000001</v>
      </c>
      <c r="D35" t="s">
        <v>40</v>
      </c>
      <c r="E35">
        <f t="shared" si="0"/>
        <v>529.66284199999996</v>
      </c>
      <c r="F35" t="e">
        <f t="shared" si="1"/>
        <v>#VALUE!</v>
      </c>
      <c r="G35">
        <v>330</v>
      </c>
      <c r="H35" t="e">
        <f t="shared" si="2"/>
        <v>#VALUE!</v>
      </c>
      <c r="I35">
        <f t="shared" si="3"/>
        <v>7.6047265593430815</v>
      </c>
    </row>
    <row r="36" spans="1:9" x14ac:dyDescent="0.25">
      <c r="A36">
        <v>1000</v>
      </c>
      <c r="B36">
        <v>2005.1597899999999</v>
      </c>
      <c r="C36">
        <v>-15.236255999999999</v>
      </c>
      <c r="D36" t="s">
        <v>41</v>
      </c>
      <c r="E36">
        <f t="shared" si="0"/>
        <v>527.15978999999993</v>
      </c>
      <c r="F36" t="e">
        <f t="shared" si="1"/>
        <v>#VALUE!</v>
      </c>
      <c r="G36">
        <v>340</v>
      </c>
      <c r="H36" t="e">
        <f t="shared" si="2"/>
        <v>#VALUE!</v>
      </c>
      <c r="I36">
        <f t="shared" si="3"/>
        <v>7.6034790323257297</v>
      </c>
    </row>
    <row r="37" spans="1:9" x14ac:dyDescent="0.25">
      <c r="A37">
        <v>1000</v>
      </c>
      <c r="B37">
        <v>2003.220337</v>
      </c>
      <c r="C37">
        <v>-15.171656</v>
      </c>
      <c r="D37" t="s">
        <v>42</v>
      </c>
      <c r="E37">
        <f t="shared" si="0"/>
        <v>525.22033699999997</v>
      </c>
      <c r="F37" t="e">
        <f t="shared" si="1"/>
        <v>#VALUE!</v>
      </c>
      <c r="G37">
        <v>350</v>
      </c>
      <c r="H37" t="e">
        <f t="shared" si="2"/>
        <v>#VALUE!</v>
      </c>
      <c r="I37">
        <f t="shared" si="3"/>
        <v>7.6025113331106358</v>
      </c>
    </row>
    <row r="38" spans="1:9" x14ac:dyDescent="0.25">
      <c r="A38">
        <v>1000</v>
      </c>
      <c r="B38">
        <v>2001.2666019999999</v>
      </c>
      <c r="C38">
        <v>-15.099392999999999</v>
      </c>
      <c r="D38" t="s">
        <v>43</v>
      </c>
      <c r="E38">
        <f t="shared" si="0"/>
        <v>523.26660199999992</v>
      </c>
      <c r="F38" t="e">
        <f t="shared" si="1"/>
        <v>#VALUE!</v>
      </c>
      <c r="G38">
        <v>360</v>
      </c>
      <c r="H38" t="e">
        <f t="shared" si="2"/>
        <v>#VALUE!</v>
      </c>
      <c r="I38">
        <f t="shared" si="3"/>
        <v>7.6015355600916301</v>
      </c>
    </row>
    <row r="39" spans="1:9" x14ac:dyDescent="0.25">
      <c r="A39">
        <v>1000</v>
      </c>
      <c r="B39">
        <v>1998.1972659999999</v>
      </c>
      <c r="C39">
        <v>-15.016636999999999</v>
      </c>
      <c r="D39" t="s">
        <v>44</v>
      </c>
      <c r="E39">
        <f t="shared" si="0"/>
        <v>520.1972659999999</v>
      </c>
      <c r="F39" t="e">
        <f t="shared" si="1"/>
        <v>#VALUE!</v>
      </c>
      <c r="G39">
        <v>370</v>
      </c>
      <c r="H39" t="e">
        <f t="shared" si="2"/>
        <v>#VALUE!</v>
      </c>
      <c r="I39">
        <f t="shared" si="3"/>
        <v>7.6000006860665739</v>
      </c>
    </row>
    <row r="40" spans="1:9" x14ac:dyDescent="0.25">
      <c r="A40">
        <v>1000</v>
      </c>
      <c r="B40">
        <v>1996.5634769999999</v>
      </c>
      <c r="C40">
        <v>-14.948186</v>
      </c>
      <c r="D40" t="s">
        <v>45</v>
      </c>
      <c r="E40">
        <f t="shared" si="0"/>
        <v>518.56347699999992</v>
      </c>
      <c r="F40" t="e">
        <f t="shared" si="1"/>
        <v>#VALUE!</v>
      </c>
      <c r="G40">
        <v>380</v>
      </c>
      <c r="H40" t="e">
        <f t="shared" si="2"/>
        <v>#VALUE!</v>
      </c>
      <c r="I40">
        <f t="shared" si="3"/>
        <v>7.5991827201375974</v>
      </c>
    </row>
    <row r="41" spans="1:9" x14ac:dyDescent="0.25">
      <c r="A41">
        <v>1000</v>
      </c>
      <c r="B41">
        <v>1995.232178</v>
      </c>
      <c r="C41">
        <v>-14.901590000000001</v>
      </c>
      <c r="D41" t="s">
        <v>46</v>
      </c>
      <c r="E41">
        <f t="shared" si="0"/>
        <v>517.23217799999998</v>
      </c>
      <c r="F41" t="e">
        <f t="shared" si="1"/>
        <v>#VALUE!</v>
      </c>
      <c r="G41">
        <v>390</v>
      </c>
      <c r="H41" t="e">
        <f t="shared" si="2"/>
        <v>#VALUE!</v>
      </c>
      <c r="I41">
        <f t="shared" si="3"/>
        <v>7.5985157025022172</v>
      </c>
    </row>
    <row r="42" spans="1:9" x14ac:dyDescent="0.25">
      <c r="A42">
        <v>1000</v>
      </c>
      <c r="B42">
        <v>1993.37915</v>
      </c>
      <c r="C42">
        <v>-14.823057</v>
      </c>
      <c r="D42" t="s">
        <v>47</v>
      </c>
      <c r="E42">
        <f t="shared" si="0"/>
        <v>515.37914999999998</v>
      </c>
      <c r="F42" t="e">
        <f t="shared" si="1"/>
        <v>#VALUE!</v>
      </c>
      <c r="G42">
        <v>400</v>
      </c>
      <c r="H42" t="e">
        <f t="shared" si="2"/>
        <v>#VALUE!</v>
      </c>
      <c r="I42">
        <f t="shared" si="3"/>
        <v>7.5975865429622509</v>
      </c>
    </row>
    <row r="43" spans="1:9" x14ac:dyDescent="0.25">
      <c r="A43">
        <v>1000</v>
      </c>
      <c r="B43">
        <v>1990.970337</v>
      </c>
      <c r="C43">
        <v>-14.757690999999999</v>
      </c>
      <c r="D43" t="s">
        <v>48</v>
      </c>
      <c r="E43">
        <f t="shared" si="0"/>
        <v>512.97033699999997</v>
      </c>
      <c r="F43" t="e">
        <f t="shared" si="1"/>
        <v>#VALUE!</v>
      </c>
      <c r="G43">
        <v>410</v>
      </c>
      <c r="H43" t="e">
        <f t="shared" si="2"/>
        <v>#VALUE!</v>
      </c>
      <c r="I43">
        <f t="shared" si="3"/>
        <v>7.5963774054097666</v>
      </c>
    </row>
    <row r="44" spans="1:9" x14ac:dyDescent="0.25">
      <c r="A44">
        <v>1000</v>
      </c>
      <c r="B44">
        <v>1989.55249</v>
      </c>
      <c r="C44">
        <v>-14.693433000000001</v>
      </c>
      <c r="D44" t="s">
        <v>49</v>
      </c>
      <c r="E44">
        <f t="shared" si="0"/>
        <v>511.55249000000003</v>
      </c>
      <c r="F44" t="e">
        <f t="shared" si="1"/>
        <v>#VALUE!</v>
      </c>
      <c r="G44">
        <v>420</v>
      </c>
      <c r="H44" t="e">
        <f t="shared" si="2"/>
        <v>#VALUE!</v>
      </c>
      <c r="I44">
        <f t="shared" si="3"/>
        <v>7.5956650130323897</v>
      </c>
    </row>
    <row r="45" spans="1:9" x14ac:dyDescent="0.25">
      <c r="A45">
        <v>1000</v>
      </c>
      <c r="B45">
        <v>1987.9039310000001</v>
      </c>
      <c r="C45">
        <v>-14.671618</v>
      </c>
      <c r="D45" t="s">
        <v>50</v>
      </c>
      <c r="E45">
        <f t="shared" si="0"/>
        <v>509.90393100000006</v>
      </c>
      <c r="F45" t="e">
        <f t="shared" si="1"/>
        <v>#VALUE!</v>
      </c>
      <c r="G45">
        <v>430</v>
      </c>
      <c r="H45" t="e">
        <f t="shared" si="2"/>
        <v>#VALUE!</v>
      </c>
      <c r="I45">
        <f t="shared" si="3"/>
        <v>7.5948360616021757</v>
      </c>
    </row>
    <row r="46" spans="1:9" x14ac:dyDescent="0.25">
      <c r="A46">
        <v>1000</v>
      </c>
      <c r="B46">
        <v>1990.160034</v>
      </c>
      <c r="C46">
        <v>-14.855145</v>
      </c>
      <c r="D46" t="s">
        <v>51</v>
      </c>
      <c r="E46">
        <f t="shared" si="0"/>
        <v>512.160034</v>
      </c>
      <c r="F46" t="e">
        <f t="shared" si="1"/>
        <v>#VALUE!</v>
      </c>
      <c r="G46">
        <v>440</v>
      </c>
      <c r="H46" t="e">
        <f t="shared" si="2"/>
        <v>#VALUE!</v>
      </c>
      <c r="I46">
        <f t="shared" si="3"/>
        <v>7.5959703335805733</v>
      </c>
    </row>
    <row r="47" spans="1:9" x14ac:dyDescent="0.25">
      <c r="A47">
        <v>1000</v>
      </c>
      <c r="B47">
        <v>1991.582764</v>
      </c>
      <c r="C47">
        <v>-14.994221</v>
      </c>
      <c r="D47" t="s">
        <v>52</v>
      </c>
      <c r="E47">
        <f t="shared" si="0"/>
        <v>513.582764</v>
      </c>
      <c r="F47" t="e">
        <f t="shared" si="1"/>
        <v>#VALUE!</v>
      </c>
      <c r="G47">
        <v>450</v>
      </c>
      <c r="H47" t="e">
        <f t="shared" si="2"/>
        <v>#VALUE!</v>
      </c>
      <c r="I47">
        <f t="shared" si="3"/>
        <v>7.5966849603823157</v>
      </c>
    </row>
    <row r="48" spans="1:9" x14ac:dyDescent="0.25">
      <c r="A48">
        <v>1000</v>
      </c>
      <c r="B48">
        <v>1988.9932859999999</v>
      </c>
      <c r="C48">
        <v>-14.887069</v>
      </c>
      <c r="D48" t="s">
        <v>53</v>
      </c>
      <c r="E48">
        <f t="shared" si="0"/>
        <v>510.9932859999999</v>
      </c>
      <c r="F48" t="e">
        <f t="shared" si="1"/>
        <v>#VALUE!</v>
      </c>
      <c r="G48">
        <v>460</v>
      </c>
      <c r="H48" t="e">
        <f t="shared" si="2"/>
        <v>#VALUE!</v>
      </c>
      <c r="I48">
        <f t="shared" si="3"/>
        <v>7.5953839032826638</v>
      </c>
    </row>
    <row r="49" spans="1:9" x14ac:dyDescent="0.25">
      <c r="A49">
        <v>1000</v>
      </c>
      <c r="B49">
        <v>1986.1171879999999</v>
      </c>
      <c r="C49">
        <v>-14.732063999999999</v>
      </c>
      <c r="D49" t="s">
        <v>54</v>
      </c>
      <c r="E49">
        <f t="shared" si="0"/>
        <v>508.11718799999994</v>
      </c>
      <c r="F49" t="e">
        <f t="shared" si="1"/>
        <v>#VALUE!</v>
      </c>
      <c r="G49">
        <v>470</v>
      </c>
      <c r="H49" t="e">
        <f t="shared" si="2"/>
        <v>#VALUE!</v>
      </c>
      <c r="I49">
        <f t="shared" si="3"/>
        <v>7.5939368499136162</v>
      </c>
    </row>
    <row r="50" spans="1:9" x14ac:dyDescent="0.25">
      <c r="A50">
        <v>1000</v>
      </c>
      <c r="B50">
        <v>1983.907837</v>
      </c>
      <c r="C50">
        <v>-14.625596</v>
      </c>
      <c r="D50" t="s">
        <v>55</v>
      </c>
      <c r="E50">
        <f t="shared" si="0"/>
        <v>505.90783699999997</v>
      </c>
      <c r="F50" t="e">
        <f t="shared" si="1"/>
        <v>#VALUE!</v>
      </c>
      <c r="G50">
        <v>480</v>
      </c>
      <c r="H50" t="e">
        <f t="shared" si="2"/>
        <v>#VALUE!</v>
      </c>
      <c r="I50">
        <f t="shared" si="3"/>
        <v>7.5928238336408382</v>
      </c>
    </row>
    <row r="51" spans="1:9" x14ac:dyDescent="0.25">
      <c r="A51">
        <v>1000</v>
      </c>
      <c r="B51">
        <v>1981.3051760000001</v>
      </c>
      <c r="C51">
        <v>-14.546462</v>
      </c>
      <c r="D51" t="s">
        <v>56</v>
      </c>
      <c r="E51">
        <f t="shared" si="0"/>
        <v>503.30517600000007</v>
      </c>
      <c r="F51" t="e">
        <f t="shared" si="1"/>
        <v>#VALUE!</v>
      </c>
      <c r="G51">
        <v>490</v>
      </c>
      <c r="H51" t="e">
        <f t="shared" si="2"/>
        <v>#VALUE!</v>
      </c>
      <c r="I51">
        <f t="shared" si="3"/>
        <v>7.5915110863229858</v>
      </c>
    </row>
    <row r="52" spans="1:9" x14ac:dyDescent="0.25">
      <c r="A52">
        <v>1000</v>
      </c>
      <c r="B52">
        <v>1979.3314210000001</v>
      </c>
      <c r="C52">
        <v>-14.4495</v>
      </c>
      <c r="D52" t="s">
        <v>57</v>
      </c>
      <c r="E52">
        <f t="shared" si="0"/>
        <v>501.33142100000009</v>
      </c>
      <c r="F52" t="e">
        <f t="shared" si="1"/>
        <v>#VALUE!</v>
      </c>
      <c r="G52">
        <v>500</v>
      </c>
      <c r="H52" t="e">
        <f t="shared" si="2"/>
        <v>#VALUE!</v>
      </c>
      <c r="I52">
        <f t="shared" si="3"/>
        <v>7.5905144005049099</v>
      </c>
    </row>
    <row r="53" spans="1:9" x14ac:dyDescent="0.25">
      <c r="A53">
        <v>1000</v>
      </c>
      <c r="B53">
        <v>1977.3165280000001</v>
      </c>
      <c r="C53">
        <v>-14.359874</v>
      </c>
      <c r="D53" t="s">
        <v>58</v>
      </c>
      <c r="E53">
        <f t="shared" si="0"/>
        <v>499.31652800000006</v>
      </c>
      <c r="F53" t="e">
        <f t="shared" si="1"/>
        <v>#VALUE!</v>
      </c>
      <c r="G53">
        <v>510</v>
      </c>
      <c r="H53" t="e">
        <f t="shared" si="2"/>
        <v>#VALUE!</v>
      </c>
      <c r="I53">
        <f t="shared" si="3"/>
        <v>7.5894959155650596</v>
      </c>
    </row>
    <row r="54" spans="1:9" x14ac:dyDescent="0.25">
      <c r="A54">
        <v>1000</v>
      </c>
      <c r="B54">
        <v>1974.688721</v>
      </c>
      <c r="C54">
        <v>-14.257680000000001</v>
      </c>
      <c r="D54" t="s">
        <v>59</v>
      </c>
      <c r="E54">
        <f t="shared" si="0"/>
        <v>496.68872099999999</v>
      </c>
      <c r="F54" t="e">
        <f t="shared" si="1"/>
        <v>#VALUE!</v>
      </c>
      <c r="G54">
        <v>520</v>
      </c>
      <c r="H54" t="e">
        <f t="shared" si="2"/>
        <v>#VALUE!</v>
      </c>
      <c r="I54">
        <f t="shared" si="3"/>
        <v>7.5881660552932679</v>
      </c>
    </row>
    <row r="55" spans="1:9" x14ac:dyDescent="0.25">
      <c r="A55">
        <v>1000</v>
      </c>
      <c r="B55">
        <v>1972.974976</v>
      </c>
      <c r="C55">
        <v>-14.185361</v>
      </c>
      <c r="D55" t="s">
        <v>60</v>
      </c>
      <c r="E55">
        <f t="shared" si="0"/>
        <v>494.97497599999997</v>
      </c>
      <c r="F55" t="e">
        <f t="shared" si="1"/>
        <v>#VALUE!</v>
      </c>
      <c r="G55">
        <v>530</v>
      </c>
      <c r="H55" t="e">
        <f t="shared" si="2"/>
        <v>#VALUE!</v>
      </c>
      <c r="I55">
        <f t="shared" si="3"/>
        <v>7.5872978227186652</v>
      </c>
    </row>
    <row r="56" spans="1:9" x14ac:dyDescent="0.25">
      <c r="A56">
        <v>1000</v>
      </c>
      <c r="B56">
        <v>1970.681274</v>
      </c>
      <c r="C56">
        <v>-14.10859</v>
      </c>
      <c r="D56" t="s">
        <v>61</v>
      </c>
      <c r="E56">
        <f t="shared" si="0"/>
        <v>492.68127400000003</v>
      </c>
      <c r="F56" t="e">
        <f t="shared" si="1"/>
        <v>#VALUE!</v>
      </c>
      <c r="G56">
        <v>540</v>
      </c>
      <c r="H56" t="e">
        <f t="shared" si="2"/>
        <v>#VALUE!</v>
      </c>
      <c r="I56">
        <f t="shared" si="3"/>
        <v>7.5861345863140528</v>
      </c>
    </row>
    <row r="57" spans="1:9" x14ac:dyDescent="0.25">
      <c r="A57">
        <v>1000</v>
      </c>
      <c r="B57">
        <v>1968.3079829999999</v>
      </c>
      <c r="C57">
        <v>-14.039305000000001</v>
      </c>
      <c r="D57" t="s">
        <v>62</v>
      </c>
      <c r="E57">
        <f t="shared" si="0"/>
        <v>490.30798299999992</v>
      </c>
      <c r="F57" t="e">
        <f t="shared" si="1"/>
        <v>#VALUE!</v>
      </c>
      <c r="G57">
        <v>550</v>
      </c>
      <c r="H57" t="e">
        <f t="shared" si="2"/>
        <v>#VALUE!</v>
      </c>
      <c r="I57">
        <f t="shared" si="3"/>
        <v>7.5849295607948957</v>
      </c>
    </row>
    <row r="58" spans="1:9" x14ac:dyDescent="0.25">
      <c r="A58">
        <v>1000</v>
      </c>
      <c r="B58">
        <v>1967.7177730000001</v>
      </c>
      <c r="C58">
        <v>-14.023705</v>
      </c>
      <c r="D58" t="s">
        <v>63</v>
      </c>
      <c r="E58">
        <f t="shared" si="0"/>
        <v>489.71777300000008</v>
      </c>
      <c r="F58" t="e">
        <f t="shared" si="1"/>
        <v>#VALUE!</v>
      </c>
      <c r="G58">
        <v>560</v>
      </c>
      <c r="H58" t="e">
        <f t="shared" si="2"/>
        <v>#VALUE!</v>
      </c>
      <c r="I58">
        <f t="shared" si="3"/>
        <v>7.5846296592998286</v>
      </c>
    </row>
    <row r="59" spans="1:9" x14ac:dyDescent="0.25">
      <c r="A59">
        <v>1000</v>
      </c>
      <c r="B59">
        <v>1967.3480219999999</v>
      </c>
      <c r="C59">
        <v>-14.045465</v>
      </c>
      <c r="D59" t="s">
        <v>64</v>
      </c>
      <c r="E59">
        <f t="shared" si="0"/>
        <v>489.3480219999999</v>
      </c>
      <c r="F59" t="e">
        <f t="shared" si="1"/>
        <v>#VALUE!</v>
      </c>
      <c r="G59">
        <v>570</v>
      </c>
      <c r="H59" t="e">
        <f t="shared" si="2"/>
        <v>#VALUE!</v>
      </c>
      <c r="I59">
        <f t="shared" si="3"/>
        <v>7.5844417330895189</v>
      </c>
    </row>
    <row r="60" spans="1:9" x14ac:dyDescent="0.25">
      <c r="A60">
        <v>1000</v>
      </c>
      <c r="B60">
        <v>1965.218018</v>
      </c>
      <c r="C60">
        <v>-14.010358999999999</v>
      </c>
      <c r="D60" t="s">
        <v>65</v>
      </c>
      <c r="E60">
        <f t="shared" si="0"/>
        <v>487.21801800000003</v>
      </c>
      <c r="F60" t="e">
        <f t="shared" si="1"/>
        <v>#VALUE!</v>
      </c>
      <c r="G60">
        <v>580</v>
      </c>
      <c r="H60" t="e">
        <f t="shared" si="2"/>
        <v>#VALUE!</v>
      </c>
      <c r="I60">
        <f t="shared" si="3"/>
        <v>7.5833584687849269</v>
      </c>
    </row>
    <row r="61" spans="1:9" x14ac:dyDescent="0.25">
      <c r="A61">
        <v>1000</v>
      </c>
      <c r="B61">
        <v>1963.785034</v>
      </c>
      <c r="C61">
        <v>-13.932617</v>
      </c>
      <c r="D61" t="s">
        <v>66</v>
      </c>
      <c r="E61">
        <f t="shared" si="0"/>
        <v>485.785034</v>
      </c>
      <c r="F61" t="e">
        <f t="shared" si="1"/>
        <v>#VALUE!</v>
      </c>
      <c r="G61">
        <v>590</v>
      </c>
      <c r="H61" t="e">
        <f t="shared" si="2"/>
        <v>#VALUE!</v>
      </c>
      <c r="I61">
        <f t="shared" si="3"/>
        <v>7.5826290297671548</v>
      </c>
    </row>
    <row r="62" spans="1:9" x14ac:dyDescent="0.25">
      <c r="A62">
        <v>1000</v>
      </c>
      <c r="B62">
        <v>1961.643433</v>
      </c>
      <c r="C62">
        <v>-13.828006</v>
      </c>
      <c r="D62" t="s">
        <v>67</v>
      </c>
      <c r="E62">
        <f t="shared" si="0"/>
        <v>483.64343299999996</v>
      </c>
      <c r="F62" t="e">
        <f t="shared" si="1"/>
        <v>#VALUE!</v>
      </c>
      <c r="G62">
        <v>600</v>
      </c>
      <c r="H62" t="e">
        <f t="shared" si="2"/>
        <v>#VALUE!</v>
      </c>
      <c r="I62">
        <f t="shared" si="3"/>
        <v>7.5815378871158563</v>
      </c>
    </row>
    <row r="63" spans="1:9" x14ac:dyDescent="0.25">
      <c r="A63">
        <v>1000</v>
      </c>
      <c r="B63">
        <v>1961.2202150000001</v>
      </c>
      <c r="C63">
        <v>-13.770168</v>
      </c>
      <c r="D63" t="s">
        <v>68</v>
      </c>
      <c r="E63">
        <f t="shared" si="0"/>
        <v>483.22021500000005</v>
      </c>
      <c r="F63" t="e">
        <f t="shared" si="1"/>
        <v>#VALUE!</v>
      </c>
      <c r="G63">
        <v>610</v>
      </c>
      <c r="H63" t="e">
        <f t="shared" si="2"/>
        <v>#VALUE!</v>
      </c>
      <c r="I63">
        <f t="shared" si="3"/>
        <v>7.5813221171887744</v>
      </c>
    </row>
    <row r="64" spans="1:9" x14ac:dyDescent="0.25">
      <c r="A64">
        <v>1000</v>
      </c>
      <c r="B64">
        <v>1958.9770510000001</v>
      </c>
      <c r="C64">
        <v>-13.718738</v>
      </c>
      <c r="D64" t="s">
        <v>69</v>
      </c>
      <c r="E64">
        <f t="shared" si="0"/>
        <v>480.97705100000007</v>
      </c>
      <c r="F64" t="e">
        <f t="shared" si="1"/>
        <v>#VALUE!</v>
      </c>
      <c r="G64">
        <v>620</v>
      </c>
      <c r="H64" t="e">
        <f t="shared" si="2"/>
        <v>#VALUE!</v>
      </c>
      <c r="I64">
        <f t="shared" si="3"/>
        <v>7.5801777032255924</v>
      </c>
    </row>
    <row r="65" spans="1:9" x14ac:dyDescent="0.25">
      <c r="A65">
        <v>1000</v>
      </c>
      <c r="B65">
        <v>1957.1201169999999</v>
      </c>
      <c r="C65">
        <v>-13.639055000000001</v>
      </c>
      <c r="D65" t="s">
        <v>70</v>
      </c>
      <c r="E65">
        <f t="shared" si="0"/>
        <v>479.12011699999994</v>
      </c>
      <c r="F65" t="e">
        <f t="shared" si="1"/>
        <v>#VALUE!</v>
      </c>
      <c r="G65">
        <v>630</v>
      </c>
      <c r="H65" t="e">
        <f t="shared" si="2"/>
        <v>#VALUE!</v>
      </c>
      <c r="I65">
        <f t="shared" si="3"/>
        <v>7.5792293436423064</v>
      </c>
    </row>
    <row r="66" spans="1:9" x14ac:dyDescent="0.25">
      <c r="A66">
        <v>1000</v>
      </c>
      <c r="B66">
        <v>1955.9997559999999</v>
      </c>
      <c r="C66">
        <v>-13.592993</v>
      </c>
      <c r="D66" t="s">
        <v>71</v>
      </c>
      <c r="E66">
        <f t="shared" ref="E66:E119" si="4">B66-$P$3</f>
        <v>477.99975599999993</v>
      </c>
      <c r="F66" t="e">
        <f t="shared" si="1"/>
        <v>#VALUE!</v>
      </c>
      <c r="G66">
        <v>640</v>
      </c>
      <c r="H66" t="e">
        <f t="shared" si="2"/>
        <v>#VALUE!</v>
      </c>
      <c r="I66">
        <f t="shared" si="3"/>
        <v>7.5786567258503785</v>
      </c>
    </row>
    <row r="67" spans="1:9" x14ac:dyDescent="0.25">
      <c r="A67">
        <v>1000</v>
      </c>
      <c r="B67">
        <v>1955.255249</v>
      </c>
      <c r="C67">
        <v>-13.553570000000001</v>
      </c>
      <c r="D67" t="s">
        <v>72</v>
      </c>
      <c r="E67">
        <f t="shared" si="4"/>
        <v>477.25524900000005</v>
      </c>
      <c r="F67" t="e">
        <f t="shared" ref="F67:F119" si="5">E67-$R$3</f>
        <v>#VALUE!</v>
      </c>
      <c r="G67">
        <v>650</v>
      </c>
      <c r="H67" t="e">
        <f t="shared" ref="H67:H119" si="6">LN(F67)</f>
        <v>#VALUE!</v>
      </c>
      <c r="I67">
        <f t="shared" ref="I67:I119" si="7">LN(B67)</f>
        <v>7.5782760260453079</v>
      </c>
    </row>
    <row r="68" spans="1:9" x14ac:dyDescent="0.25">
      <c r="A68">
        <v>1000</v>
      </c>
      <c r="B68">
        <v>1953.1007079999999</v>
      </c>
      <c r="C68">
        <v>-13.486005</v>
      </c>
      <c r="D68" t="s">
        <v>73</v>
      </c>
      <c r="E68">
        <f t="shared" si="4"/>
        <v>475.10070799999994</v>
      </c>
      <c r="F68" t="e">
        <f t="shared" si="5"/>
        <v>#VALUE!</v>
      </c>
      <c r="G68">
        <v>660</v>
      </c>
      <c r="H68" t="e">
        <f t="shared" si="6"/>
        <v>#VALUE!</v>
      </c>
      <c r="I68">
        <f t="shared" si="7"/>
        <v>7.5771734953434198</v>
      </c>
    </row>
    <row r="69" spans="1:9" x14ac:dyDescent="0.25">
      <c r="A69">
        <v>1000</v>
      </c>
      <c r="B69">
        <v>1951.0816649999999</v>
      </c>
      <c r="C69">
        <v>-13.392226000000001</v>
      </c>
      <c r="D69" t="s">
        <v>74</v>
      </c>
      <c r="E69">
        <f t="shared" si="4"/>
        <v>473.08166499999993</v>
      </c>
      <c r="F69" t="e">
        <f t="shared" si="5"/>
        <v>#VALUE!</v>
      </c>
      <c r="G69">
        <v>670</v>
      </c>
      <c r="H69" t="e">
        <f t="shared" si="6"/>
        <v>#VALUE!</v>
      </c>
      <c r="I69">
        <f t="shared" si="7"/>
        <v>7.5761391977686161</v>
      </c>
    </row>
    <row r="70" spans="1:9" x14ac:dyDescent="0.25">
      <c r="A70">
        <v>1000</v>
      </c>
      <c r="B70">
        <v>1950.7246090000001</v>
      </c>
      <c r="C70">
        <v>-13.3691</v>
      </c>
      <c r="D70" t="s">
        <v>75</v>
      </c>
      <c r="E70">
        <f t="shared" si="4"/>
        <v>472.7246090000001</v>
      </c>
      <c r="F70" t="e">
        <f t="shared" si="5"/>
        <v>#VALUE!</v>
      </c>
      <c r="G70">
        <v>680</v>
      </c>
      <c r="H70" t="e">
        <f t="shared" si="6"/>
        <v>#VALUE!</v>
      </c>
      <c r="I70">
        <f t="shared" si="7"/>
        <v>7.5759561768926815</v>
      </c>
    </row>
    <row r="71" spans="1:9" x14ac:dyDescent="0.25">
      <c r="A71">
        <v>1000</v>
      </c>
      <c r="B71">
        <v>1949.79126</v>
      </c>
      <c r="C71">
        <v>-13.325059</v>
      </c>
      <c r="D71" t="s">
        <v>76</v>
      </c>
      <c r="E71">
        <f t="shared" si="4"/>
        <v>471.79125999999997</v>
      </c>
      <c r="F71" t="e">
        <f t="shared" si="5"/>
        <v>#VALUE!</v>
      </c>
      <c r="G71">
        <v>690</v>
      </c>
      <c r="H71" t="e">
        <f t="shared" si="6"/>
        <v>#VALUE!</v>
      </c>
      <c r="I71">
        <f t="shared" si="7"/>
        <v>7.5754775996740982</v>
      </c>
    </row>
    <row r="72" spans="1:9" x14ac:dyDescent="0.25">
      <c r="A72">
        <v>1000</v>
      </c>
      <c r="B72">
        <v>1949.737183</v>
      </c>
      <c r="C72">
        <v>-13.349866</v>
      </c>
      <c r="D72" t="s">
        <v>77</v>
      </c>
      <c r="E72">
        <f t="shared" si="4"/>
        <v>471.73718299999996</v>
      </c>
      <c r="F72" t="e">
        <f t="shared" si="5"/>
        <v>#VALUE!</v>
      </c>
      <c r="G72">
        <v>700</v>
      </c>
      <c r="H72" t="e">
        <f t="shared" si="6"/>
        <v>#VALUE!</v>
      </c>
      <c r="I72">
        <f t="shared" si="7"/>
        <v>7.5754498645257105</v>
      </c>
    </row>
    <row r="73" spans="1:9" x14ac:dyDescent="0.25">
      <c r="A73">
        <v>1000</v>
      </c>
      <c r="B73">
        <v>1949.5356449999999</v>
      </c>
      <c r="C73">
        <v>-13.402772000000001</v>
      </c>
      <c r="D73" t="s">
        <v>78</v>
      </c>
      <c r="E73">
        <f t="shared" si="4"/>
        <v>471.53564499999993</v>
      </c>
      <c r="F73" t="e">
        <f t="shared" si="5"/>
        <v>#VALUE!</v>
      </c>
      <c r="G73">
        <v>710</v>
      </c>
      <c r="H73" t="e">
        <f t="shared" si="6"/>
        <v>#VALUE!</v>
      </c>
      <c r="I73">
        <f t="shared" si="7"/>
        <v>7.5753464924309277</v>
      </c>
    </row>
    <row r="74" spans="1:9" x14ac:dyDescent="0.25">
      <c r="A74">
        <v>1000</v>
      </c>
      <c r="B74">
        <v>1946.4693600000001</v>
      </c>
      <c r="C74">
        <v>-13.241444</v>
      </c>
      <c r="D74" t="s">
        <v>79</v>
      </c>
      <c r="E74">
        <f t="shared" si="4"/>
        <v>468.46936000000005</v>
      </c>
      <c r="F74" t="e">
        <f t="shared" si="5"/>
        <v>#VALUE!</v>
      </c>
      <c r="G74">
        <v>720</v>
      </c>
      <c r="H74" t="e">
        <f t="shared" si="6"/>
        <v>#VALUE!</v>
      </c>
      <c r="I74">
        <f t="shared" si="7"/>
        <v>7.573772425852896</v>
      </c>
    </row>
    <row r="75" spans="1:9" x14ac:dyDescent="0.25">
      <c r="A75">
        <v>1000</v>
      </c>
      <c r="B75">
        <v>1944.355591</v>
      </c>
      <c r="C75">
        <v>-13.104416000000001</v>
      </c>
      <c r="D75" t="s">
        <v>80</v>
      </c>
      <c r="E75">
        <f t="shared" si="4"/>
        <v>466.355591</v>
      </c>
      <c r="F75" t="e">
        <f t="shared" si="5"/>
        <v>#VALUE!</v>
      </c>
      <c r="G75">
        <v>730</v>
      </c>
      <c r="H75" t="e">
        <f t="shared" si="6"/>
        <v>#VALUE!</v>
      </c>
      <c r="I75">
        <f t="shared" si="7"/>
        <v>7.5726858854741463</v>
      </c>
    </row>
    <row r="76" spans="1:9" x14ac:dyDescent="0.25">
      <c r="A76">
        <v>1000</v>
      </c>
      <c r="B76">
        <v>1943.0654300000001</v>
      </c>
      <c r="C76">
        <v>-13.012480999999999</v>
      </c>
      <c r="D76" t="s">
        <v>81</v>
      </c>
      <c r="E76">
        <f t="shared" si="4"/>
        <v>465.06543000000011</v>
      </c>
      <c r="F76" t="e">
        <f t="shared" si="5"/>
        <v>#VALUE!</v>
      </c>
      <c r="G76">
        <v>740</v>
      </c>
      <c r="H76" t="e">
        <f t="shared" si="6"/>
        <v>#VALUE!</v>
      </c>
      <c r="I76">
        <f t="shared" si="7"/>
        <v>7.5720221235402585</v>
      </c>
    </row>
    <row r="77" spans="1:9" x14ac:dyDescent="0.25">
      <c r="A77">
        <v>1000</v>
      </c>
      <c r="B77">
        <v>1940.7486570000001</v>
      </c>
      <c r="C77">
        <v>-12.940082</v>
      </c>
      <c r="D77" t="s">
        <v>82</v>
      </c>
      <c r="E77">
        <f t="shared" si="4"/>
        <v>462.74865700000009</v>
      </c>
      <c r="F77" t="e">
        <f t="shared" si="5"/>
        <v>#VALUE!</v>
      </c>
      <c r="G77">
        <v>750</v>
      </c>
      <c r="H77" t="e">
        <f t="shared" si="6"/>
        <v>#VALUE!</v>
      </c>
      <c r="I77">
        <f t="shared" si="7"/>
        <v>7.5708290832850347</v>
      </c>
    </row>
    <row r="78" spans="1:9" x14ac:dyDescent="0.25">
      <c r="A78">
        <v>1000</v>
      </c>
      <c r="B78">
        <v>1939.4841309999999</v>
      </c>
      <c r="C78">
        <v>-12.875754000000001</v>
      </c>
      <c r="D78" t="s">
        <v>83</v>
      </c>
      <c r="E78">
        <f t="shared" si="4"/>
        <v>461.48413099999993</v>
      </c>
      <c r="F78" t="e">
        <f t="shared" si="5"/>
        <v>#VALUE!</v>
      </c>
      <c r="G78">
        <v>760</v>
      </c>
      <c r="H78" t="e">
        <f t="shared" si="6"/>
        <v>#VALUE!</v>
      </c>
      <c r="I78">
        <f t="shared" si="7"/>
        <v>7.5701773048408771</v>
      </c>
    </row>
    <row r="79" spans="1:9" x14ac:dyDescent="0.25">
      <c r="A79">
        <v>1000</v>
      </c>
      <c r="B79">
        <v>1938.826294</v>
      </c>
      <c r="C79">
        <v>-12.861383999999999</v>
      </c>
      <c r="D79" t="s">
        <v>84</v>
      </c>
      <c r="E79">
        <f t="shared" si="4"/>
        <v>460.82629399999996</v>
      </c>
      <c r="F79" t="e">
        <f t="shared" si="5"/>
        <v>#VALUE!</v>
      </c>
      <c r="G79">
        <v>770</v>
      </c>
      <c r="H79" t="e">
        <f t="shared" si="6"/>
        <v>#VALUE!</v>
      </c>
      <c r="I79">
        <f t="shared" si="7"/>
        <v>7.5698380658763691</v>
      </c>
    </row>
    <row r="80" spans="1:9" x14ac:dyDescent="0.25">
      <c r="A80">
        <v>1000</v>
      </c>
      <c r="B80">
        <v>1938.9852289999999</v>
      </c>
      <c r="C80">
        <v>-12.862216999999999</v>
      </c>
      <c r="D80" t="s">
        <v>85</v>
      </c>
      <c r="E80">
        <f t="shared" si="4"/>
        <v>460.98522899999989</v>
      </c>
      <c r="F80" t="e">
        <f t="shared" si="5"/>
        <v>#VALUE!</v>
      </c>
      <c r="G80">
        <v>780</v>
      </c>
      <c r="H80" t="e">
        <f t="shared" si="6"/>
        <v>#VALUE!</v>
      </c>
      <c r="I80">
        <f t="shared" si="7"/>
        <v>7.5699200373693865</v>
      </c>
    </row>
    <row r="81" spans="1:9" x14ac:dyDescent="0.25">
      <c r="A81">
        <v>1000</v>
      </c>
      <c r="B81">
        <v>1939.6585689999999</v>
      </c>
      <c r="C81">
        <v>-12.969056</v>
      </c>
      <c r="D81" t="s">
        <v>86</v>
      </c>
      <c r="E81">
        <f t="shared" si="4"/>
        <v>461.65856899999994</v>
      </c>
      <c r="F81" t="e">
        <f t="shared" si="5"/>
        <v>#VALUE!</v>
      </c>
      <c r="G81">
        <v>790</v>
      </c>
      <c r="H81" t="e">
        <f t="shared" si="6"/>
        <v>#VALUE!</v>
      </c>
      <c r="I81">
        <f t="shared" si="7"/>
        <v>7.5702672412075485</v>
      </c>
    </row>
    <row r="82" spans="1:9" x14ac:dyDescent="0.25">
      <c r="A82">
        <v>1000</v>
      </c>
      <c r="B82">
        <v>1941.2757570000001</v>
      </c>
      <c r="C82">
        <v>-13.12391</v>
      </c>
      <c r="D82" t="s">
        <v>87</v>
      </c>
      <c r="E82">
        <f t="shared" si="4"/>
        <v>463.27575700000011</v>
      </c>
      <c r="F82" t="e">
        <f t="shared" si="5"/>
        <v>#VALUE!</v>
      </c>
      <c r="G82">
        <v>800</v>
      </c>
      <c r="H82" t="e">
        <f t="shared" si="6"/>
        <v>#VALUE!</v>
      </c>
      <c r="I82">
        <f t="shared" si="7"/>
        <v>7.5711006426298644</v>
      </c>
    </row>
    <row r="83" spans="1:9" x14ac:dyDescent="0.25">
      <c r="A83">
        <v>1000</v>
      </c>
      <c r="B83">
        <v>1941.2314449999999</v>
      </c>
      <c r="C83">
        <v>-13.165532000000001</v>
      </c>
      <c r="D83" t="s">
        <v>88</v>
      </c>
      <c r="E83">
        <f t="shared" si="4"/>
        <v>463.23144499999989</v>
      </c>
      <c r="F83" t="e">
        <f t="shared" si="5"/>
        <v>#VALUE!</v>
      </c>
      <c r="G83">
        <v>810</v>
      </c>
      <c r="H83" t="e">
        <f t="shared" si="6"/>
        <v>#VALUE!</v>
      </c>
      <c r="I83">
        <f t="shared" si="7"/>
        <v>7.5710778161429086</v>
      </c>
    </row>
    <row r="84" spans="1:9" x14ac:dyDescent="0.25">
      <c r="A84">
        <v>1000</v>
      </c>
      <c r="B84">
        <v>1940.9470209999999</v>
      </c>
      <c r="C84">
        <v>-13.148811</v>
      </c>
      <c r="D84" t="s">
        <v>89</v>
      </c>
      <c r="E84">
        <f t="shared" si="4"/>
        <v>462.94702099999995</v>
      </c>
      <c r="F84" t="e">
        <f t="shared" si="5"/>
        <v>#VALUE!</v>
      </c>
      <c r="G84">
        <v>820</v>
      </c>
      <c r="H84" t="e">
        <f t="shared" si="6"/>
        <v>#VALUE!</v>
      </c>
      <c r="I84">
        <f t="shared" si="7"/>
        <v>7.5709312881030462</v>
      </c>
    </row>
    <row r="85" spans="1:9" x14ac:dyDescent="0.25">
      <c r="A85">
        <v>1000</v>
      </c>
      <c r="B85">
        <v>1938.5992429999999</v>
      </c>
      <c r="C85">
        <v>-13.042712</v>
      </c>
      <c r="D85" t="s">
        <v>90</v>
      </c>
      <c r="E85">
        <f t="shared" si="4"/>
        <v>460.59924299999989</v>
      </c>
      <c r="F85" t="e">
        <f t="shared" si="5"/>
        <v>#VALUE!</v>
      </c>
      <c r="G85">
        <v>830</v>
      </c>
      <c r="H85" t="e">
        <f t="shared" si="6"/>
        <v>#VALUE!</v>
      </c>
      <c r="I85">
        <f t="shared" si="7"/>
        <v>7.5697209515704502</v>
      </c>
    </row>
    <row r="86" spans="1:9" x14ac:dyDescent="0.25">
      <c r="A86">
        <v>1000</v>
      </c>
      <c r="B86">
        <v>1935.341064</v>
      </c>
      <c r="C86">
        <v>-12.881669</v>
      </c>
      <c r="D86" t="s">
        <v>91</v>
      </c>
      <c r="E86">
        <f t="shared" si="4"/>
        <v>457.34106399999996</v>
      </c>
      <c r="F86" t="e">
        <f t="shared" si="5"/>
        <v>#VALUE!</v>
      </c>
      <c r="G86">
        <v>840</v>
      </c>
      <c r="H86" t="e">
        <f t="shared" si="6"/>
        <v>#VALUE!</v>
      </c>
      <c r="I86">
        <f t="shared" si="7"/>
        <v>7.568038850396948</v>
      </c>
    </row>
    <row r="87" spans="1:9" x14ac:dyDescent="0.25">
      <c r="A87">
        <v>1000</v>
      </c>
      <c r="B87">
        <v>1933.804443</v>
      </c>
      <c r="C87">
        <v>-12.745694</v>
      </c>
      <c r="D87" t="s">
        <v>92</v>
      </c>
      <c r="E87">
        <f t="shared" si="4"/>
        <v>455.80444299999999</v>
      </c>
      <c r="F87" t="e">
        <f t="shared" si="5"/>
        <v>#VALUE!</v>
      </c>
      <c r="G87">
        <v>850</v>
      </c>
      <c r="H87" t="e">
        <f t="shared" si="6"/>
        <v>#VALUE!</v>
      </c>
      <c r="I87">
        <f t="shared" si="7"/>
        <v>7.5672445555956749</v>
      </c>
    </row>
    <row r="88" spans="1:9" x14ac:dyDescent="0.25">
      <c r="A88">
        <v>1000</v>
      </c>
      <c r="B88">
        <v>1931.30249</v>
      </c>
      <c r="C88">
        <v>-12.631999</v>
      </c>
      <c r="D88" t="s">
        <v>93</v>
      </c>
      <c r="E88">
        <f t="shared" si="4"/>
        <v>453.30249000000003</v>
      </c>
      <c r="F88" t="e">
        <f t="shared" si="5"/>
        <v>#VALUE!</v>
      </c>
      <c r="G88">
        <v>860</v>
      </c>
      <c r="H88" t="e">
        <f t="shared" si="6"/>
        <v>#VALUE!</v>
      </c>
      <c r="I88">
        <f t="shared" si="7"/>
        <v>7.5659499195647317</v>
      </c>
    </row>
    <row r="89" spans="1:9" x14ac:dyDescent="0.25">
      <c r="A89">
        <v>1000</v>
      </c>
      <c r="B89">
        <v>1929.2144780000001</v>
      </c>
      <c r="C89">
        <v>-12.517702</v>
      </c>
      <c r="D89" t="s">
        <v>94</v>
      </c>
      <c r="E89">
        <f t="shared" si="4"/>
        <v>451.2144780000001</v>
      </c>
      <c r="F89" t="e">
        <f t="shared" si="5"/>
        <v>#VALUE!</v>
      </c>
      <c r="G89">
        <v>870</v>
      </c>
      <c r="H89" t="e">
        <f t="shared" si="6"/>
        <v>#VALUE!</v>
      </c>
      <c r="I89">
        <f t="shared" si="7"/>
        <v>7.5648681928318036</v>
      </c>
    </row>
    <row r="90" spans="1:9" x14ac:dyDescent="0.25">
      <c r="A90">
        <v>1000</v>
      </c>
      <c r="B90">
        <v>1928.078857</v>
      </c>
      <c r="C90">
        <v>-12.429812</v>
      </c>
      <c r="D90" t="s">
        <v>95</v>
      </c>
      <c r="E90">
        <f t="shared" si="4"/>
        <v>450.07885699999997</v>
      </c>
      <c r="F90" t="e">
        <f t="shared" si="5"/>
        <v>#VALUE!</v>
      </c>
      <c r="G90">
        <v>880</v>
      </c>
      <c r="H90" t="e">
        <f t="shared" si="6"/>
        <v>#VALUE!</v>
      </c>
      <c r="I90">
        <f t="shared" si="7"/>
        <v>7.5642793752676809</v>
      </c>
    </row>
    <row r="91" spans="1:9" x14ac:dyDescent="0.25">
      <c r="A91">
        <v>1000</v>
      </c>
      <c r="B91">
        <v>1926.5550539999999</v>
      </c>
      <c r="C91">
        <v>-12.382028</v>
      </c>
      <c r="D91" t="s">
        <v>96</v>
      </c>
      <c r="E91">
        <f t="shared" si="4"/>
        <v>448.55505399999993</v>
      </c>
      <c r="F91" t="e">
        <f t="shared" si="5"/>
        <v>#VALUE!</v>
      </c>
      <c r="G91">
        <v>890</v>
      </c>
      <c r="H91" t="e">
        <f t="shared" si="6"/>
        <v>#VALUE!</v>
      </c>
      <c r="I91">
        <f t="shared" si="7"/>
        <v>7.5634887408704534</v>
      </c>
    </row>
    <row r="92" spans="1:9" x14ac:dyDescent="0.25">
      <c r="A92">
        <v>1000</v>
      </c>
      <c r="B92">
        <v>1925.4073490000001</v>
      </c>
      <c r="C92">
        <v>-12.324312000000001</v>
      </c>
      <c r="D92" t="s">
        <v>97</v>
      </c>
      <c r="E92">
        <f t="shared" si="4"/>
        <v>447.40734900000007</v>
      </c>
      <c r="F92" t="e">
        <f t="shared" si="5"/>
        <v>#VALUE!</v>
      </c>
      <c r="G92">
        <v>900</v>
      </c>
      <c r="H92" t="e">
        <f t="shared" si="6"/>
        <v>#VALUE!</v>
      </c>
      <c r="I92">
        <f t="shared" si="7"/>
        <v>7.5628928342058037</v>
      </c>
    </row>
    <row r="93" spans="1:9" x14ac:dyDescent="0.25">
      <c r="A93">
        <v>1000</v>
      </c>
      <c r="B93">
        <v>1923.7692870000001</v>
      </c>
      <c r="C93">
        <v>-12.253278999999999</v>
      </c>
      <c r="D93" t="s">
        <v>98</v>
      </c>
      <c r="E93">
        <f t="shared" si="4"/>
        <v>445.76928700000008</v>
      </c>
      <c r="F93" t="e">
        <f t="shared" si="5"/>
        <v>#VALUE!</v>
      </c>
      <c r="G93">
        <v>910</v>
      </c>
      <c r="H93" t="e">
        <f t="shared" si="6"/>
        <v>#VALUE!</v>
      </c>
      <c r="I93">
        <f t="shared" si="7"/>
        <v>7.5620417108338263</v>
      </c>
    </row>
    <row r="94" spans="1:9" x14ac:dyDescent="0.25">
      <c r="A94">
        <v>1000</v>
      </c>
      <c r="B94">
        <v>1923.030029</v>
      </c>
      <c r="C94">
        <v>-12.201779</v>
      </c>
      <c r="D94" t="s">
        <v>99</v>
      </c>
      <c r="E94">
        <f t="shared" si="4"/>
        <v>445.03002900000001</v>
      </c>
      <c r="F94" t="e">
        <f t="shared" si="5"/>
        <v>#VALUE!</v>
      </c>
      <c r="G94">
        <v>920</v>
      </c>
      <c r="H94" t="e">
        <f t="shared" si="6"/>
        <v>#VALUE!</v>
      </c>
      <c r="I94">
        <f t="shared" si="7"/>
        <v>7.5616573611714841</v>
      </c>
    </row>
    <row r="95" spans="1:9" x14ac:dyDescent="0.25">
      <c r="A95">
        <v>1000</v>
      </c>
      <c r="B95">
        <v>1922.669312</v>
      </c>
      <c r="C95">
        <v>-12.190918999999999</v>
      </c>
      <c r="D95" t="s">
        <v>100</v>
      </c>
      <c r="E95">
        <f t="shared" si="4"/>
        <v>444.66931199999999</v>
      </c>
      <c r="F95" t="e">
        <f t="shared" si="5"/>
        <v>#VALUE!</v>
      </c>
      <c r="G95">
        <v>930</v>
      </c>
      <c r="H95" t="e">
        <f t="shared" si="6"/>
        <v>#VALUE!</v>
      </c>
      <c r="I95">
        <f t="shared" si="7"/>
        <v>7.5614697661625803</v>
      </c>
    </row>
    <row r="96" spans="1:9" x14ac:dyDescent="0.25">
      <c r="A96">
        <v>1000</v>
      </c>
      <c r="B96">
        <v>1922.0516359999999</v>
      </c>
      <c r="C96">
        <v>-12.179525999999999</v>
      </c>
      <c r="D96" t="s">
        <v>101</v>
      </c>
      <c r="E96">
        <f t="shared" si="4"/>
        <v>444.05163599999992</v>
      </c>
      <c r="F96" t="e">
        <f t="shared" si="5"/>
        <v>#VALUE!</v>
      </c>
      <c r="G96">
        <v>940</v>
      </c>
      <c r="H96" t="e">
        <f t="shared" si="6"/>
        <v>#VALUE!</v>
      </c>
      <c r="I96">
        <f t="shared" si="7"/>
        <v>7.5611484549341883</v>
      </c>
    </row>
    <row r="97" spans="1:9" x14ac:dyDescent="0.25">
      <c r="A97">
        <v>1000</v>
      </c>
      <c r="B97">
        <v>1920.5870359999999</v>
      </c>
      <c r="C97">
        <v>-12.086636</v>
      </c>
      <c r="D97" t="s">
        <v>102</v>
      </c>
      <c r="E97">
        <f t="shared" si="4"/>
        <v>442.5870359999999</v>
      </c>
      <c r="F97" t="e">
        <f t="shared" si="5"/>
        <v>#VALUE!</v>
      </c>
      <c r="G97">
        <v>950</v>
      </c>
      <c r="H97" t="e">
        <f t="shared" si="6"/>
        <v>#VALUE!</v>
      </c>
      <c r="I97">
        <f t="shared" si="7"/>
        <v>7.5603861662071248</v>
      </c>
    </row>
    <row r="98" spans="1:9" x14ac:dyDescent="0.25">
      <c r="A98">
        <v>1000</v>
      </c>
      <c r="B98">
        <v>1919.667236</v>
      </c>
      <c r="C98">
        <v>-12.049015000000001</v>
      </c>
      <c r="D98" t="s">
        <v>103</v>
      </c>
      <c r="E98">
        <f t="shared" si="4"/>
        <v>441.667236</v>
      </c>
      <c r="F98" t="e">
        <f t="shared" si="5"/>
        <v>#VALUE!</v>
      </c>
      <c r="G98">
        <v>960</v>
      </c>
      <c r="H98" t="e">
        <f t="shared" si="6"/>
        <v>#VALUE!</v>
      </c>
      <c r="I98">
        <f t="shared" si="7"/>
        <v>7.5599071354177863</v>
      </c>
    </row>
    <row r="99" spans="1:9" x14ac:dyDescent="0.25">
      <c r="A99">
        <v>1000</v>
      </c>
      <c r="B99">
        <v>1918.161499</v>
      </c>
      <c r="C99">
        <v>-11.982707</v>
      </c>
      <c r="D99" t="s">
        <v>104</v>
      </c>
      <c r="E99">
        <f t="shared" si="4"/>
        <v>440.16149900000005</v>
      </c>
      <c r="F99" t="e">
        <f t="shared" si="5"/>
        <v>#VALUE!</v>
      </c>
      <c r="G99">
        <v>970</v>
      </c>
      <c r="H99" t="e">
        <f t="shared" si="6"/>
        <v>#VALUE!</v>
      </c>
      <c r="I99">
        <f t="shared" si="7"/>
        <v>7.5591224536712929</v>
      </c>
    </row>
    <row r="100" spans="1:9" x14ac:dyDescent="0.25">
      <c r="A100">
        <v>1000</v>
      </c>
      <c r="B100">
        <v>1917.2917480000001</v>
      </c>
      <c r="C100">
        <v>-11.953666</v>
      </c>
      <c r="D100" t="s">
        <v>105</v>
      </c>
      <c r="E100">
        <f t="shared" si="4"/>
        <v>439.2917480000001</v>
      </c>
      <c r="F100" t="e">
        <f t="shared" si="5"/>
        <v>#VALUE!</v>
      </c>
      <c r="G100">
        <v>980</v>
      </c>
      <c r="H100" t="e">
        <f t="shared" si="6"/>
        <v>#VALUE!</v>
      </c>
      <c r="I100">
        <f t="shared" si="7"/>
        <v>7.5586689213459604</v>
      </c>
    </row>
    <row r="101" spans="1:9" x14ac:dyDescent="0.25">
      <c r="A101">
        <v>1000</v>
      </c>
      <c r="B101">
        <v>1916.7416989999999</v>
      </c>
      <c r="C101">
        <v>-11.908804999999999</v>
      </c>
      <c r="D101" t="s">
        <v>106</v>
      </c>
      <c r="E101">
        <f t="shared" si="4"/>
        <v>438.74169899999993</v>
      </c>
      <c r="F101" t="e">
        <f t="shared" si="5"/>
        <v>#VALUE!</v>
      </c>
      <c r="G101">
        <v>990</v>
      </c>
      <c r="H101" t="e">
        <f t="shared" si="6"/>
        <v>#VALUE!</v>
      </c>
      <c r="I101">
        <f t="shared" si="7"/>
        <v>7.5583819916613981</v>
      </c>
    </row>
    <row r="102" spans="1:9" x14ac:dyDescent="0.25">
      <c r="A102">
        <v>1000</v>
      </c>
      <c r="B102">
        <v>1915.477173</v>
      </c>
      <c r="C102">
        <v>-11.870461000000001</v>
      </c>
      <c r="D102" t="s">
        <v>107</v>
      </c>
      <c r="E102">
        <f t="shared" si="4"/>
        <v>437.47717299999999</v>
      </c>
      <c r="F102" t="e">
        <f t="shared" si="5"/>
        <v>#VALUE!</v>
      </c>
      <c r="G102">
        <v>1000</v>
      </c>
      <c r="H102" t="e">
        <f t="shared" si="6"/>
        <v>#VALUE!</v>
      </c>
      <c r="I102">
        <f t="shared" si="7"/>
        <v>7.5577220470767434</v>
      </c>
    </row>
    <row r="103" spans="1:9" x14ac:dyDescent="0.25">
      <c r="A103">
        <v>1000</v>
      </c>
      <c r="B103">
        <v>1913.911255</v>
      </c>
      <c r="C103">
        <v>-11.790547</v>
      </c>
      <c r="D103" t="s">
        <v>108</v>
      </c>
      <c r="E103">
        <f t="shared" si="4"/>
        <v>435.91125499999998</v>
      </c>
      <c r="F103" t="e">
        <f t="shared" si="5"/>
        <v>#VALUE!</v>
      </c>
      <c r="G103">
        <v>1010</v>
      </c>
      <c r="H103" t="e">
        <f t="shared" si="6"/>
        <v>#VALUE!</v>
      </c>
      <c r="I103">
        <f t="shared" si="7"/>
        <v>7.5569042046892578</v>
      </c>
    </row>
    <row r="104" spans="1:9" x14ac:dyDescent="0.25">
      <c r="A104">
        <v>1000</v>
      </c>
      <c r="B104">
        <v>1911.9376219999999</v>
      </c>
      <c r="C104">
        <v>-11.711849000000001</v>
      </c>
      <c r="D104" t="s">
        <v>109</v>
      </c>
      <c r="E104">
        <f t="shared" si="4"/>
        <v>433.93762199999992</v>
      </c>
      <c r="F104" t="e">
        <f t="shared" si="5"/>
        <v>#VALUE!</v>
      </c>
      <c r="G104">
        <v>1020</v>
      </c>
      <c r="H104" t="e">
        <f t="shared" si="6"/>
        <v>#VALUE!</v>
      </c>
      <c r="I104">
        <f t="shared" si="7"/>
        <v>7.5558724686021694</v>
      </c>
    </row>
    <row r="105" spans="1:9" x14ac:dyDescent="0.25">
      <c r="A105">
        <v>1000</v>
      </c>
      <c r="B105">
        <v>1913.421875</v>
      </c>
      <c r="C105">
        <v>-11.799194</v>
      </c>
      <c r="D105" t="s">
        <v>110</v>
      </c>
      <c r="E105">
        <f t="shared" si="4"/>
        <v>435.421875</v>
      </c>
      <c r="F105" t="e">
        <f t="shared" si="5"/>
        <v>#VALUE!</v>
      </c>
      <c r="G105">
        <v>1030</v>
      </c>
      <c r="H105" t="e">
        <f t="shared" si="6"/>
        <v>#VALUE!</v>
      </c>
      <c r="I105">
        <f t="shared" si="7"/>
        <v>7.556648475707199</v>
      </c>
    </row>
    <row r="106" spans="1:9" x14ac:dyDescent="0.25">
      <c r="A106">
        <v>1000</v>
      </c>
      <c r="B106">
        <v>1913.2620850000001</v>
      </c>
      <c r="C106">
        <v>-11.893451000000001</v>
      </c>
      <c r="D106" t="s">
        <v>111</v>
      </c>
      <c r="E106">
        <f t="shared" si="4"/>
        <v>435.26208500000007</v>
      </c>
      <c r="F106" t="e">
        <f t="shared" si="5"/>
        <v>#VALUE!</v>
      </c>
      <c r="G106">
        <v>1040</v>
      </c>
      <c r="H106" t="e">
        <f t="shared" si="6"/>
        <v>#VALUE!</v>
      </c>
      <c r="I106">
        <f t="shared" si="7"/>
        <v>7.5565649621472799</v>
      </c>
    </row>
    <row r="107" spans="1:9" x14ac:dyDescent="0.25">
      <c r="A107">
        <v>1000</v>
      </c>
      <c r="B107">
        <v>1915.7231449999999</v>
      </c>
      <c r="C107">
        <v>-12.043523</v>
      </c>
      <c r="D107" t="s">
        <v>112</v>
      </c>
      <c r="E107">
        <f t="shared" si="4"/>
        <v>437.72314499999993</v>
      </c>
      <c r="F107" t="e">
        <f t="shared" si="5"/>
        <v>#VALUE!</v>
      </c>
      <c r="G107">
        <v>1050</v>
      </c>
      <c r="H107" t="e">
        <f t="shared" si="6"/>
        <v>#VALUE!</v>
      </c>
      <c r="I107">
        <f t="shared" si="7"/>
        <v>7.557850451743648</v>
      </c>
    </row>
    <row r="108" spans="1:9" x14ac:dyDescent="0.25">
      <c r="A108">
        <v>1000</v>
      </c>
      <c r="B108">
        <v>1915.684814</v>
      </c>
      <c r="C108">
        <v>-12.046215</v>
      </c>
      <c r="D108" t="s">
        <v>113</v>
      </c>
      <c r="E108">
        <f t="shared" si="4"/>
        <v>437.68481399999996</v>
      </c>
      <c r="F108" t="e">
        <f t="shared" si="5"/>
        <v>#VALUE!</v>
      </c>
      <c r="G108">
        <v>1060</v>
      </c>
      <c r="H108" t="e">
        <f t="shared" si="6"/>
        <v>#VALUE!</v>
      </c>
      <c r="I108">
        <f t="shared" si="7"/>
        <v>7.5578304429111709</v>
      </c>
    </row>
    <row r="109" spans="1:9" x14ac:dyDescent="0.25">
      <c r="A109">
        <v>1000</v>
      </c>
      <c r="B109">
        <v>1915.1636960000001</v>
      </c>
      <c r="C109">
        <v>-12.034863</v>
      </c>
      <c r="D109" t="s">
        <v>114</v>
      </c>
      <c r="E109">
        <f t="shared" si="4"/>
        <v>437.16369600000007</v>
      </c>
      <c r="F109" t="e">
        <f t="shared" si="5"/>
        <v>#VALUE!</v>
      </c>
      <c r="G109">
        <v>1070</v>
      </c>
      <c r="H109" t="e">
        <f t="shared" si="6"/>
        <v>#VALUE!</v>
      </c>
      <c r="I109">
        <f t="shared" si="7"/>
        <v>7.5575583789014065</v>
      </c>
    </row>
    <row r="110" spans="1:9" x14ac:dyDescent="0.25">
      <c r="A110">
        <v>1000</v>
      </c>
      <c r="B110">
        <v>1915.583374</v>
      </c>
      <c r="C110">
        <v>-12.001217</v>
      </c>
      <c r="D110" t="s">
        <v>115</v>
      </c>
      <c r="E110">
        <f t="shared" si="4"/>
        <v>437.58337400000005</v>
      </c>
      <c r="F110" t="e">
        <f t="shared" si="5"/>
        <v>#VALUE!</v>
      </c>
      <c r="G110">
        <v>1080</v>
      </c>
      <c r="H110" t="e">
        <f t="shared" si="6"/>
        <v>#VALUE!</v>
      </c>
      <c r="I110">
        <f t="shared" si="7"/>
        <v>7.5577774891658072</v>
      </c>
    </row>
    <row r="111" spans="1:9" x14ac:dyDescent="0.25">
      <c r="A111">
        <v>1000</v>
      </c>
      <c r="B111">
        <v>1911.3073730000001</v>
      </c>
      <c r="C111">
        <v>-11.785875000000001</v>
      </c>
      <c r="D111" t="s">
        <v>116</v>
      </c>
      <c r="E111">
        <f t="shared" si="4"/>
        <v>433.3073730000001</v>
      </c>
      <c r="F111" t="e">
        <f t="shared" si="5"/>
        <v>#VALUE!</v>
      </c>
      <c r="G111">
        <v>1090</v>
      </c>
      <c r="H111" t="e">
        <f t="shared" si="6"/>
        <v>#VALUE!</v>
      </c>
      <c r="I111">
        <f t="shared" si="7"/>
        <v>7.5555427753669555</v>
      </c>
    </row>
    <row r="112" spans="1:9" x14ac:dyDescent="0.25">
      <c r="A112">
        <v>1000</v>
      </c>
      <c r="B112">
        <v>1908.4488530000001</v>
      </c>
      <c r="C112">
        <v>-11.608003999999999</v>
      </c>
      <c r="D112" t="s">
        <v>117</v>
      </c>
      <c r="E112">
        <f t="shared" si="4"/>
        <v>430.4488530000001</v>
      </c>
      <c r="F112" t="e">
        <f t="shared" si="5"/>
        <v>#VALUE!</v>
      </c>
      <c r="G112">
        <v>1100</v>
      </c>
      <c r="H112" t="e">
        <f t="shared" si="6"/>
        <v>#VALUE!</v>
      </c>
      <c r="I112">
        <f t="shared" si="7"/>
        <v>7.5540460722453471</v>
      </c>
    </row>
    <row r="113" spans="1:9" x14ac:dyDescent="0.25">
      <c r="A113">
        <v>1000</v>
      </c>
      <c r="B113">
        <v>1907.005371</v>
      </c>
      <c r="C113">
        <v>-11.493584999999999</v>
      </c>
      <c r="D113" t="s">
        <v>118</v>
      </c>
      <c r="E113">
        <f t="shared" si="4"/>
        <v>429.00537099999997</v>
      </c>
      <c r="F113" t="e">
        <f t="shared" si="5"/>
        <v>#VALUE!</v>
      </c>
      <c r="G113">
        <v>1110</v>
      </c>
      <c r="H113" t="e">
        <f t="shared" si="6"/>
        <v>#VALUE!</v>
      </c>
      <c r="I113">
        <f t="shared" si="7"/>
        <v>7.5532894220621056</v>
      </c>
    </row>
    <row r="114" spans="1:9" x14ac:dyDescent="0.25">
      <c r="A114">
        <v>1000</v>
      </c>
      <c r="B114">
        <v>1906.190186</v>
      </c>
      <c r="C114">
        <v>-11.448942000000001</v>
      </c>
      <c r="D114" t="s">
        <v>119</v>
      </c>
      <c r="E114">
        <f t="shared" si="4"/>
        <v>428.19018600000004</v>
      </c>
      <c r="F114" t="e">
        <f t="shared" si="5"/>
        <v>#VALUE!</v>
      </c>
      <c r="G114">
        <v>1120</v>
      </c>
      <c r="H114" t="e">
        <f t="shared" si="6"/>
        <v>#VALUE!</v>
      </c>
      <c r="I114">
        <f t="shared" si="7"/>
        <v>7.5528618620273615</v>
      </c>
    </row>
    <row r="115" spans="1:9" x14ac:dyDescent="0.25">
      <c r="A115">
        <v>1000</v>
      </c>
      <c r="B115">
        <v>1905.2445070000001</v>
      </c>
      <c r="C115">
        <v>-11.401308</v>
      </c>
      <c r="D115" t="s">
        <v>120</v>
      </c>
      <c r="E115">
        <f t="shared" si="4"/>
        <v>427.24450700000011</v>
      </c>
      <c r="F115" t="e">
        <f t="shared" si="5"/>
        <v>#VALUE!</v>
      </c>
      <c r="G115">
        <v>1130</v>
      </c>
      <c r="H115" t="e">
        <f t="shared" si="6"/>
        <v>#VALUE!</v>
      </c>
      <c r="I115">
        <f t="shared" si="7"/>
        <v>7.5523656294558617</v>
      </c>
    </row>
    <row r="116" spans="1:9" x14ac:dyDescent="0.25">
      <c r="A116">
        <v>1000</v>
      </c>
      <c r="B116">
        <v>1905.4541019999999</v>
      </c>
      <c r="C116">
        <v>-11.362935999999999</v>
      </c>
      <c r="D116" t="s">
        <v>121</v>
      </c>
      <c r="E116">
        <f t="shared" si="4"/>
        <v>427.45410199999992</v>
      </c>
      <c r="F116" t="e">
        <f t="shared" si="5"/>
        <v>#VALUE!</v>
      </c>
      <c r="G116">
        <v>1140</v>
      </c>
      <c r="H116" t="e">
        <f t="shared" si="6"/>
        <v>#VALUE!</v>
      </c>
      <c r="I116">
        <f t="shared" si="7"/>
        <v>7.5524756329075728</v>
      </c>
    </row>
    <row r="117" spans="1:9" x14ac:dyDescent="0.25">
      <c r="A117">
        <v>1000</v>
      </c>
      <c r="B117">
        <v>1904.2607419999999</v>
      </c>
      <c r="C117">
        <v>-11.330261</v>
      </c>
      <c r="D117" t="s">
        <v>122</v>
      </c>
      <c r="E117">
        <f t="shared" si="4"/>
        <v>426.26074199999994</v>
      </c>
      <c r="F117" t="e">
        <f t="shared" si="5"/>
        <v>#VALUE!</v>
      </c>
      <c r="G117">
        <v>1150</v>
      </c>
      <c r="H117" t="e">
        <f t="shared" si="6"/>
        <v>#VALUE!</v>
      </c>
      <c r="I117">
        <f t="shared" si="7"/>
        <v>7.5518491503030232</v>
      </c>
    </row>
    <row r="118" spans="1:9" x14ac:dyDescent="0.25">
      <c r="A118">
        <v>1000</v>
      </c>
      <c r="B118">
        <v>1904.670654</v>
      </c>
      <c r="C118">
        <v>-11.319509999999999</v>
      </c>
      <c r="D118" t="s">
        <v>123</v>
      </c>
      <c r="E118">
        <f t="shared" si="4"/>
        <v>426.67065400000001</v>
      </c>
      <c r="F118" t="e">
        <f t="shared" si="5"/>
        <v>#VALUE!</v>
      </c>
      <c r="G118">
        <v>1160</v>
      </c>
      <c r="H118" t="e">
        <f t="shared" si="6"/>
        <v>#VALUE!</v>
      </c>
      <c r="I118">
        <f t="shared" si="7"/>
        <v>7.5520643875750899</v>
      </c>
    </row>
    <row r="119" spans="1:9" x14ac:dyDescent="0.25">
      <c r="A119">
        <v>1000</v>
      </c>
      <c r="B119">
        <v>1905.8676760000001</v>
      </c>
      <c r="C119">
        <v>-11.332350999999999</v>
      </c>
      <c r="D119" t="s">
        <v>124</v>
      </c>
      <c r="E119">
        <f t="shared" si="4"/>
        <v>427.86767600000007</v>
      </c>
      <c r="F119" t="e">
        <f t="shared" si="5"/>
        <v>#VALUE!</v>
      </c>
      <c r="G119">
        <v>1170</v>
      </c>
      <c r="H119" t="e">
        <f t="shared" si="6"/>
        <v>#VALUE!</v>
      </c>
      <c r="I119">
        <f t="shared" si="7"/>
        <v>7.552692656830355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topLeftCell="A28" zoomScale="70" zoomScaleNormal="70" workbookViewId="0">
      <selection activeCell="S40" sqref="S40:U43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606</v>
      </c>
      <c r="G1" t="s">
        <v>602</v>
      </c>
      <c r="H1" t="s">
        <v>608</v>
      </c>
      <c r="I1" t="s">
        <v>603</v>
      </c>
    </row>
    <row r="2" spans="1:18" x14ac:dyDescent="0.25">
      <c r="A2">
        <v>1000</v>
      </c>
      <c r="B2">
        <v>1956.8156739999999</v>
      </c>
      <c r="C2">
        <v>-11.351592999999999</v>
      </c>
      <c r="D2" t="s">
        <v>358</v>
      </c>
      <c r="E2">
        <f t="shared" ref="E2:E65" si="0">B2-$P$3</f>
        <v>472.81567399999994</v>
      </c>
      <c r="F2">
        <f>E2-$R$3</f>
        <v>159.33277399999997</v>
      </c>
      <c r="G2">
        <v>0</v>
      </c>
      <c r="H2">
        <f>LN(F2)</f>
        <v>5.0709949333569337</v>
      </c>
      <c r="I2">
        <f t="shared" ref="I2:I33" si="1">LN(B2)</f>
        <v>7.5790737749171813</v>
      </c>
      <c r="L2" s="1" t="s">
        <v>0</v>
      </c>
      <c r="M2" s="1" t="s">
        <v>6</v>
      </c>
      <c r="O2" s="2"/>
      <c r="P2" t="s">
        <v>604</v>
      </c>
      <c r="R2" t="s">
        <v>605</v>
      </c>
    </row>
    <row r="3" spans="1:18" x14ac:dyDescent="0.25">
      <c r="A3">
        <v>1000</v>
      </c>
      <c r="B3">
        <v>1918.7635499999999</v>
      </c>
      <c r="C3">
        <v>-10.750139000000001</v>
      </c>
      <c r="D3" t="s">
        <v>359</v>
      </c>
      <c r="E3">
        <f t="shared" si="0"/>
        <v>434.7635499999999</v>
      </c>
      <c r="F3">
        <f t="shared" ref="F3:F66" si="2">E3-$R$3</f>
        <v>121.28064999999992</v>
      </c>
      <c r="G3">
        <v>10</v>
      </c>
      <c r="H3">
        <f t="shared" ref="H3:H66" si="3">LN(F3)</f>
        <v>4.7981072813783792</v>
      </c>
      <c r="I3">
        <f t="shared" si="1"/>
        <v>7.5594362731998226</v>
      </c>
      <c r="K3" t="s">
        <v>2</v>
      </c>
      <c r="L3">
        <f>1/(0.00003)</f>
        <v>33333.333333333336</v>
      </c>
      <c r="M3">
        <f>1/(0.00004)</f>
        <v>24999.999999999996</v>
      </c>
      <c r="N3" s="3" t="s">
        <v>3</v>
      </c>
      <c r="O3" s="2"/>
      <c r="P3">
        <v>1484</v>
      </c>
      <c r="R3">
        <v>313.48289999999997</v>
      </c>
    </row>
    <row r="4" spans="1:18" x14ac:dyDescent="0.25">
      <c r="A4">
        <v>1000</v>
      </c>
      <c r="B4">
        <v>1898.6048579999999</v>
      </c>
      <c r="C4">
        <v>-10.275168000000001</v>
      </c>
      <c r="D4" t="s">
        <v>360</v>
      </c>
      <c r="E4">
        <f t="shared" si="0"/>
        <v>414.60485799999992</v>
      </c>
      <c r="F4">
        <f t="shared" si="2"/>
        <v>101.12195799999995</v>
      </c>
      <c r="G4">
        <v>20</v>
      </c>
      <c r="H4">
        <f t="shared" si="3"/>
        <v>4.6163272933439954</v>
      </c>
      <c r="I4">
        <f t="shared" si="1"/>
        <v>7.5488746101719082</v>
      </c>
      <c r="L4">
        <f>L3/60</f>
        <v>555.55555555555554</v>
      </c>
      <c r="M4">
        <f>M3/60</f>
        <v>416.66666666666663</v>
      </c>
      <c r="N4" s="3" t="s">
        <v>4</v>
      </c>
    </row>
    <row r="5" spans="1:18" x14ac:dyDescent="0.25">
      <c r="A5">
        <v>1000</v>
      </c>
      <c r="B5">
        <v>1884.780518</v>
      </c>
      <c r="C5">
        <v>-9.8772280000000006</v>
      </c>
      <c r="D5" t="s">
        <v>361</v>
      </c>
      <c r="E5">
        <f t="shared" si="0"/>
        <v>400.78051800000003</v>
      </c>
      <c r="F5">
        <f t="shared" si="2"/>
        <v>87.297618000000057</v>
      </c>
      <c r="G5">
        <v>30</v>
      </c>
      <c r="H5">
        <f t="shared" si="3"/>
        <v>4.4693231772499411</v>
      </c>
      <c r="I5">
        <f t="shared" si="1"/>
        <v>7.5415666570286346</v>
      </c>
      <c r="L5">
        <f>L4/60</f>
        <v>9.2592592592592595</v>
      </c>
      <c r="M5">
        <f>M4/60</f>
        <v>6.9444444444444438</v>
      </c>
      <c r="N5" s="3" t="s">
        <v>5</v>
      </c>
    </row>
    <row r="6" spans="1:18" x14ac:dyDescent="0.25">
      <c r="A6">
        <v>1000</v>
      </c>
      <c r="B6">
        <v>1875.857422</v>
      </c>
      <c r="C6">
        <v>-9.648021</v>
      </c>
      <c r="D6" t="s">
        <v>362</v>
      </c>
      <c r="E6">
        <f t="shared" si="0"/>
        <v>391.85742200000004</v>
      </c>
      <c r="F6">
        <f t="shared" si="2"/>
        <v>78.37452200000007</v>
      </c>
      <c r="G6">
        <v>40</v>
      </c>
      <c r="H6">
        <f t="shared" si="3"/>
        <v>4.3614989000509148</v>
      </c>
      <c r="I6">
        <f t="shared" si="1"/>
        <v>7.5368211256118443</v>
      </c>
    </row>
    <row r="7" spans="1:18" x14ac:dyDescent="0.25">
      <c r="A7">
        <v>1000</v>
      </c>
      <c r="B7">
        <v>1869.0836179999999</v>
      </c>
      <c r="C7">
        <v>-9.4544940000000004</v>
      </c>
      <c r="D7" t="s">
        <v>363</v>
      </c>
      <c r="E7">
        <f t="shared" si="0"/>
        <v>385.08361799999989</v>
      </c>
      <c r="F7">
        <f t="shared" si="2"/>
        <v>71.600717999999915</v>
      </c>
      <c r="G7">
        <v>50</v>
      </c>
      <c r="H7">
        <f t="shared" si="3"/>
        <v>4.2711051018492805</v>
      </c>
      <c r="I7">
        <f t="shared" si="1"/>
        <v>7.5332035458876359</v>
      </c>
    </row>
    <row r="8" spans="1:18" x14ac:dyDescent="0.25">
      <c r="A8">
        <v>1000</v>
      </c>
      <c r="B8">
        <v>1863.6259769999999</v>
      </c>
      <c r="C8">
        <v>-9.2936150000000008</v>
      </c>
      <c r="D8" t="s">
        <v>364</v>
      </c>
      <c r="E8">
        <f t="shared" si="0"/>
        <v>379.62597699999992</v>
      </c>
      <c r="F8">
        <f t="shared" si="2"/>
        <v>66.143076999999948</v>
      </c>
      <c r="G8">
        <v>60</v>
      </c>
      <c r="H8">
        <f t="shared" si="3"/>
        <v>4.1918202289994779</v>
      </c>
      <c r="I8">
        <f t="shared" si="1"/>
        <v>7.5302793189955244</v>
      </c>
    </row>
    <row r="9" spans="1:18" x14ac:dyDescent="0.25">
      <c r="A9">
        <v>1000</v>
      </c>
      <c r="B9">
        <v>1859.1188959999999</v>
      </c>
      <c r="C9">
        <v>-9.2294800000000006</v>
      </c>
      <c r="D9" t="s">
        <v>365</v>
      </c>
      <c r="E9">
        <f t="shared" si="0"/>
        <v>375.11889599999995</v>
      </c>
      <c r="F9">
        <f t="shared" si="2"/>
        <v>61.635995999999977</v>
      </c>
      <c r="G9">
        <v>70</v>
      </c>
      <c r="H9">
        <f t="shared" si="3"/>
        <v>4.1212460505224664</v>
      </c>
      <c r="I9">
        <f t="shared" si="1"/>
        <v>7.5278579426423953</v>
      </c>
    </row>
    <row r="10" spans="1:18" x14ac:dyDescent="0.25">
      <c r="A10">
        <v>1000</v>
      </c>
      <c r="B10">
        <v>1857.927856</v>
      </c>
      <c r="C10">
        <v>-9.0989409999999999</v>
      </c>
      <c r="D10" t="s">
        <v>366</v>
      </c>
      <c r="E10">
        <f t="shared" si="0"/>
        <v>373.92785600000002</v>
      </c>
      <c r="F10">
        <f t="shared" si="2"/>
        <v>60.444956000000047</v>
      </c>
      <c r="G10">
        <v>80</v>
      </c>
      <c r="H10">
        <f t="shared" si="3"/>
        <v>4.1017331327192048</v>
      </c>
      <c r="I10">
        <f t="shared" si="1"/>
        <v>7.5272170897717006</v>
      </c>
    </row>
    <row r="11" spans="1:18" x14ac:dyDescent="0.25">
      <c r="A11">
        <v>1000</v>
      </c>
      <c r="B11">
        <v>1854.711182</v>
      </c>
      <c r="C11">
        <v>-9.0125530000000005</v>
      </c>
      <c r="D11" t="s">
        <v>367</v>
      </c>
      <c r="E11">
        <f t="shared" si="0"/>
        <v>370.71118200000001</v>
      </c>
      <c r="F11">
        <f t="shared" si="2"/>
        <v>57.228282000000036</v>
      </c>
      <c r="G11">
        <v>90</v>
      </c>
      <c r="H11">
        <f t="shared" si="3"/>
        <v>4.0470482167497375</v>
      </c>
      <c r="I11">
        <f t="shared" si="1"/>
        <v>7.5254842658844536</v>
      </c>
    </row>
    <row r="12" spans="1:18" x14ac:dyDescent="0.25">
      <c r="A12">
        <v>1000</v>
      </c>
      <c r="B12">
        <v>1851.354004</v>
      </c>
      <c r="C12">
        <v>-8.8892140000000008</v>
      </c>
      <c r="D12" t="s">
        <v>368</v>
      </c>
      <c r="E12">
        <f t="shared" si="0"/>
        <v>367.35400400000003</v>
      </c>
      <c r="F12">
        <f t="shared" si="2"/>
        <v>53.871104000000059</v>
      </c>
      <c r="G12">
        <v>100</v>
      </c>
      <c r="H12">
        <f t="shared" si="3"/>
        <v>3.986594230263774</v>
      </c>
      <c r="I12">
        <f t="shared" si="1"/>
        <v>7.5236725444225838</v>
      </c>
    </row>
    <row r="13" spans="1:18" x14ac:dyDescent="0.25">
      <c r="A13">
        <v>1000</v>
      </c>
      <c r="B13">
        <v>1849.7242429999999</v>
      </c>
      <c r="C13">
        <v>-8.8399819999999991</v>
      </c>
      <c r="D13" t="s">
        <v>7</v>
      </c>
      <c r="E13">
        <f t="shared" si="0"/>
        <v>365.72424299999989</v>
      </c>
      <c r="F13">
        <f t="shared" si="2"/>
        <v>52.241342999999915</v>
      </c>
      <c r="G13">
        <v>110</v>
      </c>
      <c r="H13">
        <f t="shared" si="3"/>
        <v>3.9558741929072472</v>
      </c>
      <c r="I13">
        <f t="shared" si="1"/>
        <v>7.5227918491243093</v>
      </c>
    </row>
    <row r="14" spans="1:18" x14ac:dyDescent="0.25">
      <c r="A14">
        <v>1000</v>
      </c>
      <c r="B14">
        <v>1847.127563</v>
      </c>
      <c r="C14">
        <v>-8.7258490000000002</v>
      </c>
      <c r="D14" t="s">
        <v>369</v>
      </c>
      <c r="E14">
        <f t="shared" si="0"/>
        <v>363.12756300000001</v>
      </c>
      <c r="F14">
        <f t="shared" si="2"/>
        <v>49.644663000000037</v>
      </c>
      <c r="G14">
        <v>120</v>
      </c>
      <c r="H14">
        <f t="shared" si="3"/>
        <v>3.9048908922663252</v>
      </c>
      <c r="I14">
        <f t="shared" si="1"/>
        <v>7.5213870427845864</v>
      </c>
    </row>
    <row r="15" spans="1:18" x14ac:dyDescent="0.25">
      <c r="A15">
        <v>1000</v>
      </c>
      <c r="B15">
        <v>1844.3237300000001</v>
      </c>
      <c r="C15">
        <v>-8.6467700000000001</v>
      </c>
      <c r="D15" t="s">
        <v>370</v>
      </c>
      <c r="E15">
        <f t="shared" si="0"/>
        <v>360.32373000000007</v>
      </c>
      <c r="F15">
        <f t="shared" si="2"/>
        <v>46.840830000000096</v>
      </c>
      <c r="G15">
        <v>130</v>
      </c>
      <c r="H15">
        <f t="shared" si="3"/>
        <v>3.8467552584700466</v>
      </c>
      <c r="I15">
        <f t="shared" si="1"/>
        <v>7.5198679472762668</v>
      </c>
    </row>
    <row r="16" spans="1:18" x14ac:dyDescent="0.25">
      <c r="A16">
        <v>1000</v>
      </c>
      <c r="B16">
        <v>1841.7561040000001</v>
      </c>
      <c r="C16">
        <v>-8.5961979999999993</v>
      </c>
      <c r="D16" t="s">
        <v>371</v>
      </c>
      <c r="E16">
        <f t="shared" si="0"/>
        <v>357.75610400000005</v>
      </c>
      <c r="F16">
        <f t="shared" si="2"/>
        <v>44.273204000000078</v>
      </c>
      <c r="G16">
        <v>140</v>
      </c>
      <c r="H16">
        <f t="shared" si="3"/>
        <v>3.7903796181933926</v>
      </c>
      <c r="I16">
        <f t="shared" si="1"/>
        <v>7.5184747997966053</v>
      </c>
    </row>
    <row r="17" spans="1:9" x14ac:dyDescent="0.25">
      <c r="A17">
        <v>1000</v>
      </c>
      <c r="B17">
        <v>1839.4520259999999</v>
      </c>
      <c r="C17">
        <v>-8.5330460000000006</v>
      </c>
      <c r="D17" t="s">
        <v>372</v>
      </c>
      <c r="E17">
        <f t="shared" si="0"/>
        <v>355.45202599999993</v>
      </c>
      <c r="F17">
        <f t="shared" si="2"/>
        <v>41.96912599999996</v>
      </c>
      <c r="G17">
        <v>150</v>
      </c>
      <c r="H17">
        <f t="shared" si="3"/>
        <v>3.736934252730288</v>
      </c>
      <c r="I17">
        <f t="shared" si="1"/>
        <v>7.5172229942917221</v>
      </c>
    </row>
    <row r="18" spans="1:9" x14ac:dyDescent="0.25">
      <c r="A18">
        <v>1000</v>
      </c>
      <c r="B18">
        <v>1838.1568600000001</v>
      </c>
      <c r="C18">
        <v>-8.4766840000000006</v>
      </c>
      <c r="D18" t="s">
        <v>373</v>
      </c>
      <c r="E18">
        <f t="shared" si="0"/>
        <v>354.15686000000005</v>
      </c>
      <c r="F18">
        <f t="shared" si="2"/>
        <v>40.673960000000079</v>
      </c>
      <c r="G18">
        <v>160</v>
      </c>
      <c r="H18">
        <f t="shared" si="3"/>
        <v>3.7055880842471844</v>
      </c>
      <c r="I18">
        <f t="shared" si="1"/>
        <v>7.5165186420380197</v>
      </c>
    </row>
    <row r="19" spans="1:9" x14ac:dyDescent="0.25">
      <c r="A19">
        <v>1000</v>
      </c>
      <c r="B19">
        <v>1836.371948</v>
      </c>
      <c r="C19">
        <v>-8.4098839999999999</v>
      </c>
      <c r="D19" t="s">
        <v>374</v>
      </c>
      <c r="E19">
        <f t="shared" si="0"/>
        <v>352.37194799999997</v>
      </c>
      <c r="F19">
        <f t="shared" si="2"/>
        <v>38.889048000000003</v>
      </c>
      <c r="G19">
        <v>170</v>
      </c>
      <c r="H19">
        <f t="shared" si="3"/>
        <v>3.6607126685674416</v>
      </c>
      <c r="I19">
        <f t="shared" si="1"/>
        <v>7.5155471367192961</v>
      </c>
    </row>
    <row r="20" spans="1:9" x14ac:dyDescent="0.25">
      <c r="A20">
        <v>1000</v>
      </c>
      <c r="B20">
        <v>1834.8294679999999</v>
      </c>
      <c r="C20">
        <v>-8.359928</v>
      </c>
      <c r="D20" t="s">
        <v>375</v>
      </c>
      <c r="E20">
        <f t="shared" si="0"/>
        <v>350.82946799999991</v>
      </c>
      <c r="F20">
        <f t="shared" si="2"/>
        <v>37.346567999999934</v>
      </c>
      <c r="G20">
        <v>180</v>
      </c>
      <c r="H20">
        <f t="shared" si="3"/>
        <v>3.6202410198067043</v>
      </c>
      <c r="I20">
        <f t="shared" si="1"/>
        <v>7.5147068232001075</v>
      </c>
    </row>
    <row r="21" spans="1:9" x14ac:dyDescent="0.25">
      <c r="A21">
        <v>1000</v>
      </c>
      <c r="B21">
        <v>1833.0131839999999</v>
      </c>
      <c r="C21">
        <v>-8.2956839999999996</v>
      </c>
      <c r="D21" t="s">
        <v>376</v>
      </c>
      <c r="E21">
        <f t="shared" si="0"/>
        <v>349.01318399999991</v>
      </c>
      <c r="F21">
        <f t="shared" si="2"/>
        <v>35.530283999999938</v>
      </c>
      <c r="G21">
        <v>190</v>
      </c>
      <c r="H21">
        <f t="shared" si="3"/>
        <v>3.5703854032461333</v>
      </c>
      <c r="I21">
        <f t="shared" si="1"/>
        <v>7.5137164403943073</v>
      </c>
    </row>
    <row r="22" spans="1:9" x14ac:dyDescent="0.25">
      <c r="A22">
        <v>1000</v>
      </c>
      <c r="B22">
        <v>1831.956543</v>
      </c>
      <c r="C22">
        <v>-8.2677890000000005</v>
      </c>
      <c r="D22" t="s">
        <v>16</v>
      </c>
      <c r="E22">
        <f t="shared" si="0"/>
        <v>347.95654300000001</v>
      </c>
      <c r="F22">
        <f t="shared" si="2"/>
        <v>34.473643000000038</v>
      </c>
      <c r="G22">
        <v>200</v>
      </c>
      <c r="H22">
        <f t="shared" si="3"/>
        <v>3.5401950610482507</v>
      </c>
      <c r="I22">
        <f t="shared" si="1"/>
        <v>7.5131398238828577</v>
      </c>
    </row>
    <row r="23" spans="1:9" x14ac:dyDescent="0.25">
      <c r="A23">
        <v>1000</v>
      </c>
      <c r="B23">
        <v>1830.996948</v>
      </c>
      <c r="C23">
        <v>-8.2232559999999992</v>
      </c>
      <c r="D23" t="s">
        <v>17</v>
      </c>
      <c r="E23">
        <f t="shared" si="0"/>
        <v>346.99694799999997</v>
      </c>
      <c r="F23">
        <f t="shared" si="2"/>
        <v>33.514048000000003</v>
      </c>
      <c r="G23">
        <v>210</v>
      </c>
      <c r="H23">
        <f t="shared" si="3"/>
        <v>3.5119646942147806</v>
      </c>
      <c r="I23">
        <f t="shared" si="1"/>
        <v>7.5126158778244045</v>
      </c>
    </row>
    <row r="24" spans="1:9" x14ac:dyDescent="0.25">
      <c r="A24">
        <v>1000</v>
      </c>
      <c r="B24">
        <v>1829.7620850000001</v>
      </c>
      <c r="C24">
        <v>-8.1701990000000002</v>
      </c>
      <c r="D24" t="s">
        <v>377</v>
      </c>
      <c r="E24">
        <f t="shared" si="0"/>
        <v>345.76208500000007</v>
      </c>
      <c r="F24">
        <f t="shared" si="2"/>
        <v>32.279185000000098</v>
      </c>
      <c r="G24">
        <v>220</v>
      </c>
      <c r="H24">
        <f t="shared" si="3"/>
        <v>3.4744225952515446</v>
      </c>
      <c r="I24">
        <f t="shared" si="1"/>
        <v>7.511941229186947</v>
      </c>
    </row>
    <row r="25" spans="1:9" x14ac:dyDescent="0.25">
      <c r="A25">
        <v>1000</v>
      </c>
      <c r="B25">
        <v>1827.990967</v>
      </c>
      <c r="C25">
        <v>-8.1318680000000008</v>
      </c>
      <c r="D25" t="s">
        <v>19</v>
      </c>
      <c r="E25">
        <f t="shared" si="0"/>
        <v>343.99096699999996</v>
      </c>
      <c r="F25">
        <f t="shared" si="2"/>
        <v>30.508066999999983</v>
      </c>
      <c r="G25">
        <v>230</v>
      </c>
      <c r="H25">
        <f t="shared" si="3"/>
        <v>3.4179911404448533</v>
      </c>
      <c r="I25">
        <f t="shared" si="1"/>
        <v>7.5109728105358027</v>
      </c>
    </row>
    <row r="26" spans="1:9" x14ac:dyDescent="0.25">
      <c r="A26">
        <v>1000</v>
      </c>
      <c r="B26">
        <v>1827.611328</v>
      </c>
      <c r="C26">
        <v>-8.0939610000000002</v>
      </c>
      <c r="D26" t="s">
        <v>378</v>
      </c>
      <c r="E26">
        <f t="shared" si="0"/>
        <v>343.61132799999996</v>
      </c>
      <c r="F26">
        <f t="shared" si="2"/>
        <v>30.128427999999985</v>
      </c>
      <c r="G26">
        <v>240</v>
      </c>
      <c r="H26">
        <f t="shared" si="3"/>
        <v>3.4054691778680599</v>
      </c>
      <c r="I26">
        <f t="shared" si="1"/>
        <v>7.51076510796275</v>
      </c>
    </row>
    <row r="27" spans="1:9" x14ac:dyDescent="0.25">
      <c r="A27">
        <v>1000</v>
      </c>
      <c r="B27">
        <v>1825.6096190000001</v>
      </c>
      <c r="C27">
        <v>-8.0615439999999996</v>
      </c>
      <c r="D27" t="s">
        <v>379</v>
      </c>
      <c r="E27">
        <f t="shared" si="0"/>
        <v>341.60961900000007</v>
      </c>
      <c r="F27">
        <f t="shared" si="2"/>
        <v>28.126719000000094</v>
      </c>
      <c r="G27">
        <v>250</v>
      </c>
      <c r="H27">
        <f t="shared" si="3"/>
        <v>3.3367199786568364</v>
      </c>
      <c r="I27">
        <f t="shared" si="1"/>
        <v>7.5096692480466034</v>
      </c>
    </row>
    <row r="28" spans="1:9" x14ac:dyDescent="0.25">
      <c r="A28">
        <v>1000</v>
      </c>
      <c r="B28">
        <v>1824.973999</v>
      </c>
      <c r="C28">
        <v>-8.0119710000000008</v>
      </c>
      <c r="D28" t="s">
        <v>22</v>
      </c>
      <c r="E28">
        <f t="shared" si="0"/>
        <v>340.97399900000005</v>
      </c>
      <c r="F28">
        <f t="shared" si="2"/>
        <v>27.491099000000077</v>
      </c>
      <c r="G28">
        <v>260</v>
      </c>
      <c r="H28">
        <f t="shared" si="3"/>
        <v>3.3138622795519326</v>
      </c>
      <c r="I28">
        <f t="shared" si="1"/>
        <v>7.5093210187918134</v>
      </c>
    </row>
    <row r="29" spans="1:9" x14ac:dyDescent="0.25">
      <c r="A29">
        <v>1000</v>
      </c>
      <c r="B29">
        <v>1823.8082280000001</v>
      </c>
      <c r="C29">
        <v>-7.9665100000000004</v>
      </c>
      <c r="D29" t="s">
        <v>380</v>
      </c>
      <c r="E29">
        <f t="shared" si="0"/>
        <v>339.8082280000001</v>
      </c>
      <c r="F29">
        <f t="shared" si="2"/>
        <v>26.325328000000127</v>
      </c>
      <c r="G29">
        <v>270</v>
      </c>
      <c r="H29">
        <f t="shared" si="3"/>
        <v>3.2705315175815497</v>
      </c>
      <c r="I29">
        <f t="shared" si="1"/>
        <v>7.5086820269489785</v>
      </c>
    </row>
    <row r="30" spans="1:9" x14ac:dyDescent="0.25">
      <c r="A30">
        <v>1000</v>
      </c>
      <c r="B30">
        <v>1822.270264</v>
      </c>
      <c r="C30">
        <v>-7.9281370000000004</v>
      </c>
      <c r="D30" t="s">
        <v>381</v>
      </c>
      <c r="E30">
        <f t="shared" si="0"/>
        <v>338.270264</v>
      </c>
      <c r="F30">
        <f t="shared" si="2"/>
        <v>24.787364000000025</v>
      </c>
      <c r="G30">
        <v>280</v>
      </c>
      <c r="H30">
        <f t="shared" si="3"/>
        <v>3.2103340071944544</v>
      </c>
      <c r="I30">
        <f t="shared" si="1"/>
        <v>7.5078384005187795</v>
      </c>
    </row>
    <row r="31" spans="1:9" x14ac:dyDescent="0.25">
      <c r="A31">
        <v>1000</v>
      </c>
      <c r="B31">
        <v>1821.560303</v>
      </c>
      <c r="C31">
        <v>-7.9060620000000004</v>
      </c>
      <c r="D31" t="s">
        <v>25</v>
      </c>
      <c r="E31">
        <f t="shared" si="0"/>
        <v>337.56030299999998</v>
      </c>
      <c r="F31">
        <f t="shared" si="2"/>
        <v>24.077403000000004</v>
      </c>
      <c r="G31">
        <v>290</v>
      </c>
      <c r="H31">
        <f t="shared" si="3"/>
        <v>3.1812737657873069</v>
      </c>
      <c r="I31">
        <f t="shared" si="1"/>
        <v>7.5074487221317474</v>
      </c>
    </row>
    <row r="32" spans="1:9" x14ac:dyDescent="0.25">
      <c r="A32">
        <v>1000</v>
      </c>
      <c r="B32">
        <v>1820.343384</v>
      </c>
      <c r="C32">
        <v>-7.8628270000000002</v>
      </c>
      <c r="D32" t="s">
        <v>26</v>
      </c>
      <c r="E32">
        <f t="shared" si="0"/>
        <v>336.34338400000001</v>
      </c>
      <c r="F32">
        <f t="shared" si="2"/>
        <v>22.860484000000042</v>
      </c>
      <c r="G32">
        <v>300</v>
      </c>
      <c r="H32">
        <f t="shared" si="3"/>
        <v>3.129409830495991</v>
      </c>
      <c r="I32">
        <f t="shared" si="1"/>
        <v>7.5067804348018905</v>
      </c>
    </row>
    <row r="33" spans="1:21" x14ac:dyDescent="0.25">
      <c r="A33">
        <v>1000</v>
      </c>
      <c r="B33">
        <v>1819.652466</v>
      </c>
      <c r="C33">
        <v>-7.822406</v>
      </c>
      <c r="D33" t="s">
        <v>382</v>
      </c>
      <c r="E33">
        <f t="shared" si="0"/>
        <v>335.652466</v>
      </c>
      <c r="F33">
        <f t="shared" si="2"/>
        <v>22.169566000000032</v>
      </c>
      <c r="G33">
        <v>310</v>
      </c>
      <c r="H33">
        <f t="shared" si="3"/>
        <v>3.0987204474330006</v>
      </c>
      <c r="I33">
        <f t="shared" si="1"/>
        <v>7.5064008090897909</v>
      </c>
    </row>
    <row r="34" spans="1:21" x14ac:dyDescent="0.25">
      <c r="A34">
        <v>1000</v>
      </c>
      <c r="B34">
        <v>1818.783081</v>
      </c>
      <c r="C34">
        <v>-7.7856740000000002</v>
      </c>
      <c r="D34" t="s">
        <v>383</v>
      </c>
      <c r="E34">
        <f t="shared" si="0"/>
        <v>334.78308100000004</v>
      </c>
      <c r="F34">
        <f t="shared" si="2"/>
        <v>21.300181000000066</v>
      </c>
      <c r="G34">
        <v>320</v>
      </c>
      <c r="H34">
        <f t="shared" si="3"/>
        <v>3.0587155703318598</v>
      </c>
      <c r="I34">
        <f t="shared" ref="I34:I65" si="4">LN(B34)</f>
        <v>7.5059229196203665</v>
      </c>
    </row>
    <row r="35" spans="1:21" x14ac:dyDescent="0.25">
      <c r="A35">
        <v>1000</v>
      </c>
      <c r="B35">
        <v>1817.5830080000001</v>
      </c>
      <c r="C35">
        <v>-7.7534479999999997</v>
      </c>
      <c r="D35" t="s">
        <v>384</v>
      </c>
      <c r="E35">
        <f t="shared" si="0"/>
        <v>333.58300800000006</v>
      </c>
      <c r="F35">
        <f t="shared" si="2"/>
        <v>20.100108000000091</v>
      </c>
      <c r="G35">
        <v>330</v>
      </c>
      <c r="H35">
        <f t="shared" si="3"/>
        <v>3.0007251881849277</v>
      </c>
      <c r="I35">
        <f t="shared" si="4"/>
        <v>7.5052628798915846</v>
      </c>
    </row>
    <row r="36" spans="1:21" x14ac:dyDescent="0.25">
      <c r="A36">
        <v>1000</v>
      </c>
      <c r="B36">
        <v>1816.695068</v>
      </c>
      <c r="C36">
        <v>-7.723382</v>
      </c>
      <c r="D36" t="s">
        <v>30</v>
      </c>
      <c r="E36">
        <f t="shared" si="0"/>
        <v>332.69506799999999</v>
      </c>
      <c r="F36">
        <f t="shared" si="2"/>
        <v>19.21216800000002</v>
      </c>
      <c r="G36">
        <v>340</v>
      </c>
      <c r="H36">
        <f t="shared" si="3"/>
        <v>2.9555438282990116</v>
      </c>
      <c r="I36">
        <f t="shared" si="4"/>
        <v>7.5047742326284421</v>
      </c>
    </row>
    <row r="37" spans="1:21" x14ac:dyDescent="0.25">
      <c r="A37">
        <v>1000</v>
      </c>
      <c r="B37">
        <v>1816.0058590000001</v>
      </c>
      <c r="C37">
        <v>-7.6828110000000001</v>
      </c>
      <c r="D37" t="s">
        <v>31</v>
      </c>
      <c r="E37">
        <f t="shared" si="0"/>
        <v>332.0058590000001</v>
      </c>
      <c r="F37">
        <f t="shared" si="2"/>
        <v>18.522959000000128</v>
      </c>
      <c r="G37">
        <v>350</v>
      </c>
      <c r="H37">
        <f t="shared" si="3"/>
        <v>2.9190109896738017</v>
      </c>
      <c r="I37">
        <f t="shared" si="4"/>
        <v>7.5043947854776203</v>
      </c>
    </row>
    <row r="38" spans="1:21" x14ac:dyDescent="0.25">
      <c r="A38">
        <v>1000</v>
      </c>
      <c r="B38">
        <v>1814.893188</v>
      </c>
      <c r="C38">
        <v>-7.6702979999999998</v>
      </c>
      <c r="D38" t="s">
        <v>32</v>
      </c>
      <c r="E38">
        <f t="shared" si="0"/>
        <v>330.89318800000001</v>
      </c>
      <c r="F38">
        <f t="shared" si="2"/>
        <v>17.410288000000037</v>
      </c>
      <c r="G38">
        <v>360</v>
      </c>
      <c r="H38">
        <f t="shared" si="3"/>
        <v>2.8570612958603956</v>
      </c>
      <c r="I38">
        <f t="shared" si="4"/>
        <v>7.5037818953804694</v>
      </c>
    </row>
    <row r="39" spans="1:21" x14ac:dyDescent="0.25">
      <c r="A39">
        <v>1000</v>
      </c>
      <c r="B39">
        <v>1814.6549070000001</v>
      </c>
      <c r="C39">
        <v>-7.6415839999999999</v>
      </c>
      <c r="D39" t="s">
        <v>33</v>
      </c>
      <c r="E39">
        <f t="shared" si="0"/>
        <v>330.65490700000009</v>
      </c>
      <c r="F39">
        <f t="shared" si="2"/>
        <v>17.172007000000121</v>
      </c>
      <c r="G39">
        <v>370</v>
      </c>
      <c r="H39">
        <f t="shared" si="3"/>
        <v>2.8432805580025828</v>
      </c>
      <c r="I39">
        <f t="shared" si="4"/>
        <v>7.5036505947369152</v>
      </c>
    </row>
    <row r="40" spans="1:21" x14ac:dyDescent="0.25">
      <c r="A40">
        <v>1000</v>
      </c>
      <c r="B40">
        <v>1813.1777340000001</v>
      </c>
      <c r="C40">
        <v>-7.5999600000000003</v>
      </c>
      <c r="D40" t="s">
        <v>34</v>
      </c>
      <c r="E40">
        <f t="shared" si="0"/>
        <v>329.1777340000001</v>
      </c>
      <c r="F40">
        <f t="shared" si="2"/>
        <v>15.694834000000128</v>
      </c>
      <c r="G40">
        <v>380</v>
      </c>
      <c r="H40">
        <f t="shared" si="3"/>
        <v>2.7533316136212354</v>
      </c>
      <c r="I40">
        <f t="shared" si="4"/>
        <v>7.5028362390442398</v>
      </c>
      <c r="T40">
        <v>-6.0000000000000001E-3</v>
      </c>
    </row>
    <row r="41" spans="1:21" x14ac:dyDescent="0.25">
      <c r="A41">
        <v>1000</v>
      </c>
      <c r="B41">
        <v>1812.803101</v>
      </c>
      <c r="C41">
        <v>-7.5722990000000001</v>
      </c>
      <c r="D41" t="s">
        <v>35</v>
      </c>
      <c r="E41">
        <f t="shared" si="0"/>
        <v>328.80310099999997</v>
      </c>
      <c r="F41">
        <f t="shared" si="2"/>
        <v>15.320200999999997</v>
      </c>
      <c r="G41">
        <v>390</v>
      </c>
      <c r="H41">
        <f t="shared" si="3"/>
        <v>2.7291722843308159</v>
      </c>
      <c r="I41">
        <f t="shared" si="4"/>
        <v>7.5026296008856947</v>
      </c>
      <c r="S41" t="s">
        <v>2</v>
      </c>
      <c r="T41">
        <f>1/ABS(T40)</f>
        <v>166.66666666666666</v>
      </c>
      <c r="U41" s="3" t="s">
        <v>3</v>
      </c>
    </row>
    <row r="42" spans="1:21" x14ac:dyDescent="0.25">
      <c r="A42">
        <v>1000</v>
      </c>
      <c r="B42">
        <v>1812.4696039999999</v>
      </c>
      <c r="C42">
        <v>-7.548584</v>
      </c>
      <c r="D42" t="s">
        <v>385</v>
      </c>
      <c r="E42">
        <f t="shared" si="0"/>
        <v>328.46960399999989</v>
      </c>
      <c r="F42">
        <f t="shared" si="2"/>
        <v>14.986703999999918</v>
      </c>
      <c r="G42">
        <v>400</v>
      </c>
      <c r="H42">
        <f t="shared" si="3"/>
        <v>2.7071634080174207</v>
      </c>
      <c r="I42">
        <f t="shared" si="4"/>
        <v>7.502445616381312</v>
      </c>
      <c r="T42">
        <f>T41/60</f>
        <v>2.7777777777777777</v>
      </c>
      <c r="U42" s="3" t="s">
        <v>4</v>
      </c>
    </row>
    <row r="43" spans="1:21" x14ac:dyDescent="0.25">
      <c r="A43">
        <v>1000</v>
      </c>
      <c r="B43">
        <v>1811.7451169999999</v>
      </c>
      <c r="C43">
        <v>-7.5213720000000004</v>
      </c>
      <c r="D43" t="s">
        <v>37</v>
      </c>
      <c r="E43">
        <f t="shared" si="0"/>
        <v>327.74511699999994</v>
      </c>
      <c r="F43">
        <f t="shared" si="2"/>
        <v>14.262216999999964</v>
      </c>
      <c r="G43">
        <v>410</v>
      </c>
      <c r="H43">
        <f t="shared" si="3"/>
        <v>2.6576138727476857</v>
      </c>
      <c r="I43">
        <f t="shared" si="4"/>
        <v>7.502045812801545</v>
      </c>
      <c r="T43">
        <f>T42/60</f>
        <v>4.6296296296296294E-2</v>
      </c>
      <c r="U43" s="3" t="s">
        <v>5</v>
      </c>
    </row>
    <row r="44" spans="1:21" x14ac:dyDescent="0.25">
      <c r="A44">
        <v>1000</v>
      </c>
      <c r="B44">
        <v>1810.9095460000001</v>
      </c>
      <c r="C44">
        <v>-7.4881359999999999</v>
      </c>
      <c r="D44" t="s">
        <v>386</v>
      </c>
      <c r="E44">
        <f t="shared" si="0"/>
        <v>326.90954600000009</v>
      </c>
      <c r="F44">
        <f t="shared" si="2"/>
        <v>13.426646000000119</v>
      </c>
      <c r="G44">
        <v>420</v>
      </c>
      <c r="H44">
        <f t="shared" si="3"/>
        <v>2.5972412399556539</v>
      </c>
      <c r="I44">
        <f t="shared" si="4"/>
        <v>7.5015845096454079</v>
      </c>
    </row>
    <row r="45" spans="1:21" x14ac:dyDescent="0.25">
      <c r="A45">
        <v>1000</v>
      </c>
      <c r="B45">
        <v>1810.1707759999999</v>
      </c>
      <c r="C45">
        <v>-7.4498199999999999</v>
      </c>
      <c r="D45" t="s">
        <v>39</v>
      </c>
      <c r="E45">
        <f t="shared" si="0"/>
        <v>326.17077599999993</v>
      </c>
      <c r="F45">
        <f t="shared" si="2"/>
        <v>12.68787599999996</v>
      </c>
      <c r="G45">
        <v>430</v>
      </c>
      <c r="H45">
        <f t="shared" si="3"/>
        <v>2.5406468918308613</v>
      </c>
      <c r="I45">
        <f t="shared" si="4"/>
        <v>7.5011764711902753</v>
      </c>
    </row>
    <row r="46" spans="1:21" x14ac:dyDescent="0.25">
      <c r="A46">
        <v>1000</v>
      </c>
      <c r="B46">
        <v>1809.4647219999999</v>
      </c>
      <c r="C46">
        <v>-7.4336589999999996</v>
      </c>
      <c r="D46" t="s">
        <v>40</v>
      </c>
      <c r="E46">
        <f t="shared" si="0"/>
        <v>325.46472199999994</v>
      </c>
      <c r="F46">
        <f t="shared" si="2"/>
        <v>11.981821999999966</v>
      </c>
      <c r="G46">
        <v>440</v>
      </c>
      <c r="H46">
        <f t="shared" si="3"/>
        <v>2.4833906679346263</v>
      </c>
      <c r="I46">
        <f t="shared" si="4"/>
        <v>7.5007863468203793</v>
      </c>
    </row>
    <row r="47" spans="1:21" x14ac:dyDescent="0.25">
      <c r="A47">
        <v>1000</v>
      </c>
      <c r="B47">
        <v>1808.934082</v>
      </c>
      <c r="C47">
        <v>-7.4203539999999997</v>
      </c>
      <c r="D47" t="s">
        <v>41</v>
      </c>
      <c r="E47">
        <f t="shared" si="0"/>
        <v>324.93408199999999</v>
      </c>
      <c r="F47">
        <f t="shared" si="2"/>
        <v>11.451182000000017</v>
      </c>
      <c r="G47">
        <v>450</v>
      </c>
      <c r="H47">
        <f t="shared" si="3"/>
        <v>2.4380929561132998</v>
      </c>
      <c r="I47">
        <f t="shared" si="4"/>
        <v>7.5004930458148529</v>
      </c>
    </row>
    <row r="48" spans="1:21" x14ac:dyDescent="0.25">
      <c r="A48">
        <v>1000</v>
      </c>
      <c r="B48">
        <v>1808.6016850000001</v>
      </c>
      <c r="C48">
        <v>-7.3965439999999996</v>
      </c>
      <c r="D48" t="s">
        <v>387</v>
      </c>
      <c r="E48">
        <f t="shared" si="0"/>
        <v>324.60168500000009</v>
      </c>
      <c r="F48">
        <f t="shared" si="2"/>
        <v>11.118785000000116</v>
      </c>
      <c r="G48">
        <v>460</v>
      </c>
      <c r="H48">
        <f t="shared" si="3"/>
        <v>2.4086360202629269</v>
      </c>
      <c r="I48">
        <f t="shared" si="4"/>
        <v>7.500309275965793</v>
      </c>
    </row>
    <row r="49" spans="1:9" x14ac:dyDescent="0.25">
      <c r="A49">
        <v>1000</v>
      </c>
      <c r="B49">
        <v>1808.142212</v>
      </c>
      <c r="C49">
        <v>-7.3669409999999997</v>
      </c>
      <c r="D49" t="s">
        <v>43</v>
      </c>
      <c r="E49">
        <f t="shared" si="0"/>
        <v>324.14221199999997</v>
      </c>
      <c r="F49">
        <f t="shared" si="2"/>
        <v>10.659312</v>
      </c>
      <c r="G49">
        <v>470</v>
      </c>
      <c r="H49">
        <f t="shared" si="3"/>
        <v>2.3664338763171702</v>
      </c>
      <c r="I49">
        <f t="shared" si="4"/>
        <v>7.5000551949384615</v>
      </c>
    </row>
    <row r="50" spans="1:9" x14ac:dyDescent="0.25">
      <c r="A50">
        <v>1000</v>
      </c>
      <c r="B50">
        <v>1807.728149</v>
      </c>
      <c r="C50">
        <v>-7.3417240000000001</v>
      </c>
      <c r="D50" t="s">
        <v>388</v>
      </c>
      <c r="E50">
        <f t="shared" si="0"/>
        <v>323.72814900000003</v>
      </c>
      <c r="F50">
        <f t="shared" si="2"/>
        <v>10.245249000000058</v>
      </c>
      <c r="G50">
        <v>480</v>
      </c>
      <c r="H50">
        <f t="shared" si="3"/>
        <v>2.3268140859343176</v>
      </c>
      <c r="I50">
        <f t="shared" si="4"/>
        <v>7.4998261695805422</v>
      </c>
    </row>
    <row r="51" spans="1:9" x14ac:dyDescent="0.25">
      <c r="A51">
        <v>1000</v>
      </c>
      <c r="B51">
        <v>1807.4125979999999</v>
      </c>
      <c r="C51">
        <v>-7.3289660000000003</v>
      </c>
      <c r="D51" t="s">
        <v>389</v>
      </c>
      <c r="E51">
        <f t="shared" si="0"/>
        <v>323.41259799999989</v>
      </c>
      <c r="F51">
        <f t="shared" si="2"/>
        <v>9.9296979999999166</v>
      </c>
      <c r="G51">
        <v>490</v>
      </c>
      <c r="H51">
        <f t="shared" si="3"/>
        <v>2.2955300647043599</v>
      </c>
      <c r="I51">
        <f t="shared" si="4"/>
        <v>7.4996515976770484</v>
      </c>
    </row>
    <row r="52" spans="1:9" x14ac:dyDescent="0.25">
      <c r="A52">
        <v>1000</v>
      </c>
      <c r="B52">
        <v>1806.73999</v>
      </c>
      <c r="C52">
        <v>-7.2987359999999999</v>
      </c>
      <c r="D52" t="s">
        <v>46</v>
      </c>
      <c r="E52">
        <f t="shared" si="0"/>
        <v>322.73999000000003</v>
      </c>
      <c r="F52">
        <f t="shared" si="2"/>
        <v>9.257090000000062</v>
      </c>
      <c r="G52">
        <v>500</v>
      </c>
      <c r="H52">
        <f t="shared" si="3"/>
        <v>2.2253897444100779</v>
      </c>
      <c r="I52">
        <f t="shared" si="4"/>
        <v>7.4992793898128873</v>
      </c>
    </row>
    <row r="53" spans="1:9" x14ac:dyDescent="0.25">
      <c r="A53">
        <v>1000</v>
      </c>
      <c r="B53">
        <v>1806.371216</v>
      </c>
      <c r="C53">
        <v>-7.2884760000000002</v>
      </c>
      <c r="D53" t="s">
        <v>390</v>
      </c>
      <c r="E53">
        <f t="shared" si="0"/>
        <v>322.371216</v>
      </c>
      <c r="F53">
        <f t="shared" si="2"/>
        <v>8.8883160000000316</v>
      </c>
      <c r="G53">
        <v>510</v>
      </c>
      <c r="H53">
        <f t="shared" si="3"/>
        <v>2.1847376052606755</v>
      </c>
      <c r="I53">
        <f t="shared" si="4"/>
        <v>7.4990752588131731</v>
      </c>
    </row>
    <row r="54" spans="1:9" x14ac:dyDescent="0.25">
      <c r="A54">
        <v>1000</v>
      </c>
      <c r="B54">
        <v>1805.9417719999999</v>
      </c>
      <c r="C54">
        <v>-7.2521120000000003</v>
      </c>
      <c r="D54" t="s">
        <v>48</v>
      </c>
      <c r="E54">
        <f t="shared" si="0"/>
        <v>321.9417719999999</v>
      </c>
      <c r="F54">
        <f t="shared" si="2"/>
        <v>8.4588719999999284</v>
      </c>
      <c r="G54">
        <v>520</v>
      </c>
      <c r="H54">
        <f t="shared" si="3"/>
        <v>2.1352158313951111</v>
      </c>
      <c r="I54">
        <f t="shared" si="4"/>
        <v>7.4988374920396677</v>
      </c>
    </row>
    <row r="55" spans="1:9" x14ac:dyDescent="0.25">
      <c r="A55">
        <v>1000</v>
      </c>
      <c r="B55">
        <v>1805.5200199999999</v>
      </c>
      <c r="C55">
        <v>-7.2267460000000003</v>
      </c>
      <c r="D55" t="s">
        <v>49</v>
      </c>
      <c r="E55">
        <f t="shared" si="0"/>
        <v>321.52001999999993</v>
      </c>
      <c r="F55">
        <f t="shared" si="2"/>
        <v>8.037119999999959</v>
      </c>
      <c r="G55">
        <v>530</v>
      </c>
      <c r="H55">
        <f t="shared" si="3"/>
        <v>2.0840708100634933</v>
      </c>
      <c r="I55">
        <f t="shared" si="4"/>
        <v>7.4986039289972171</v>
      </c>
    </row>
    <row r="56" spans="1:9" x14ac:dyDescent="0.25">
      <c r="A56">
        <v>1000</v>
      </c>
      <c r="B56">
        <v>1804.9205320000001</v>
      </c>
      <c r="C56">
        <v>-7.2047929999999996</v>
      </c>
      <c r="D56" t="s">
        <v>391</v>
      </c>
      <c r="E56">
        <f t="shared" si="0"/>
        <v>320.92053200000009</v>
      </c>
      <c r="F56">
        <f t="shared" si="2"/>
        <v>7.4376320000001215</v>
      </c>
      <c r="G56">
        <v>540</v>
      </c>
      <c r="H56">
        <f t="shared" si="3"/>
        <v>2.0065525186134319</v>
      </c>
      <c r="I56">
        <f t="shared" si="4"/>
        <v>7.4982718432049849</v>
      </c>
    </row>
    <row r="57" spans="1:9" x14ac:dyDescent="0.25">
      <c r="A57">
        <v>1000</v>
      </c>
      <c r="B57">
        <v>1804.1395259999999</v>
      </c>
      <c r="C57">
        <v>-7.2047249999999998</v>
      </c>
      <c r="D57" t="s">
        <v>392</v>
      </c>
      <c r="E57">
        <f t="shared" si="0"/>
        <v>320.13952599999993</v>
      </c>
      <c r="F57">
        <f t="shared" si="2"/>
        <v>6.6566259999999602</v>
      </c>
      <c r="G57">
        <v>550</v>
      </c>
      <c r="H57">
        <f t="shared" si="3"/>
        <v>1.8956127495772015</v>
      </c>
      <c r="I57">
        <f t="shared" si="4"/>
        <v>7.4978390402038482</v>
      </c>
    </row>
    <row r="58" spans="1:9" x14ac:dyDescent="0.25">
      <c r="A58">
        <v>1000</v>
      </c>
      <c r="B58">
        <v>1804.1226810000001</v>
      </c>
      <c r="C58">
        <v>-7.1759829999999996</v>
      </c>
      <c r="D58" t="s">
        <v>52</v>
      </c>
      <c r="E58">
        <f t="shared" si="0"/>
        <v>320.12268100000006</v>
      </c>
      <c r="F58">
        <f t="shared" si="2"/>
        <v>6.6397810000000845</v>
      </c>
      <c r="G58">
        <v>560</v>
      </c>
      <c r="H58">
        <f t="shared" si="3"/>
        <v>1.8930789810167286</v>
      </c>
      <c r="I58">
        <f t="shared" si="4"/>
        <v>7.4978297032992485</v>
      </c>
    </row>
    <row r="59" spans="1:9" x14ac:dyDescent="0.25">
      <c r="A59">
        <v>1000</v>
      </c>
      <c r="B59">
        <v>1803.505737</v>
      </c>
      <c r="C59">
        <v>-7.1608609999999997</v>
      </c>
      <c r="D59" t="s">
        <v>393</v>
      </c>
      <c r="E59">
        <f t="shared" si="0"/>
        <v>319.50573699999995</v>
      </c>
      <c r="F59">
        <f t="shared" si="2"/>
        <v>6.0228369999999813</v>
      </c>
      <c r="G59">
        <v>570</v>
      </c>
      <c r="H59">
        <f t="shared" si="3"/>
        <v>1.795558410769921</v>
      </c>
      <c r="I59">
        <f t="shared" si="4"/>
        <v>7.4974876813754072</v>
      </c>
    </row>
    <row r="60" spans="1:9" x14ac:dyDescent="0.25">
      <c r="A60">
        <v>1000</v>
      </c>
      <c r="B60">
        <v>1803.0579829999999</v>
      </c>
      <c r="C60">
        <v>-7.1491400000000001</v>
      </c>
      <c r="D60" t="s">
        <v>394</v>
      </c>
      <c r="E60">
        <f t="shared" si="0"/>
        <v>319.05798299999992</v>
      </c>
      <c r="F60">
        <f t="shared" si="2"/>
        <v>5.5750829999999496</v>
      </c>
      <c r="G60">
        <v>580</v>
      </c>
      <c r="H60">
        <f t="shared" si="3"/>
        <v>1.7183072051277266</v>
      </c>
      <c r="I60">
        <f t="shared" si="4"/>
        <v>7.4972393818653682</v>
      </c>
    </row>
    <row r="61" spans="1:9" x14ac:dyDescent="0.25">
      <c r="A61">
        <v>1000</v>
      </c>
      <c r="B61">
        <v>1802.7094729999999</v>
      </c>
      <c r="C61">
        <v>-7.1320240000000004</v>
      </c>
      <c r="D61" t="s">
        <v>395</v>
      </c>
      <c r="E61">
        <f t="shared" si="0"/>
        <v>318.70947299999989</v>
      </c>
      <c r="F61">
        <f t="shared" si="2"/>
        <v>5.2265729999999166</v>
      </c>
      <c r="G61">
        <v>590</v>
      </c>
      <c r="H61">
        <f t="shared" si="3"/>
        <v>1.6537558051751873</v>
      </c>
      <c r="I61">
        <f t="shared" si="4"/>
        <v>7.4970460748896199</v>
      </c>
    </row>
    <row r="62" spans="1:9" x14ac:dyDescent="0.25">
      <c r="A62">
        <v>1000</v>
      </c>
      <c r="B62">
        <v>1802.396851</v>
      </c>
      <c r="C62">
        <v>-7.1012339999999998</v>
      </c>
      <c r="D62" t="s">
        <v>396</v>
      </c>
      <c r="E62">
        <f t="shared" si="0"/>
        <v>318.39685099999997</v>
      </c>
      <c r="F62">
        <f t="shared" si="2"/>
        <v>4.9139509999999973</v>
      </c>
      <c r="G62">
        <v>600</v>
      </c>
      <c r="H62">
        <f t="shared" si="3"/>
        <v>1.5920783025392995</v>
      </c>
      <c r="I62">
        <f t="shared" si="4"/>
        <v>7.4968726420015503</v>
      </c>
    </row>
    <row r="63" spans="1:9" x14ac:dyDescent="0.25">
      <c r="A63">
        <v>1000</v>
      </c>
      <c r="B63">
        <v>1802.0832519999999</v>
      </c>
      <c r="C63">
        <v>-7.1062880000000002</v>
      </c>
      <c r="D63" t="s">
        <v>397</v>
      </c>
      <c r="E63">
        <f t="shared" si="0"/>
        <v>318.0832519999999</v>
      </c>
      <c r="F63">
        <f t="shared" si="2"/>
        <v>4.6003519999999298</v>
      </c>
      <c r="G63">
        <v>610</v>
      </c>
      <c r="H63">
        <f t="shared" si="3"/>
        <v>1.5261328223065256</v>
      </c>
      <c r="I63">
        <f t="shared" si="4"/>
        <v>7.4966986368791311</v>
      </c>
    </row>
    <row r="64" spans="1:9" x14ac:dyDescent="0.25">
      <c r="A64">
        <v>1000</v>
      </c>
      <c r="B64">
        <v>1802.2102050000001</v>
      </c>
      <c r="C64">
        <v>-7.0872450000000002</v>
      </c>
      <c r="D64" t="s">
        <v>58</v>
      </c>
      <c r="E64">
        <f t="shared" si="0"/>
        <v>318.21020500000009</v>
      </c>
      <c r="F64">
        <f t="shared" si="2"/>
        <v>4.7273050000001149</v>
      </c>
      <c r="G64">
        <v>620</v>
      </c>
      <c r="H64">
        <f t="shared" si="3"/>
        <v>1.5533552726828548</v>
      </c>
      <c r="I64">
        <f t="shared" si="4"/>
        <v>7.4967690823084876</v>
      </c>
    </row>
    <row r="65" spans="1:9" x14ac:dyDescent="0.25">
      <c r="A65">
        <v>1000</v>
      </c>
      <c r="B65">
        <v>1801.693237</v>
      </c>
      <c r="C65">
        <v>-7.0490510000000004</v>
      </c>
      <c r="D65" t="s">
        <v>59</v>
      </c>
      <c r="E65">
        <f t="shared" si="0"/>
        <v>317.69323699999995</v>
      </c>
      <c r="F65">
        <f t="shared" si="2"/>
        <v>4.2103369999999813</v>
      </c>
      <c r="G65">
        <v>630</v>
      </c>
      <c r="H65">
        <f t="shared" si="3"/>
        <v>1.4375426919965932</v>
      </c>
      <c r="I65">
        <f t="shared" si="4"/>
        <v>7.4964821889375264</v>
      </c>
    </row>
    <row r="66" spans="1:9" x14ac:dyDescent="0.25">
      <c r="A66">
        <v>1000</v>
      </c>
      <c r="B66">
        <v>1801.3629149999999</v>
      </c>
      <c r="C66">
        <v>-7.042999</v>
      </c>
      <c r="D66" t="s">
        <v>398</v>
      </c>
      <c r="E66">
        <f t="shared" ref="E66:E129" si="5">B66-$P$3</f>
        <v>317.36291499999993</v>
      </c>
      <c r="F66">
        <f t="shared" si="2"/>
        <v>3.8800149999999576</v>
      </c>
      <c r="G66">
        <v>640</v>
      </c>
      <c r="H66">
        <f t="shared" si="3"/>
        <v>1.3558390196070798</v>
      </c>
      <c r="I66">
        <f t="shared" ref="I66:I97" si="6">LN(B66)</f>
        <v>7.4962988323718829</v>
      </c>
    </row>
    <row r="67" spans="1:9" x14ac:dyDescent="0.25">
      <c r="A67">
        <v>1000</v>
      </c>
      <c r="B67">
        <v>1800.7128909999999</v>
      </c>
      <c r="C67">
        <v>-7.0238480000000001</v>
      </c>
      <c r="D67" t="s">
        <v>399</v>
      </c>
      <c r="E67">
        <f t="shared" si="5"/>
        <v>316.7128909999999</v>
      </c>
      <c r="F67">
        <f t="shared" ref="F67:F129" si="7">E67-$R$3</f>
        <v>3.2299909999999272</v>
      </c>
      <c r="G67">
        <v>650</v>
      </c>
      <c r="H67">
        <f t="shared" ref="H67:H129" si="8">LN(F67)</f>
        <v>1.1724793508529516</v>
      </c>
      <c r="I67">
        <f t="shared" si="6"/>
        <v>7.4959379160324922</v>
      </c>
    </row>
    <row r="68" spans="1:9" x14ac:dyDescent="0.25">
      <c r="A68">
        <v>1000</v>
      </c>
      <c r="B68">
        <v>1800.9456789999999</v>
      </c>
      <c r="C68">
        <v>-7.0175640000000001</v>
      </c>
      <c r="D68" t="s">
        <v>62</v>
      </c>
      <c r="E68">
        <f t="shared" si="5"/>
        <v>316.94567899999993</v>
      </c>
      <c r="F68">
        <f t="shared" si="7"/>
        <v>3.462778999999955</v>
      </c>
      <c r="G68">
        <v>660</v>
      </c>
      <c r="H68">
        <f t="shared" si="8"/>
        <v>1.2420714458845705</v>
      </c>
      <c r="I68">
        <f t="shared" si="6"/>
        <v>7.4960671831441852</v>
      </c>
    </row>
    <row r="69" spans="1:9" x14ac:dyDescent="0.25">
      <c r="A69">
        <v>1000</v>
      </c>
      <c r="B69">
        <v>1800.0004879999999</v>
      </c>
      <c r="C69">
        <v>-6.9963769999999998</v>
      </c>
      <c r="D69" t="s">
        <v>400</v>
      </c>
      <c r="E69">
        <f t="shared" si="5"/>
        <v>316.0004879999999</v>
      </c>
      <c r="F69">
        <f t="shared" si="7"/>
        <v>2.5175879999999324</v>
      </c>
      <c r="G69">
        <v>670</v>
      </c>
      <c r="H69">
        <f t="shared" si="8"/>
        <v>0.92330130031244106</v>
      </c>
      <c r="I69">
        <f t="shared" si="6"/>
        <v>7.4955422149953304</v>
      </c>
    </row>
    <row r="70" spans="1:9" x14ac:dyDescent="0.25">
      <c r="A70">
        <v>1000</v>
      </c>
      <c r="B70">
        <v>1800.3666989999999</v>
      </c>
      <c r="C70">
        <v>-6.9889590000000004</v>
      </c>
      <c r="D70" t="s">
        <v>401</v>
      </c>
      <c r="E70">
        <f t="shared" si="5"/>
        <v>316.36669899999993</v>
      </c>
      <c r="F70">
        <f t="shared" si="7"/>
        <v>2.8837989999999536</v>
      </c>
      <c r="G70">
        <v>680</v>
      </c>
      <c r="H70">
        <f t="shared" si="8"/>
        <v>1.0591085221256478</v>
      </c>
      <c r="I70">
        <f t="shared" si="6"/>
        <v>7.495745644802482</v>
      </c>
    </row>
    <row r="71" spans="1:9" x14ac:dyDescent="0.25">
      <c r="A71">
        <v>1000</v>
      </c>
      <c r="B71">
        <v>1800.153198</v>
      </c>
      <c r="C71">
        <v>-6.9886179999999998</v>
      </c>
      <c r="D71" t="s">
        <v>402</v>
      </c>
      <c r="E71">
        <f t="shared" si="5"/>
        <v>316.15319799999997</v>
      </c>
      <c r="F71">
        <f t="shared" si="7"/>
        <v>2.6702980000000025</v>
      </c>
      <c r="G71">
        <v>690</v>
      </c>
      <c r="H71">
        <f t="shared" si="8"/>
        <v>0.98219007667106351</v>
      </c>
      <c r="I71">
        <f t="shared" si="6"/>
        <v>7.4956270502626055</v>
      </c>
    </row>
    <row r="72" spans="1:9" x14ac:dyDescent="0.25">
      <c r="A72">
        <v>1000</v>
      </c>
      <c r="B72">
        <v>1799.8168949999999</v>
      </c>
      <c r="C72">
        <v>-6.9467080000000001</v>
      </c>
      <c r="D72" t="s">
        <v>403</v>
      </c>
      <c r="E72">
        <f t="shared" si="5"/>
        <v>315.81689499999993</v>
      </c>
      <c r="F72">
        <f t="shared" si="7"/>
        <v>2.333994999999959</v>
      </c>
      <c r="G72">
        <v>700</v>
      </c>
      <c r="H72">
        <f t="shared" si="8"/>
        <v>0.84758139161697921</v>
      </c>
      <c r="I72">
        <f t="shared" si="6"/>
        <v>7.4954402137099176</v>
      </c>
    </row>
    <row r="73" spans="1:9" x14ac:dyDescent="0.25">
      <c r="A73">
        <v>1000</v>
      </c>
      <c r="B73">
        <v>1799.683716</v>
      </c>
      <c r="C73">
        <v>-6.9478280000000003</v>
      </c>
      <c r="D73" t="s">
        <v>404</v>
      </c>
      <c r="E73">
        <f t="shared" si="5"/>
        <v>315.683716</v>
      </c>
      <c r="F73">
        <f t="shared" si="7"/>
        <v>2.2008160000000316</v>
      </c>
      <c r="G73">
        <v>710</v>
      </c>
      <c r="H73">
        <f t="shared" si="8"/>
        <v>0.78882820068542114</v>
      </c>
      <c r="I73">
        <f t="shared" si="6"/>
        <v>7.4953662151115266</v>
      </c>
    </row>
    <row r="74" spans="1:9" x14ac:dyDescent="0.25">
      <c r="A74">
        <v>1000</v>
      </c>
      <c r="B74">
        <v>1799.0235600000001</v>
      </c>
      <c r="C74">
        <v>-6.9175019999999998</v>
      </c>
      <c r="D74" t="s">
        <v>68</v>
      </c>
      <c r="E74">
        <f t="shared" si="5"/>
        <v>315.02356000000009</v>
      </c>
      <c r="F74">
        <f t="shared" si="7"/>
        <v>1.5406600000001163</v>
      </c>
      <c r="G74">
        <v>720</v>
      </c>
      <c r="H74">
        <f t="shared" si="8"/>
        <v>0.43221089604368063</v>
      </c>
      <c r="I74">
        <f t="shared" si="6"/>
        <v>7.494999330029315</v>
      </c>
    </row>
    <row r="75" spans="1:9" x14ac:dyDescent="0.25">
      <c r="A75">
        <v>1000</v>
      </c>
      <c r="B75">
        <v>1798.6595460000001</v>
      </c>
      <c r="C75">
        <v>-6.9071879999999997</v>
      </c>
      <c r="D75" t="s">
        <v>405</v>
      </c>
      <c r="E75">
        <f t="shared" si="5"/>
        <v>314.65954600000009</v>
      </c>
      <c r="F75">
        <f t="shared" si="7"/>
        <v>1.1766460000001189</v>
      </c>
      <c r="G75">
        <v>730</v>
      </c>
      <c r="H75">
        <f t="shared" si="8"/>
        <v>0.1626680183835757</v>
      </c>
      <c r="I75">
        <f t="shared" si="6"/>
        <v>7.4947969697932866</v>
      </c>
    </row>
    <row r="76" spans="1:9" x14ac:dyDescent="0.25">
      <c r="A76">
        <v>1000</v>
      </c>
      <c r="B76">
        <v>1798.511475</v>
      </c>
      <c r="C76">
        <v>-6.8974070000000003</v>
      </c>
      <c r="D76" t="s">
        <v>406</v>
      </c>
      <c r="E76">
        <f t="shared" si="5"/>
        <v>314.51147500000002</v>
      </c>
      <c r="F76">
        <f t="shared" si="7"/>
        <v>1.0285750000000462</v>
      </c>
      <c r="G76">
        <v>740</v>
      </c>
      <c r="H76">
        <f t="shared" si="8"/>
        <v>2.8174349182935314E-2</v>
      </c>
      <c r="I76">
        <f t="shared" si="6"/>
        <v>7.4947146434322551</v>
      </c>
    </row>
    <row r="77" spans="1:9" x14ac:dyDescent="0.25">
      <c r="A77">
        <v>1000</v>
      </c>
      <c r="B77">
        <v>1798.6904300000001</v>
      </c>
      <c r="C77">
        <v>-6.875756</v>
      </c>
      <c r="D77" t="s">
        <v>407</v>
      </c>
      <c r="E77">
        <f t="shared" si="5"/>
        <v>314.69043000000011</v>
      </c>
      <c r="F77">
        <f t="shared" si="7"/>
        <v>1.2075300000001334</v>
      </c>
      <c r="G77">
        <v>750</v>
      </c>
      <c r="H77">
        <f t="shared" si="8"/>
        <v>0.18857695095657315</v>
      </c>
      <c r="I77">
        <f t="shared" si="6"/>
        <v>7.4948141402105142</v>
      </c>
    </row>
    <row r="78" spans="1:9" x14ac:dyDescent="0.25">
      <c r="A78">
        <v>1000</v>
      </c>
      <c r="B78">
        <v>1798.0500489999999</v>
      </c>
      <c r="C78">
        <v>-6.8744719999999999</v>
      </c>
      <c r="D78" t="s">
        <v>72</v>
      </c>
      <c r="E78">
        <f t="shared" si="5"/>
        <v>314.05004899999994</v>
      </c>
      <c r="F78">
        <f t="shared" si="7"/>
        <v>0.56714899999997215</v>
      </c>
      <c r="G78">
        <v>760</v>
      </c>
      <c r="H78">
        <f t="shared" si="8"/>
        <v>-0.56713322318066384</v>
      </c>
      <c r="I78">
        <f t="shared" si="6"/>
        <v>7.4944580505729634</v>
      </c>
    </row>
    <row r="79" spans="1:9" x14ac:dyDescent="0.25">
      <c r="A79">
        <v>1000</v>
      </c>
      <c r="B79">
        <v>1798.229126</v>
      </c>
      <c r="C79">
        <v>-6.8528190000000002</v>
      </c>
      <c r="D79" t="s">
        <v>73</v>
      </c>
      <c r="E79">
        <f t="shared" si="5"/>
        <v>314.22912599999995</v>
      </c>
      <c r="F79">
        <f t="shared" si="7"/>
        <v>0.74622599999997874</v>
      </c>
      <c r="G79">
        <v>770</v>
      </c>
      <c r="H79">
        <f t="shared" si="8"/>
        <v>-0.29272677559654353</v>
      </c>
      <c r="I79">
        <f t="shared" si="6"/>
        <v>7.4945576407279173</v>
      </c>
    </row>
    <row r="80" spans="1:9" x14ac:dyDescent="0.25">
      <c r="A80">
        <v>1000</v>
      </c>
      <c r="B80">
        <v>1797.502686</v>
      </c>
      <c r="C80">
        <v>-6.8321649999999998</v>
      </c>
      <c r="D80" t="s">
        <v>408</v>
      </c>
      <c r="E80">
        <f t="shared" si="5"/>
        <v>313.50268600000004</v>
      </c>
      <c r="F80">
        <f t="shared" si="7"/>
        <v>1.9786000000067361E-2</v>
      </c>
      <c r="G80">
        <v>780</v>
      </c>
      <c r="H80">
        <f t="shared" si="8"/>
        <v>-3.9227806620777019</v>
      </c>
      <c r="I80">
        <f t="shared" si="6"/>
        <v>7.4941535838917206</v>
      </c>
    </row>
    <row r="81" spans="1:9" x14ac:dyDescent="0.25">
      <c r="A81">
        <v>1000</v>
      </c>
      <c r="B81">
        <v>1797.966187</v>
      </c>
      <c r="C81">
        <v>-6.8373160000000004</v>
      </c>
      <c r="D81" t="s">
        <v>75</v>
      </c>
      <c r="E81">
        <f t="shared" si="5"/>
        <v>313.96618699999999</v>
      </c>
      <c r="F81">
        <f t="shared" si="7"/>
        <v>0.48328700000001845</v>
      </c>
      <c r="G81">
        <v>790</v>
      </c>
      <c r="H81">
        <f t="shared" si="8"/>
        <v>-0.7271445988996158</v>
      </c>
      <c r="I81">
        <f t="shared" si="6"/>
        <v>7.4944114089592935</v>
      </c>
    </row>
    <row r="82" spans="1:9" x14ac:dyDescent="0.25">
      <c r="A82">
        <v>1000</v>
      </c>
      <c r="B82">
        <v>1797.4696039999999</v>
      </c>
      <c r="C82">
        <v>-6.8101310000000002</v>
      </c>
      <c r="D82" t="s">
        <v>409</v>
      </c>
      <c r="E82">
        <f t="shared" si="5"/>
        <v>313.46960399999989</v>
      </c>
      <c r="F82">
        <f t="shared" si="7"/>
        <v>-1.3296000000082131E-2</v>
      </c>
      <c r="G82">
        <v>800</v>
      </c>
      <c r="H82" t="e">
        <f t="shared" si="8"/>
        <v>#NUM!</v>
      </c>
      <c r="I82">
        <f t="shared" si="6"/>
        <v>7.4941351792992332</v>
      </c>
    </row>
    <row r="83" spans="1:9" x14ac:dyDescent="0.25">
      <c r="A83">
        <v>1000</v>
      </c>
      <c r="B83">
        <v>1797.0047609999999</v>
      </c>
      <c r="C83">
        <v>-6.7870039999999996</v>
      </c>
      <c r="D83" t="s">
        <v>410</v>
      </c>
      <c r="E83">
        <f t="shared" si="5"/>
        <v>313.00476099999992</v>
      </c>
      <c r="F83">
        <f t="shared" si="7"/>
        <v>-0.4781390000000556</v>
      </c>
      <c r="G83">
        <v>810</v>
      </c>
      <c r="H83" t="e">
        <f t="shared" si="8"/>
        <v>#NUM!</v>
      </c>
      <c r="I83">
        <f t="shared" si="6"/>
        <v>7.4938765361957422</v>
      </c>
    </row>
    <row r="84" spans="1:9" x14ac:dyDescent="0.25">
      <c r="A84">
        <v>1000</v>
      </c>
      <c r="B84">
        <v>1796.8564449999999</v>
      </c>
      <c r="C84">
        <v>-6.7592049999999997</v>
      </c>
      <c r="D84" t="s">
        <v>411</v>
      </c>
      <c r="E84">
        <f t="shared" si="5"/>
        <v>312.85644499999989</v>
      </c>
      <c r="F84">
        <f t="shared" si="7"/>
        <v>-0.62645500000007814</v>
      </c>
      <c r="G84">
        <v>820</v>
      </c>
      <c r="H84" t="e">
        <f t="shared" si="8"/>
        <v>#NUM!</v>
      </c>
      <c r="I84">
        <f t="shared" si="6"/>
        <v>7.4937939976715295</v>
      </c>
    </row>
    <row r="85" spans="1:9" x14ac:dyDescent="0.25">
      <c r="A85">
        <v>1000</v>
      </c>
      <c r="B85">
        <v>1796.394775</v>
      </c>
      <c r="C85">
        <v>-6.7720589999999996</v>
      </c>
      <c r="D85" t="s">
        <v>79</v>
      </c>
      <c r="E85">
        <f t="shared" si="5"/>
        <v>312.39477499999998</v>
      </c>
      <c r="F85">
        <f t="shared" si="7"/>
        <v>-1.0881249999999909</v>
      </c>
      <c r="G85">
        <v>830</v>
      </c>
      <c r="H85" t="e">
        <f t="shared" si="8"/>
        <v>#NUM!</v>
      </c>
      <c r="I85">
        <f t="shared" si="6"/>
        <v>7.4935370326143849</v>
      </c>
    </row>
    <row r="86" spans="1:9" x14ac:dyDescent="0.25">
      <c r="A86">
        <v>1000</v>
      </c>
      <c r="B86">
        <v>1796.049927</v>
      </c>
      <c r="C86">
        <v>-6.7548339999999998</v>
      </c>
      <c r="D86" t="s">
        <v>80</v>
      </c>
      <c r="E86">
        <f t="shared" si="5"/>
        <v>312.04992700000003</v>
      </c>
      <c r="F86">
        <f t="shared" si="7"/>
        <v>-1.4329729999999472</v>
      </c>
      <c r="G86">
        <v>840</v>
      </c>
      <c r="H86" t="e">
        <f t="shared" si="8"/>
        <v>#NUM!</v>
      </c>
      <c r="I86">
        <f t="shared" si="6"/>
        <v>7.4933450474735324</v>
      </c>
    </row>
    <row r="87" spans="1:9" x14ac:dyDescent="0.25">
      <c r="A87">
        <v>1000</v>
      </c>
      <c r="B87">
        <v>1796.282837</v>
      </c>
      <c r="C87">
        <v>-6.7484960000000003</v>
      </c>
      <c r="D87" t="s">
        <v>81</v>
      </c>
      <c r="E87">
        <f t="shared" si="5"/>
        <v>312.28283699999997</v>
      </c>
      <c r="F87">
        <f t="shared" si="7"/>
        <v>-1.2000630000000001</v>
      </c>
      <c r="G87">
        <v>850</v>
      </c>
      <c r="H87" t="e">
        <f t="shared" si="8"/>
        <v>#NUM!</v>
      </c>
      <c r="I87">
        <f t="shared" si="6"/>
        <v>7.4934747180890504</v>
      </c>
    </row>
    <row r="88" spans="1:9" x14ac:dyDescent="0.25">
      <c r="A88">
        <v>1000</v>
      </c>
      <c r="B88">
        <v>1796.6791989999999</v>
      </c>
      <c r="C88">
        <v>-6.7453669999999999</v>
      </c>
      <c r="D88" t="s">
        <v>82</v>
      </c>
      <c r="E88">
        <f t="shared" si="5"/>
        <v>312.67919899999993</v>
      </c>
      <c r="F88">
        <f t="shared" si="7"/>
        <v>-0.80370100000004641</v>
      </c>
      <c r="G88">
        <v>860</v>
      </c>
      <c r="H88" t="e">
        <f t="shared" si="8"/>
        <v>#NUM!</v>
      </c>
      <c r="I88">
        <f t="shared" si="6"/>
        <v>7.4936953505352806</v>
      </c>
    </row>
    <row r="89" spans="1:9" x14ac:dyDescent="0.25">
      <c r="A89">
        <v>1000</v>
      </c>
      <c r="B89">
        <v>1796.1473390000001</v>
      </c>
      <c r="C89">
        <v>-6.7139620000000004</v>
      </c>
      <c r="D89" t="s">
        <v>83</v>
      </c>
      <c r="E89">
        <f t="shared" si="5"/>
        <v>312.1473390000001</v>
      </c>
      <c r="F89">
        <f t="shared" si="7"/>
        <v>-1.3355609999998705</v>
      </c>
      <c r="G89">
        <v>870</v>
      </c>
      <c r="H89" t="e">
        <f t="shared" si="8"/>
        <v>#NUM!</v>
      </c>
      <c r="I89">
        <f t="shared" si="6"/>
        <v>7.4933992828023914</v>
      </c>
    </row>
    <row r="90" spans="1:9" x14ac:dyDescent="0.25">
      <c r="A90">
        <v>1000</v>
      </c>
      <c r="B90">
        <v>1795.8645019999999</v>
      </c>
      <c r="C90">
        <v>-6.7051379999999998</v>
      </c>
      <c r="D90" t="s">
        <v>412</v>
      </c>
      <c r="E90">
        <f t="shared" si="5"/>
        <v>311.8645019999999</v>
      </c>
      <c r="F90">
        <f t="shared" si="7"/>
        <v>-1.6183980000000702</v>
      </c>
      <c r="G90">
        <v>880</v>
      </c>
      <c r="H90" t="e">
        <f t="shared" si="8"/>
        <v>#NUM!</v>
      </c>
      <c r="I90">
        <f t="shared" si="6"/>
        <v>7.4932418016953664</v>
      </c>
    </row>
    <row r="91" spans="1:9" x14ac:dyDescent="0.25">
      <c r="A91">
        <v>1000</v>
      </c>
      <c r="B91">
        <v>1795.3881839999999</v>
      </c>
      <c r="C91">
        <v>-6.6890590000000003</v>
      </c>
      <c r="D91" t="s">
        <v>85</v>
      </c>
      <c r="E91">
        <f t="shared" si="5"/>
        <v>311.38818399999991</v>
      </c>
      <c r="F91">
        <f t="shared" si="7"/>
        <v>-2.0947160000000622</v>
      </c>
      <c r="G91">
        <v>890</v>
      </c>
      <c r="H91" t="e">
        <f t="shared" si="8"/>
        <v>#NUM!</v>
      </c>
      <c r="I91">
        <f t="shared" si="6"/>
        <v>7.4929765360377028</v>
      </c>
    </row>
    <row r="92" spans="1:9" x14ac:dyDescent="0.25">
      <c r="A92">
        <v>1000</v>
      </c>
      <c r="B92">
        <v>1796.0673830000001</v>
      </c>
      <c r="C92">
        <v>-6.6947419999999997</v>
      </c>
      <c r="D92" t="s">
        <v>413</v>
      </c>
      <c r="E92">
        <f t="shared" si="5"/>
        <v>312.06738300000006</v>
      </c>
      <c r="F92">
        <f t="shared" si="7"/>
        <v>-1.4155169999999089</v>
      </c>
      <c r="G92">
        <v>900</v>
      </c>
      <c r="H92" t="e">
        <f t="shared" si="8"/>
        <v>#NUM!</v>
      </c>
      <c r="I92">
        <f t="shared" si="6"/>
        <v>7.4933547665325131</v>
      </c>
    </row>
    <row r="93" spans="1:9" x14ac:dyDescent="0.25">
      <c r="A93">
        <v>1000</v>
      </c>
      <c r="B93">
        <v>1795.897461</v>
      </c>
      <c r="C93">
        <v>-6.6736769999999996</v>
      </c>
      <c r="D93" t="s">
        <v>414</v>
      </c>
      <c r="E93">
        <f t="shared" si="5"/>
        <v>311.89746100000002</v>
      </c>
      <c r="F93">
        <f t="shared" si="7"/>
        <v>-1.5854389999999512</v>
      </c>
      <c r="G93">
        <v>910</v>
      </c>
      <c r="H93" t="e">
        <f t="shared" si="8"/>
        <v>#NUM!</v>
      </c>
      <c r="I93">
        <f t="shared" si="6"/>
        <v>7.493260154247869</v>
      </c>
    </row>
    <row r="94" spans="1:9" x14ac:dyDescent="0.25">
      <c r="A94">
        <v>1000</v>
      </c>
      <c r="B94">
        <v>1795.6870120000001</v>
      </c>
      <c r="C94">
        <v>-6.6732820000000004</v>
      </c>
      <c r="D94" t="s">
        <v>88</v>
      </c>
      <c r="E94">
        <f t="shared" si="5"/>
        <v>311.6870120000001</v>
      </c>
      <c r="F94">
        <f t="shared" si="7"/>
        <v>-1.7958879999998771</v>
      </c>
      <c r="G94">
        <v>920</v>
      </c>
      <c r="H94" t="e">
        <f t="shared" si="8"/>
        <v>#NUM!</v>
      </c>
      <c r="I94">
        <f t="shared" si="6"/>
        <v>7.4931429641877028</v>
      </c>
    </row>
    <row r="95" spans="1:9" x14ac:dyDescent="0.25">
      <c r="A95">
        <v>1000</v>
      </c>
      <c r="B95">
        <v>1795.7695309999999</v>
      </c>
      <c r="C95">
        <v>-6.6569570000000002</v>
      </c>
      <c r="D95" t="s">
        <v>89</v>
      </c>
      <c r="E95">
        <f t="shared" si="5"/>
        <v>311.76953099999992</v>
      </c>
      <c r="F95">
        <f t="shared" si="7"/>
        <v>-1.713369000000057</v>
      </c>
      <c r="G95">
        <v>930</v>
      </c>
      <c r="H95" t="e">
        <f t="shared" si="8"/>
        <v>#NUM!</v>
      </c>
      <c r="I95">
        <f t="shared" si="6"/>
        <v>7.4931889171313211</v>
      </c>
    </row>
    <row r="96" spans="1:9" x14ac:dyDescent="0.25">
      <c r="A96">
        <v>1000</v>
      </c>
      <c r="B96">
        <v>1795.3359379999999</v>
      </c>
      <c r="C96">
        <v>-6.6381880000000004</v>
      </c>
      <c r="D96" t="s">
        <v>415</v>
      </c>
      <c r="E96">
        <f t="shared" si="5"/>
        <v>311.33593799999994</v>
      </c>
      <c r="F96">
        <f t="shared" si="7"/>
        <v>-2.1469620000000305</v>
      </c>
      <c r="G96">
        <v>940</v>
      </c>
      <c r="H96" t="e">
        <f t="shared" si="8"/>
        <v>#NUM!</v>
      </c>
      <c r="I96">
        <f t="shared" si="6"/>
        <v>7.4929474355007484</v>
      </c>
    </row>
    <row r="97" spans="1:9" x14ac:dyDescent="0.25">
      <c r="A97">
        <v>1000</v>
      </c>
      <c r="B97">
        <v>1795.135986</v>
      </c>
      <c r="C97">
        <v>-6.6130800000000001</v>
      </c>
      <c r="D97" t="s">
        <v>416</v>
      </c>
      <c r="E97">
        <f t="shared" si="5"/>
        <v>311.135986</v>
      </c>
      <c r="F97">
        <f t="shared" si="7"/>
        <v>-2.3469139999999697</v>
      </c>
      <c r="G97">
        <v>950</v>
      </c>
      <c r="H97" t="e">
        <f t="shared" si="8"/>
        <v>#NUM!</v>
      </c>
      <c r="I97">
        <f t="shared" si="6"/>
        <v>7.492836056270141</v>
      </c>
    </row>
    <row r="98" spans="1:9" x14ac:dyDescent="0.25">
      <c r="A98">
        <v>1000</v>
      </c>
      <c r="B98">
        <v>1794.7921140000001</v>
      </c>
      <c r="C98">
        <v>-6.5958129999999997</v>
      </c>
      <c r="D98" t="s">
        <v>417</v>
      </c>
      <c r="E98">
        <f t="shared" si="5"/>
        <v>310.79211400000008</v>
      </c>
      <c r="F98">
        <f t="shared" si="7"/>
        <v>-2.6907859999998891</v>
      </c>
      <c r="G98">
        <v>960</v>
      </c>
      <c r="H98" t="e">
        <f t="shared" si="8"/>
        <v>#NUM!</v>
      </c>
      <c r="I98">
        <f t="shared" ref="I98:I129" si="9">LN(B98)</f>
        <v>7.4926444802878516</v>
      </c>
    </row>
    <row r="99" spans="1:9" x14ac:dyDescent="0.25">
      <c r="A99">
        <v>1000</v>
      </c>
      <c r="B99">
        <v>1795.508057</v>
      </c>
      <c r="C99">
        <v>-6.6057030000000001</v>
      </c>
      <c r="D99" t="s">
        <v>418</v>
      </c>
      <c r="E99">
        <f t="shared" si="5"/>
        <v>311.50805700000001</v>
      </c>
      <c r="F99">
        <f t="shared" si="7"/>
        <v>-1.9748429999999644</v>
      </c>
      <c r="G99">
        <v>970</v>
      </c>
      <c r="H99" t="e">
        <f t="shared" si="8"/>
        <v>#NUM!</v>
      </c>
      <c r="I99">
        <f t="shared" si="9"/>
        <v>7.4930433009855042</v>
      </c>
    </row>
    <row r="100" spans="1:9" x14ac:dyDescent="0.25">
      <c r="A100">
        <v>1000</v>
      </c>
      <c r="B100">
        <v>1795.423096</v>
      </c>
      <c r="C100">
        <v>-6.5863329999999998</v>
      </c>
      <c r="D100" t="s">
        <v>94</v>
      </c>
      <c r="E100">
        <f t="shared" si="5"/>
        <v>311.42309599999999</v>
      </c>
      <c r="F100">
        <f t="shared" si="7"/>
        <v>-2.0598039999999855</v>
      </c>
      <c r="G100">
        <v>980</v>
      </c>
      <c r="H100" t="e">
        <f t="shared" si="8"/>
        <v>#NUM!</v>
      </c>
      <c r="I100">
        <f t="shared" si="9"/>
        <v>7.4929959812255893</v>
      </c>
    </row>
    <row r="101" spans="1:9" x14ac:dyDescent="0.25">
      <c r="A101">
        <v>1000</v>
      </c>
      <c r="B101">
        <v>1795.0623780000001</v>
      </c>
      <c r="C101">
        <v>-6.5759650000000001</v>
      </c>
      <c r="D101" t="s">
        <v>419</v>
      </c>
      <c r="E101">
        <f t="shared" si="5"/>
        <v>311.06237800000008</v>
      </c>
      <c r="F101">
        <f t="shared" si="7"/>
        <v>-2.4205219999998917</v>
      </c>
      <c r="G101">
        <v>990</v>
      </c>
      <c r="H101" t="e">
        <f t="shared" si="8"/>
        <v>#NUM!</v>
      </c>
      <c r="I101">
        <f t="shared" si="9"/>
        <v>7.4927950512935082</v>
      </c>
    </row>
    <row r="102" spans="1:9" x14ac:dyDescent="0.25">
      <c r="A102">
        <v>1000</v>
      </c>
      <c r="B102">
        <v>1794.9605710000001</v>
      </c>
      <c r="C102">
        <v>-6.5635339999999998</v>
      </c>
      <c r="D102" t="s">
        <v>96</v>
      </c>
      <c r="E102">
        <f t="shared" si="5"/>
        <v>310.96057100000007</v>
      </c>
      <c r="F102">
        <f t="shared" si="7"/>
        <v>-2.5223289999998997</v>
      </c>
      <c r="G102">
        <v>1000</v>
      </c>
      <c r="H102" t="e">
        <f t="shared" si="8"/>
        <v>#NUM!</v>
      </c>
      <c r="I102">
        <f t="shared" si="9"/>
        <v>7.4927383346644101</v>
      </c>
    </row>
    <row r="103" spans="1:9" x14ac:dyDescent="0.25">
      <c r="A103">
        <v>1000</v>
      </c>
      <c r="B103">
        <v>1795.3258060000001</v>
      </c>
      <c r="C103">
        <v>-6.5559940000000001</v>
      </c>
      <c r="D103" t="s">
        <v>420</v>
      </c>
      <c r="E103">
        <f t="shared" si="5"/>
        <v>311.32580600000006</v>
      </c>
      <c r="F103">
        <f t="shared" si="7"/>
        <v>-2.1570939999999155</v>
      </c>
      <c r="G103">
        <v>1010</v>
      </c>
      <c r="H103" t="e">
        <f t="shared" si="8"/>
        <v>#NUM!</v>
      </c>
      <c r="I103">
        <f t="shared" si="9"/>
        <v>7.4929417919727737</v>
      </c>
    </row>
    <row r="104" spans="1:9" x14ac:dyDescent="0.25">
      <c r="A104">
        <v>1000</v>
      </c>
      <c r="B104">
        <v>1794.965698</v>
      </c>
      <c r="C104">
        <v>-6.5456250000000002</v>
      </c>
      <c r="D104" t="s">
        <v>98</v>
      </c>
      <c r="E104">
        <f t="shared" si="5"/>
        <v>310.96569799999997</v>
      </c>
      <c r="F104">
        <f t="shared" si="7"/>
        <v>-2.5172019999999975</v>
      </c>
      <c r="G104">
        <v>1020</v>
      </c>
      <c r="H104" t="e">
        <f t="shared" si="8"/>
        <v>#NUM!</v>
      </c>
      <c r="I104">
        <f t="shared" si="9"/>
        <v>7.4927411909904817</v>
      </c>
    </row>
    <row r="105" spans="1:9" x14ac:dyDescent="0.25">
      <c r="A105">
        <v>1000</v>
      </c>
      <c r="B105">
        <v>1794.5692140000001</v>
      </c>
      <c r="C105">
        <v>-6.5310769999999998</v>
      </c>
      <c r="D105" t="s">
        <v>99</v>
      </c>
      <c r="E105">
        <f t="shared" si="5"/>
        <v>310.5692140000001</v>
      </c>
      <c r="F105">
        <f t="shared" si="7"/>
        <v>-2.9136859999998705</v>
      </c>
      <c r="G105">
        <v>1030</v>
      </c>
      <c r="H105" t="e">
        <f t="shared" si="8"/>
        <v>#NUM!</v>
      </c>
      <c r="I105">
        <f t="shared" si="9"/>
        <v>7.492520279919086</v>
      </c>
    </row>
    <row r="106" spans="1:9" x14ac:dyDescent="0.25">
      <c r="A106">
        <v>1000</v>
      </c>
      <c r="B106">
        <v>1795.0614009999999</v>
      </c>
      <c r="C106">
        <v>-6.5226069999999998</v>
      </c>
      <c r="D106" t="s">
        <v>421</v>
      </c>
      <c r="E106">
        <f t="shared" si="5"/>
        <v>311.06140099999993</v>
      </c>
      <c r="F106">
        <f t="shared" si="7"/>
        <v>-2.4214990000000398</v>
      </c>
      <c r="G106">
        <v>1040</v>
      </c>
      <c r="H106" t="e">
        <f t="shared" si="8"/>
        <v>#NUM!</v>
      </c>
      <c r="I106">
        <f t="shared" si="9"/>
        <v>7.4927945070225803</v>
      </c>
    </row>
    <row r="107" spans="1:9" x14ac:dyDescent="0.25">
      <c r="A107">
        <v>1000</v>
      </c>
      <c r="B107">
        <v>1795.073975</v>
      </c>
      <c r="C107">
        <v>-6.5159539999999998</v>
      </c>
      <c r="D107" t="s">
        <v>101</v>
      </c>
      <c r="E107">
        <f t="shared" si="5"/>
        <v>311.07397500000002</v>
      </c>
      <c r="F107">
        <f t="shared" si="7"/>
        <v>-2.4089249999999538</v>
      </c>
      <c r="G107">
        <v>1050</v>
      </c>
      <c r="H107" t="e">
        <f t="shared" si="8"/>
        <v>#NUM!</v>
      </c>
      <c r="I107">
        <f t="shared" si="9"/>
        <v>7.492801511772365</v>
      </c>
    </row>
    <row r="108" spans="1:9" x14ac:dyDescent="0.25">
      <c r="A108">
        <v>1000</v>
      </c>
      <c r="B108">
        <v>1794.959595</v>
      </c>
      <c r="C108">
        <v>-6.5101899999999997</v>
      </c>
      <c r="D108" t="s">
        <v>102</v>
      </c>
      <c r="E108">
        <f t="shared" si="5"/>
        <v>310.95959500000004</v>
      </c>
      <c r="F108">
        <f t="shared" si="7"/>
        <v>-2.5233049999999366</v>
      </c>
      <c r="G108">
        <v>1060</v>
      </c>
      <c r="H108" t="e">
        <f t="shared" si="8"/>
        <v>#NUM!</v>
      </c>
      <c r="I108">
        <f t="shared" si="9"/>
        <v>7.492737790919727</v>
      </c>
    </row>
    <row r="109" spans="1:9" x14ac:dyDescent="0.25">
      <c r="A109">
        <v>1000</v>
      </c>
      <c r="B109">
        <v>1795.0233149999999</v>
      </c>
      <c r="C109">
        <v>-6.4827190000000003</v>
      </c>
      <c r="D109" t="s">
        <v>422</v>
      </c>
      <c r="E109">
        <f t="shared" si="5"/>
        <v>311.02331499999991</v>
      </c>
      <c r="F109">
        <f t="shared" si="7"/>
        <v>-2.459585000000061</v>
      </c>
      <c r="G109">
        <v>1070</v>
      </c>
      <c r="H109" t="e">
        <f t="shared" si="8"/>
        <v>#NUM!</v>
      </c>
      <c r="I109">
        <f t="shared" si="9"/>
        <v>7.4927732896959638</v>
      </c>
    </row>
    <row r="110" spans="1:9" x14ac:dyDescent="0.25">
      <c r="A110">
        <v>1000</v>
      </c>
      <c r="B110">
        <v>1794.7974850000001</v>
      </c>
      <c r="C110">
        <v>-6.4892620000000001</v>
      </c>
      <c r="D110" t="s">
        <v>423</v>
      </c>
      <c r="E110">
        <f t="shared" si="5"/>
        <v>310.79748500000005</v>
      </c>
      <c r="F110">
        <f t="shared" si="7"/>
        <v>-2.6854149999999208</v>
      </c>
      <c r="G110">
        <v>1080</v>
      </c>
      <c r="H110" t="e">
        <f t="shared" si="8"/>
        <v>#NUM!</v>
      </c>
      <c r="I110">
        <f t="shared" si="9"/>
        <v>7.4926474728305097</v>
      </c>
    </row>
    <row r="111" spans="1:9" x14ac:dyDescent="0.25">
      <c r="A111">
        <v>1000</v>
      </c>
      <c r="B111">
        <v>1794.8438719999999</v>
      </c>
      <c r="C111">
        <v>-6.4687169999999998</v>
      </c>
      <c r="D111" t="s">
        <v>424</v>
      </c>
      <c r="E111">
        <f t="shared" si="5"/>
        <v>310.84387199999992</v>
      </c>
      <c r="F111">
        <f t="shared" si="7"/>
        <v>-2.639028000000053</v>
      </c>
      <c r="G111">
        <v>1090</v>
      </c>
      <c r="H111" t="e">
        <f t="shared" si="8"/>
        <v>#NUM!</v>
      </c>
      <c r="I111">
        <f t="shared" si="9"/>
        <v>7.4926733177522662</v>
      </c>
    </row>
    <row r="112" spans="1:9" x14ac:dyDescent="0.25">
      <c r="A112">
        <v>1000</v>
      </c>
      <c r="B112">
        <v>1795.155884</v>
      </c>
      <c r="C112">
        <v>-6.4639090000000001</v>
      </c>
      <c r="D112" t="s">
        <v>425</v>
      </c>
      <c r="E112">
        <f t="shared" si="5"/>
        <v>311.15588400000001</v>
      </c>
      <c r="F112">
        <f t="shared" si="7"/>
        <v>-2.3270159999999578</v>
      </c>
      <c r="G112">
        <v>1100</v>
      </c>
      <c r="H112" t="e">
        <f t="shared" si="8"/>
        <v>#NUM!</v>
      </c>
      <c r="I112">
        <f t="shared" si="9"/>
        <v>7.4928471406057442</v>
      </c>
    </row>
    <row r="113" spans="1:9" x14ac:dyDescent="0.25">
      <c r="A113">
        <v>1000</v>
      </c>
      <c r="B113">
        <v>1795.487183</v>
      </c>
      <c r="C113">
        <v>-6.4702060000000001</v>
      </c>
      <c r="D113" t="s">
        <v>107</v>
      </c>
      <c r="E113">
        <f t="shared" si="5"/>
        <v>311.48718299999996</v>
      </c>
      <c r="F113">
        <f t="shared" si="7"/>
        <v>-1.9957170000000133</v>
      </c>
      <c r="G113">
        <v>1110</v>
      </c>
      <c r="H113" t="e">
        <f t="shared" si="8"/>
        <v>#NUM!</v>
      </c>
      <c r="I113">
        <f t="shared" si="9"/>
        <v>7.4930316752390995</v>
      </c>
    </row>
    <row r="114" spans="1:9" x14ac:dyDescent="0.25">
      <c r="A114">
        <v>1000</v>
      </c>
      <c r="B114">
        <v>1795.4223629999999</v>
      </c>
      <c r="C114">
        <v>-6.461983</v>
      </c>
      <c r="D114" t="s">
        <v>108</v>
      </c>
      <c r="E114">
        <f t="shared" si="5"/>
        <v>311.4223629999999</v>
      </c>
      <c r="F114">
        <f t="shared" si="7"/>
        <v>-2.0605370000000676</v>
      </c>
      <c r="G114">
        <v>1120</v>
      </c>
      <c r="H114" t="e">
        <f t="shared" si="8"/>
        <v>#NUM!</v>
      </c>
      <c r="I114">
        <f t="shared" si="9"/>
        <v>7.4929955729651896</v>
      </c>
    </row>
    <row r="115" spans="1:9" x14ac:dyDescent="0.25">
      <c r="A115">
        <v>1000</v>
      </c>
      <c r="B115">
        <v>1795.271362</v>
      </c>
      <c r="C115">
        <v>-6.4520239999999998</v>
      </c>
      <c r="D115" t="s">
        <v>426</v>
      </c>
      <c r="E115">
        <f t="shared" si="5"/>
        <v>311.27136199999995</v>
      </c>
      <c r="F115">
        <f t="shared" si="7"/>
        <v>-2.2115380000000187</v>
      </c>
      <c r="G115">
        <v>1130</v>
      </c>
      <c r="H115" t="e">
        <f t="shared" si="8"/>
        <v>#NUM!</v>
      </c>
      <c r="I115">
        <f t="shared" si="9"/>
        <v>7.4929114660980201</v>
      </c>
    </row>
    <row r="116" spans="1:9" x14ac:dyDescent="0.25">
      <c r="A116">
        <v>1000</v>
      </c>
      <c r="B116">
        <v>1795.2066649999999</v>
      </c>
      <c r="C116">
        <v>-6.4438000000000004</v>
      </c>
      <c r="D116" t="s">
        <v>427</v>
      </c>
      <c r="E116">
        <f t="shared" si="5"/>
        <v>311.20666499999993</v>
      </c>
      <c r="F116">
        <f t="shared" si="7"/>
        <v>-2.2762350000000424</v>
      </c>
      <c r="G116">
        <v>1140</v>
      </c>
      <c r="H116" t="e">
        <f t="shared" si="8"/>
        <v>#NUM!</v>
      </c>
      <c r="I116">
        <f t="shared" si="9"/>
        <v>7.4928754279997385</v>
      </c>
    </row>
    <row r="117" spans="1:9" x14ac:dyDescent="0.25">
      <c r="A117">
        <v>1000</v>
      </c>
      <c r="B117">
        <v>1795.453857</v>
      </c>
      <c r="C117">
        <v>-6.4307550000000004</v>
      </c>
      <c r="D117" t="s">
        <v>111</v>
      </c>
      <c r="E117">
        <f t="shared" si="5"/>
        <v>311.45385699999997</v>
      </c>
      <c r="F117">
        <f t="shared" si="7"/>
        <v>-2.0290430000000015</v>
      </c>
      <c r="G117">
        <v>1150</v>
      </c>
      <c r="H117" t="e">
        <f t="shared" si="8"/>
        <v>#NUM!</v>
      </c>
      <c r="I117">
        <f t="shared" si="9"/>
        <v>7.4930131140877858</v>
      </c>
    </row>
    <row r="118" spans="1:9" x14ac:dyDescent="0.25">
      <c r="A118">
        <v>1000</v>
      </c>
      <c r="B118">
        <v>1795.319702</v>
      </c>
      <c r="C118">
        <v>-6.4138710000000003</v>
      </c>
      <c r="D118" t="s">
        <v>112</v>
      </c>
      <c r="E118">
        <f t="shared" si="5"/>
        <v>311.31970200000001</v>
      </c>
      <c r="F118">
        <f t="shared" si="7"/>
        <v>-2.1631979999999658</v>
      </c>
      <c r="G118">
        <v>1160</v>
      </c>
      <c r="H118" t="e">
        <f t="shared" si="8"/>
        <v>#NUM!</v>
      </c>
      <c r="I118">
        <f t="shared" si="9"/>
        <v>7.4929383920270052</v>
      </c>
    </row>
    <row r="119" spans="1:9" x14ac:dyDescent="0.25">
      <c r="A119">
        <v>1000</v>
      </c>
      <c r="B119">
        <v>1795.3862300000001</v>
      </c>
      <c r="C119">
        <v>-6.4044590000000001</v>
      </c>
      <c r="D119" t="s">
        <v>428</v>
      </c>
      <c r="E119">
        <f t="shared" si="5"/>
        <v>311.38623000000007</v>
      </c>
      <c r="F119">
        <f t="shared" si="7"/>
        <v>-2.0966699999999037</v>
      </c>
      <c r="G119">
        <v>1170</v>
      </c>
      <c r="H119" t="e">
        <f t="shared" si="8"/>
        <v>#NUM!</v>
      </c>
      <c r="I119">
        <f t="shared" si="9"/>
        <v>7.4929754476930874</v>
      </c>
    </row>
    <row r="120" spans="1:9" x14ac:dyDescent="0.25">
      <c r="A120">
        <v>1000</v>
      </c>
      <c r="B120">
        <v>1795.5668949999999</v>
      </c>
      <c r="C120">
        <v>-6.4008250000000002</v>
      </c>
      <c r="D120" t="s">
        <v>429</v>
      </c>
      <c r="E120">
        <f t="shared" si="5"/>
        <v>311.56689499999993</v>
      </c>
      <c r="F120">
        <f t="shared" si="7"/>
        <v>-1.916005000000041</v>
      </c>
      <c r="G120">
        <v>1180</v>
      </c>
      <c r="H120" t="e">
        <f t="shared" si="8"/>
        <v>#NUM!</v>
      </c>
      <c r="I120">
        <f t="shared" si="9"/>
        <v>7.4930760700035792</v>
      </c>
    </row>
    <row r="121" spans="1:9" x14ac:dyDescent="0.25">
      <c r="A121">
        <v>1000</v>
      </c>
      <c r="B121">
        <v>1795.851318</v>
      </c>
      <c r="C121">
        <v>-6.3919730000000001</v>
      </c>
      <c r="D121" t="s">
        <v>115</v>
      </c>
      <c r="E121">
        <f t="shared" si="5"/>
        <v>311.85131799999999</v>
      </c>
      <c r="F121">
        <f t="shared" si="7"/>
        <v>-1.6315819999999803</v>
      </c>
      <c r="G121">
        <v>1190</v>
      </c>
      <c r="H121" t="e">
        <f t="shared" si="8"/>
        <v>#NUM!</v>
      </c>
      <c r="I121">
        <f t="shared" si="9"/>
        <v>7.4932344603573204</v>
      </c>
    </row>
    <row r="122" spans="1:9" x14ac:dyDescent="0.25">
      <c r="A122">
        <v>1000</v>
      </c>
      <c r="B122">
        <v>1795.6629640000001</v>
      </c>
      <c r="C122">
        <v>-6.3778480000000002</v>
      </c>
      <c r="D122" t="s">
        <v>430</v>
      </c>
      <c r="E122">
        <f t="shared" si="5"/>
        <v>311.6629640000001</v>
      </c>
      <c r="F122">
        <f t="shared" si="7"/>
        <v>-1.8199359999998705</v>
      </c>
      <c r="G122">
        <v>1200</v>
      </c>
      <c r="H122" t="e">
        <f t="shared" si="8"/>
        <v>#NUM!</v>
      </c>
      <c r="I122">
        <f t="shared" si="9"/>
        <v>7.4931295720091846</v>
      </c>
    </row>
    <row r="123" spans="1:9" x14ac:dyDescent="0.25">
      <c r="A123">
        <v>1000</v>
      </c>
      <c r="B123">
        <v>1795.8808590000001</v>
      </c>
      <c r="C123">
        <v>-6.3783810000000001</v>
      </c>
      <c r="D123" t="s">
        <v>431</v>
      </c>
      <c r="E123">
        <f t="shared" si="5"/>
        <v>311.8808590000001</v>
      </c>
      <c r="F123">
        <f t="shared" si="7"/>
        <v>-1.6020409999998719</v>
      </c>
      <c r="G123">
        <v>1210</v>
      </c>
      <c r="H123" t="e">
        <f t="shared" si="8"/>
        <v>#NUM!</v>
      </c>
      <c r="I123">
        <f t="shared" si="9"/>
        <v>7.4932509098020699</v>
      </c>
    </row>
    <row r="124" spans="1:9" x14ac:dyDescent="0.25">
      <c r="A124">
        <v>1000</v>
      </c>
      <c r="B124">
        <v>1796.2423100000001</v>
      </c>
      <c r="C124">
        <v>-6.3711140000000004</v>
      </c>
      <c r="D124" t="s">
        <v>118</v>
      </c>
      <c r="E124">
        <f t="shared" si="5"/>
        <v>312.24231000000009</v>
      </c>
      <c r="F124">
        <f t="shared" si="7"/>
        <v>-1.2405899999998837</v>
      </c>
      <c r="G124">
        <v>1220</v>
      </c>
      <c r="H124" t="e">
        <f t="shared" si="8"/>
        <v>#NUM!</v>
      </c>
      <c r="I124">
        <f t="shared" si="9"/>
        <v>7.493452156242804</v>
      </c>
    </row>
    <row r="125" spans="1:9" x14ac:dyDescent="0.25">
      <c r="A125">
        <v>1000</v>
      </c>
      <c r="B125">
        <v>1795.9105219999999</v>
      </c>
      <c r="C125">
        <v>-6.3648030000000002</v>
      </c>
      <c r="D125" t="s">
        <v>119</v>
      </c>
      <c r="E125">
        <f t="shared" si="5"/>
        <v>311.9105219999999</v>
      </c>
      <c r="F125">
        <f t="shared" si="7"/>
        <v>-1.5723780000000716</v>
      </c>
      <c r="G125">
        <v>1230</v>
      </c>
      <c r="H125" t="e">
        <f t="shared" si="8"/>
        <v>#NUM!</v>
      </c>
      <c r="I125">
        <f t="shared" si="9"/>
        <v>7.493267426908357</v>
      </c>
    </row>
    <row r="126" spans="1:9" x14ac:dyDescent="0.25">
      <c r="A126">
        <v>1000</v>
      </c>
      <c r="B126">
        <v>1796.212769</v>
      </c>
      <c r="C126">
        <v>-6.3489979999999999</v>
      </c>
      <c r="D126" t="s">
        <v>432</v>
      </c>
      <c r="E126">
        <f t="shared" si="5"/>
        <v>312.21276899999998</v>
      </c>
      <c r="F126">
        <f t="shared" si="7"/>
        <v>-1.2701309999999921</v>
      </c>
      <c r="G126">
        <v>1240</v>
      </c>
      <c r="H126" t="e">
        <f t="shared" si="8"/>
        <v>#NUM!</v>
      </c>
      <c r="I126">
        <f t="shared" si="9"/>
        <v>7.493435710108141</v>
      </c>
    </row>
    <row r="127" spans="1:9" x14ac:dyDescent="0.25">
      <c r="A127">
        <v>1000</v>
      </c>
      <c r="B127">
        <v>1795.7075199999999</v>
      </c>
      <c r="C127">
        <v>-6.3400359999999996</v>
      </c>
      <c r="D127" t="s">
        <v>121</v>
      </c>
      <c r="E127">
        <f t="shared" si="5"/>
        <v>311.70751999999993</v>
      </c>
      <c r="F127">
        <f t="shared" si="7"/>
        <v>-1.775380000000041</v>
      </c>
      <c r="G127">
        <v>1250</v>
      </c>
      <c r="H127" t="e">
        <f t="shared" si="8"/>
        <v>#NUM!</v>
      </c>
      <c r="I127">
        <f t="shared" si="9"/>
        <v>7.4931543848210067</v>
      </c>
    </row>
    <row r="128" spans="1:9" x14ac:dyDescent="0.25">
      <c r="A128">
        <v>1000</v>
      </c>
      <c r="B128">
        <v>1795.925293</v>
      </c>
      <c r="C128">
        <v>-6.3405829999999996</v>
      </c>
      <c r="D128" t="s">
        <v>122</v>
      </c>
      <c r="E128">
        <f t="shared" si="5"/>
        <v>311.92529300000001</v>
      </c>
      <c r="F128">
        <f t="shared" si="7"/>
        <v>-1.5576069999999618</v>
      </c>
      <c r="G128">
        <v>1260</v>
      </c>
      <c r="H128" t="e">
        <f t="shared" si="8"/>
        <v>#NUM!</v>
      </c>
      <c r="I128">
        <f t="shared" si="9"/>
        <v>7.4932756516718264</v>
      </c>
    </row>
    <row r="129" spans="1:9" x14ac:dyDescent="0.25">
      <c r="A129">
        <v>1000</v>
      </c>
      <c r="B129">
        <v>1797.143433</v>
      </c>
      <c r="C129">
        <v>-6.334873</v>
      </c>
      <c r="D129" t="s">
        <v>123</v>
      </c>
      <c r="E129">
        <f t="shared" si="5"/>
        <v>313.14343299999996</v>
      </c>
      <c r="F129">
        <f t="shared" si="7"/>
        <v>-0.33946700000001329</v>
      </c>
      <c r="G129">
        <v>1270</v>
      </c>
      <c r="H129" t="e">
        <f t="shared" si="8"/>
        <v>#NUM!</v>
      </c>
      <c r="I129">
        <f t="shared" si="9"/>
        <v>7.4939537016283193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7"/>
  <sheetViews>
    <sheetView topLeftCell="A23" zoomScale="70" zoomScaleNormal="70" workbookViewId="0">
      <selection activeCell="R43" sqref="R43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3.42578125" customWidth="1"/>
    <col min="18" max="18" width="9.42578125" bestFit="1" customWidth="1"/>
    <col min="26" max="26" width="23.28515625" bestFit="1" customWidth="1"/>
    <col min="28" max="28" width="12.28515625" bestFit="1" customWidth="1"/>
    <col min="30" max="30" width="12.28515625" bestFit="1" customWidth="1"/>
  </cols>
  <sheetData>
    <row r="1" spans="1:18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606</v>
      </c>
      <c r="G1" t="s">
        <v>602</v>
      </c>
      <c r="H1" t="s">
        <v>608</v>
      </c>
      <c r="I1" t="s">
        <v>603</v>
      </c>
    </row>
    <row r="2" spans="1:18" x14ac:dyDescent="0.25">
      <c r="A2">
        <v>1000</v>
      </c>
      <c r="B2">
        <v>2406.273193</v>
      </c>
      <c r="C2">
        <v>-23.561122999999998</v>
      </c>
      <c r="D2" t="s">
        <v>125</v>
      </c>
      <c r="E2">
        <f t="shared" ref="E2:E21" si="0">B2-$P$3</f>
        <v>928.27319299999999</v>
      </c>
      <c r="F2" t="e">
        <f>E2-$R$3</f>
        <v>#VALUE!</v>
      </c>
      <c r="G2">
        <v>0</v>
      </c>
      <c r="H2" t="e">
        <f>LN(F2)</f>
        <v>#VALUE!</v>
      </c>
      <c r="I2">
        <f t="shared" ref="I2:I21" si="1">LN(B2)</f>
        <v>7.7858344366389938</v>
      </c>
      <c r="L2" s="1" t="s">
        <v>0</v>
      </c>
      <c r="M2" s="1" t="s">
        <v>6</v>
      </c>
      <c r="P2" t="s">
        <v>604</v>
      </c>
      <c r="R2" t="s">
        <v>605</v>
      </c>
    </row>
    <row r="3" spans="1:18" x14ac:dyDescent="0.25">
      <c r="A3">
        <v>1000</v>
      </c>
      <c r="B3">
        <v>2403.42749</v>
      </c>
      <c r="C3">
        <v>-23.6</v>
      </c>
      <c r="D3" t="s">
        <v>126</v>
      </c>
      <c r="E3">
        <f t="shared" si="0"/>
        <v>925.42749000000003</v>
      </c>
      <c r="F3" t="e">
        <f>E3-$R$3</f>
        <v>#VALUE!</v>
      </c>
      <c r="G3">
        <v>10</v>
      </c>
      <c r="H3" t="e">
        <f t="shared" ref="H3:H66" si="2">LN(F3)</f>
        <v>#VALUE!</v>
      </c>
      <c r="I3">
        <f t="shared" si="1"/>
        <v>7.7846511183746721</v>
      </c>
      <c r="K3" t="s">
        <v>2</v>
      </c>
      <c r="L3">
        <f>1/(0.00007)</f>
        <v>14285.714285714286</v>
      </c>
      <c r="M3">
        <f>1/(0.0002)</f>
        <v>5000</v>
      </c>
      <c r="N3" s="3" t="s">
        <v>3</v>
      </c>
      <c r="P3">
        <v>1478</v>
      </c>
      <c r="R3" s="4" t="s">
        <v>607</v>
      </c>
    </row>
    <row r="4" spans="1:18" x14ac:dyDescent="0.25">
      <c r="A4">
        <v>1000</v>
      </c>
      <c r="B4">
        <v>2404.0727539999998</v>
      </c>
      <c r="C4">
        <v>-23.710360999999999</v>
      </c>
      <c r="D4" t="s">
        <v>127</v>
      </c>
      <c r="E4">
        <f t="shared" si="0"/>
        <v>926.0727539999998</v>
      </c>
      <c r="F4" t="e">
        <f>E4-$R$3</f>
        <v>#VALUE!</v>
      </c>
      <c r="G4">
        <v>20</v>
      </c>
      <c r="H4" t="e">
        <f t="shared" si="2"/>
        <v>#VALUE!</v>
      </c>
      <c r="I4">
        <f t="shared" si="1"/>
        <v>7.7849195589242823</v>
      </c>
      <c r="L4">
        <f>L3/60</f>
        <v>238.0952380952381</v>
      </c>
      <c r="M4">
        <f>M3/60</f>
        <v>83.333333333333329</v>
      </c>
      <c r="N4" s="3" t="s">
        <v>4</v>
      </c>
    </row>
    <row r="5" spans="1:18" x14ac:dyDescent="0.25">
      <c r="A5">
        <v>1000</v>
      </c>
      <c r="B5">
        <v>2400.2233890000002</v>
      </c>
      <c r="C5">
        <v>-23.710156999999999</v>
      </c>
      <c r="D5" t="s">
        <v>128</v>
      </c>
      <c r="E5">
        <f t="shared" si="0"/>
        <v>922.22338900000022</v>
      </c>
      <c r="F5" t="e">
        <f>E5-$R$3</f>
        <v>#VALUE!</v>
      </c>
      <c r="G5">
        <v>30</v>
      </c>
      <c r="H5" t="e">
        <f t="shared" si="2"/>
        <v>#VALUE!</v>
      </c>
      <c r="I5">
        <f t="shared" si="1"/>
        <v>7.7833170907544789</v>
      </c>
      <c r="L5">
        <f>L4/60</f>
        <v>3.9682539682539684</v>
      </c>
      <c r="M5">
        <f>M4/60</f>
        <v>1.3888888888888888</v>
      </c>
      <c r="N5" s="3" t="s">
        <v>5</v>
      </c>
    </row>
    <row r="6" spans="1:18" x14ac:dyDescent="0.25">
      <c r="A6">
        <v>1000</v>
      </c>
      <c r="B6">
        <v>2399.5983890000002</v>
      </c>
      <c r="C6">
        <v>-23.793036000000001</v>
      </c>
      <c r="D6" t="s">
        <v>129</v>
      </c>
      <c r="E6">
        <f t="shared" si="0"/>
        <v>921.59838900000022</v>
      </c>
      <c r="F6" t="e">
        <f>E6-$R$3</f>
        <v>#VALUE!</v>
      </c>
      <c r="G6">
        <v>40</v>
      </c>
      <c r="H6" t="e">
        <f t="shared" si="2"/>
        <v>#VALUE!</v>
      </c>
      <c r="I6">
        <f t="shared" si="1"/>
        <v>7.7830566644168195</v>
      </c>
    </row>
    <row r="7" spans="1:18" x14ac:dyDescent="0.25">
      <c r="A7">
        <v>1000</v>
      </c>
      <c r="B7">
        <v>2399.1647950000001</v>
      </c>
      <c r="C7">
        <v>-23.838224</v>
      </c>
      <c r="D7" t="s">
        <v>130</v>
      </c>
      <c r="E7">
        <f t="shared" si="0"/>
        <v>921.16479500000014</v>
      </c>
      <c r="F7" t="e">
        <f>E7-$R$3</f>
        <v>#VALUE!</v>
      </c>
      <c r="G7">
        <v>50</v>
      </c>
      <c r="H7" t="e">
        <f t="shared" si="2"/>
        <v>#VALUE!</v>
      </c>
      <c r="I7">
        <f t="shared" si="1"/>
        <v>7.7828759536859264</v>
      </c>
    </row>
    <row r="8" spans="1:18" x14ac:dyDescent="0.25">
      <c r="A8">
        <v>1000</v>
      </c>
      <c r="B8">
        <v>2395.4501949999999</v>
      </c>
      <c r="C8">
        <v>-23.780058</v>
      </c>
      <c r="D8" t="s">
        <v>131</v>
      </c>
      <c r="E8">
        <f t="shared" si="0"/>
        <v>917.45019499999989</v>
      </c>
      <c r="F8" t="e">
        <f>E8-$R$3</f>
        <v>#VALUE!</v>
      </c>
      <c r="G8">
        <v>60</v>
      </c>
      <c r="H8" t="e">
        <f t="shared" si="2"/>
        <v>#VALUE!</v>
      </c>
      <c r="I8">
        <f t="shared" si="1"/>
        <v>7.7813264650404568</v>
      </c>
    </row>
    <row r="9" spans="1:18" x14ac:dyDescent="0.25">
      <c r="A9">
        <v>1000</v>
      </c>
      <c r="B9">
        <v>2394.34375</v>
      </c>
      <c r="C9">
        <v>-23.818539000000001</v>
      </c>
      <c r="D9" t="s">
        <v>132</v>
      </c>
      <c r="E9">
        <f t="shared" si="0"/>
        <v>916.34375</v>
      </c>
      <c r="F9" t="e">
        <f>E9-$R$3</f>
        <v>#VALUE!</v>
      </c>
      <c r="G9">
        <v>70</v>
      </c>
      <c r="H9" t="e">
        <f t="shared" si="2"/>
        <v>#VALUE!</v>
      </c>
      <c r="I9">
        <f t="shared" si="1"/>
        <v>7.7808644639471378</v>
      </c>
    </row>
    <row r="10" spans="1:18" x14ac:dyDescent="0.25">
      <c r="A10">
        <v>1000</v>
      </c>
      <c r="B10">
        <v>2390.7697750000002</v>
      </c>
      <c r="C10">
        <v>-23.785043999999999</v>
      </c>
      <c r="D10" t="s">
        <v>133</v>
      </c>
      <c r="E10">
        <f t="shared" si="0"/>
        <v>912.76977500000021</v>
      </c>
      <c r="F10" t="e">
        <f>E10-$R$3</f>
        <v>#VALUE!</v>
      </c>
      <c r="G10">
        <v>80</v>
      </c>
      <c r="H10" t="e">
        <f t="shared" si="2"/>
        <v>#VALUE!</v>
      </c>
      <c r="I10">
        <f t="shared" si="1"/>
        <v>7.7793706746583737</v>
      </c>
    </row>
    <row r="11" spans="1:18" x14ac:dyDescent="0.25">
      <c r="A11">
        <v>1000</v>
      </c>
      <c r="B11">
        <v>2386.7592770000001</v>
      </c>
      <c r="C11">
        <v>-23.730198000000001</v>
      </c>
      <c r="D11" t="s">
        <v>134</v>
      </c>
      <c r="E11">
        <f t="shared" si="0"/>
        <v>908.75927700000011</v>
      </c>
      <c r="F11" t="e">
        <f>E11-$R$3</f>
        <v>#VALUE!</v>
      </c>
      <c r="G11">
        <v>90</v>
      </c>
      <c r="H11" t="e">
        <f t="shared" si="2"/>
        <v>#VALUE!</v>
      </c>
      <c r="I11">
        <f t="shared" si="1"/>
        <v>7.7776917737460467</v>
      </c>
    </row>
    <row r="12" spans="1:18" x14ac:dyDescent="0.25">
      <c r="A12">
        <v>1000</v>
      </c>
      <c r="B12">
        <v>2383.0522460000002</v>
      </c>
      <c r="C12">
        <v>-23.680610999999999</v>
      </c>
      <c r="D12" t="s">
        <v>135</v>
      </c>
      <c r="E12">
        <f t="shared" si="0"/>
        <v>905.0522460000002</v>
      </c>
      <c r="F12" t="e">
        <f>E12-$R$3</f>
        <v>#VALUE!</v>
      </c>
      <c r="G12">
        <v>100</v>
      </c>
      <c r="H12" t="e">
        <f t="shared" si="2"/>
        <v>#VALUE!</v>
      </c>
      <c r="I12">
        <f t="shared" si="1"/>
        <v>7.7761374013233651</v>
      </c>
    </row>
    <row r="13" spans="1:18" x14ac:dyDescent="0.25">
      <c r="A13">
        <v>1000</v>
      </c>
      <c r="B13">
        <v>2384.108643</v>
      </c>
      <c r="C13">
        <v>-23.749008</v>
      </c>
      <c r="D13" t="s">
        <v>136</v>
      </c>
      <c r="E13">
        <f t="shared" si="0"/>
        <v>906.10864300000003</v>
      </c>
      <c r="F13" t="e">
        <f>E13-$R$3</f>
        <v>#VALUE!</v>
      </c>
      <c r="G13">
        <v>110</v>
      </c>
      <c r="H13" t="e">
        <f t="shared" si="2"/>
        <v>#VALUE!</v>
      </c>
      <c r="I13">
        <f t="shared" si="1"/>
        <v>7.7765805988750687</v>
      </c>
    </row>
    <row r="14" spans="1:18" x14ac:dyDescent="0.25">
      <c r="A14">
        <v>1000</v>
      </c>
      <c r="B14">
        <v>2383.860596</v>
      </c>
      <c r="C14">
        <v>-23.783200999999998</v>
      </c>
      <c r="D14" t="s">
        <v>137</v>
      </c>
      <c r="E14">
        <f t="shared" si="0"/>
        <v>905.86059599999999</v>
      </c>
      <c r="F14" t="e">
        <f>E14-$R$3</f>
        <v>#VALUE!</v>
      </c>
      <c r="G14">
        <v>120</v>
      </c>
      <c r="H14" t="e">
        <f t="shared" si="2"/>
        <v>#VALUE!</v>
      </c>
      <c r="I14">
        <f t="shared" si="1"/>
        <v>7.7764765516433059</v>
      </c>
    </row>
    <row r="15" spans="1:18" x14ac:dyDescent="0.25">
      <c r="A15">
        <v>1000</v>
      </c>
      <c r="B15">
        <v>2380.8342290000001</v>
      </c>
      <c r="C15">
        <v>-23.753965000000001</v>
      </c>
      <c r="D15" t="s">
        <v>138</v>
      </c>
      <c r="E15">
        <f t="shared" si="0"/>
        <v>902.83422900000005</v>
      </c>
      <c r="F15" t="e">
        <f>E15-$R$3</f>
        <v>#VALUE!</v>
      </c>
      <c r="G15">
        <v>130</v>
      </c>
      <c r="H15" t="e">
        <f t="shared" si="2"/>
        <v>#VALUE!</v>
      </c>
      <c r="I15">
        <f t="shared" si="1"/>
        <v>7.7752062216355577</v>
      </c>
    </row>
    <row r="16" spans="1:18" x14ac:dyDescent="0.25">
      <c r="A16">
        <v>1000</v>
      </c>
      <c r="B16">
        <v>2378.9348140000002</v>
      </c>
      <c r="C16">
        <v>-23.704118999999999</v>
      </c>
      <c r="D16" t="s">
        <v>139</v>
      </c>
      <c r="E16">
        <f t="shared" si="0"/>
        <v>900.93481400000019</v>
      </c>
      <c r="F16" t="e">
        <f>E16-$R$3</f>
        <v>#VALUE!</v>
      </c>
      <c r="G16">
        <v>140</v>
      </c>
      <c r="H16" t="e">
        <f t="shared" si="2"/>
        <v>#VALUE!</v>
      </c>
      <c r="I16">
        <f t="shared" si="1"/>
        <v>7.7744081093390722</v>
      </c>
    </row>
    <row r="17" spans="1:31" x14ac:dyDescent="0.25">
      <c r="A17">
        <v>1000</v>
      </c>
      <c r="B17">
        <v>2373.9064939999998</v>
      </c>
      <c r="C17">
        <v>-23.618756999999999</v>
      </c>
      <c r="D17" t="s">
        <v>140</v>
      </c>
      <c r="E17">
        <f t="shared" si="0"/>
        <v>895.90649399999984</v>
      </c>
      <c r="F17" t="e">
        <f>E17-$R$3</f>
        <v>#VALUE!</v>
      </c>
      <c r="G17">
        <v>150</v>
      </c>
      <c r="H17" t="e">
        <f t="shared" si="2"/>
        <v>#VALUE!</v>
      </c>
      <c r="I17">
        <f t="shared" si="1"/>
        <v>7.7722921868623116</v>
      </c>
    </row>
    <row r="18" spans="1:31" x14ac:dyDescent="0.25">
      <c r="A18">
        <v>1000</v>
      </c>
      <c r="B18">
        <v>2367.6313479999999</v>
      </c>
      <c r="C18">
        <v>-23.497395999999998</v>
      </c>
      <c r="D18" t="s">
        <v>141</v>
      </c>
      <c r="E18">
        <f t="shared" si="0"/>
        <v>889.63134799999989</v>
      </c>
      <c r="F18" t="e">
        <f>E18-$R$3</f>
        <v>#VALUE!</v>
      </c>
      <c r="G18">
        <v>160</v>
      </c>
      <c r="H18" t="e">
        <f t="shared" si="2"/>
        <v>#VALUE!</v>
      </c>
      <c r="I18">
        <f t="shared" si="1"/>
        <v>7.7696453031411483</v>
      </c>
    </row>
    <row r="19" spans="1:31" x14ac:dyDescent="0.25">
      <c r="A19">
        <v>1000</v>
      </c>
      <c r="B19">
        <v>2365.548096</v>
      </c>
      <c r="C19">
        <v>-23.470704999999999</v>
      </c>
      <c r="D19" t="s">
        <v>142</v>
      </c>
      <c r="E19">
        <f t="shared" si="0"/>
        <v>887.54809599999999</v>
      </c>
      <c r="F19" t="e">
        <f>E19-$R$3</f>
        <v>#VALUE!</v>
      </c>
      <c r="G19">
        <v>170</v>
      </c>
      <c r="H19" t="e">
        <f t="shared" si="2"/>
        <v>#VALUE!</v>
      </c>
      <c r="I19">
        <f t="shared" si="1"/>
        <v>7.7687650271409794</v>
      </c>
    </row>
    <row r="20" spans="1:31" x14ac:dyDescent="0.25">
      <c r="A20">
        <v>1000</v>
      </c>
      <c r="B20">
        <v>2361.7094729999999</v>
      </c>
      <c r="C20">
        <v>-23.373646000000001</v>
      </c>
      <c r="D20" t="s">
        <v>143</v>
      </c>
      <c r="E20">
        <f t="shared" si="0"/>
        <v>883.70947299999989</v>
      </c>
      <c r="F20" t="e">
        <f>E20-$R$3</f>
        <v>#VALUE!</v>
      </c>
      <c r="G20">
        <v>180</v>
      </c>
      <c r="H20" t="e">
        <f t="shared" si="2"/>
        <v>#VALUE!</v>
      </c>
      <c r="I20">
        <f t="shared" si="1"/>
        <v>7.767140988768765</v>
      </c>
    </row>
    <row r="21" spans="1:31" x14ac:dyDescent="0.25">
      <c r="A21">
        <v>1000</v>
      </c>
      <c r="B21">
        <v>2358.8813479999999</v>
      </c>
      <c r="C21">
        <v>-23.287244999999999</v>
      </c>
      <c r="D21" t="s">
        <v>144</v>
      </c>
      <c r="E21">
        <f t="shared" si="0"/>
        <v>880.88134799999989</v>
      </c>
      <c r="F21" t="e">
        <f>E21-$R$3</f>
        <v>#VALUE!</v>
      </c>
      <c r="G21">
        <v>190</v>
      </c>
      <c r="H21" t="e">
        <f t="shared" si="2"/>
        <v>#VALUE!</v>
      </c>
      <c r="I21">
        <f t="shared" si="1"/>
        <v>7.7659427805589871</v>
      </c>
    </row>
    <row r="22" spans="1:31" x14ac:dyDescent="0.25">
      <c r="W22">
        <v>1000</v>
      </c>
      <c r="X22">
        <v>2118.9465329999998</v>
      </c>
      <c r="Y22">
        <v>-17.713018000000002</v>
      </c>
      <c r="Z22" t="s">
        <v>145</v>
      </c>
      <c r="AA22">
        <f t="shared" ref="AA22:AA56" si="3">X22-$P$3</f>
        <v>640.94653299999982</v>
      </c>
      <c r="AB22" t="e">
        <f>E22-$R$3</f>
        <v>#VALUE!</v>
      </c>
      <c r="AC22">
        <v>200</v>
      </c>
      <c r="AD22" t="e">
        <f>LN(AB22)</f>
        <v>#VALUE!</v>
      </c>
      <c r="AE22">
        <f t="shared" ref="AE22:AE56" si="4">LN(X22)</f>
        <v>7.6586743257649692</v>
      </c>
    </row>
    <row r="23" spans="1:31" x14ac:dyDescent="0.25">
      <c r="W23">
        <v>1000</v>
      </c>
      <c r="X23">
        <v>2134.3432619999999</v>
      </c>
      <c r="Y23">
        <v>-18.266033</v>
      </c>
      <c r="Z23" t="s">
        <v>146</v>
      </c>
      <c r="AA23">
        <f t="shared" si="3"/>
        <v>656.34326199999987</v>
      </c>
      <c r="AB23" t="e">
        <f>E23-$R$3</f>
        <v>#VALUE!</v>
      </c>
      <c r="AC23">
        <v>210</v>
      </c>
      <c r="AD23" t="e">
        <f>LN(AB23)</f>
        <v>#VALUE!</v>
      </c>
      <c r="AE23">
        <f t="shared" si="4"/>
        <v>7.6659142727218024</v>
      </c>
    </row>
    <row r="24" spans="1:31" x14ac:dyDescent="0.25">
      <c r="W24">
        <v>1000</v>
      </c>
      <c r="X24">
        <v>2134.2629390000002</v>
      </c>
      <c r="Y24">
        <v>-18.030062000000001</v>
      </c>
      <c r="Z24" t="s">
        <v>147</v>
      </c>
      <c r="AA24">
        <f t="shared" si="3"/>
        <v>656.26293900000019</v>
      </c>
      <c r="AB24" t="e">
        <f>E24-$R$3</f>
        <v>#VALUE!</v>
      </c>
      <c r="AC24">
        <v>220</v>
      </c>
      <c r="AD24" t="e">
        <f>LN(AB24)</f>
        <v>#VALUE!</v>
      </c>
      <c r="AE24">
        <f t="shared" si="4"/>
        <v>7.6658766384232866</v>
      </c>
    </row>
    <row r="25" spans="1:31" x14ac:dyDescent="0.25">
      <c r="W25">
        <v>1000</v>
      </c>
      <c r="X25">
        <v>2142.888672</v>
      </c>
      <c r="Y25">
        <v>-18.260897</v>
      </c>
      <c r="Z25" t="s">
        <v>148</v>
      </c>
      <c r="AA25">
        <f t="shared" si="3"/>
        <v>664.88867200000004</v>
      </c>
      <c r="AB25" t="e">
        <f>E25-$R$3</f>
        <v>#VALUE!</v>
      </c>
      <c r="AC25">
        <v>230</v>
      </c>
      <c r="AD25" t="e">
        <f>LN(AB25)</f>
        <v>#VALUE!</v>
      </c>
      <c r="AE25">
        <f t="shared" si="4"/>
        <v>7.6699100445207895</v>
      </c>
    </row>
    <row r="26" spans="1:31" x14ac:dyDescent="0.25">
      <c r="W26">
        <v>1000</v>
      </c>
      <c r="X26">
        <v>2140.0061040000001</v>
      </c>
      <c r="Y26">
        <v>-18.145026999999999</v>
      </c>
      <c r="Z26" t="s">
        <v>149</v>
      </c>
      <c r="AA26">
        <f t="shared" si="3"/>
        <v>662.00610400000005</v>
      </c>
      <c r="AB26" t="e">
        <f>E26-$R$3</f>
        <v>#VALUE!</v>
      </c>
      <c r="AC26">
        <v>240</v>
      </c>
      <c r="AD26" t="e">
        <f>LN(AB26)</f>
        <v>#VALUE!</v>
      </c>
      <c r="AE26">
        <f t="shared" si="4"/>
        <v>7.668563960348278</v>
      </c>
    </row>
    <row r="27" spans="1:31" x14ac:dyDescent="0.25">
      <c r="W27">
        <v>1000</v>
      </c>
      <c r="X27">
        <v>2140.1647950000001</v>
      </c>
      <c r="Y27">
        <v>-18.160259</v>
      </c>
      <c r="Z27" t="s">
        <v>150</v>
      </c>
      <c r="AA27">
        <f t="shared" si="3"/>
        <v>662.16479500000014</v>
      </c>
      <c r="AB27" t="e">
        <f>E27-$R$3</f>
        <v>#VALUE!</v>
      </c>
      <c r="AC27">
        <v>250</v>
      </c>
      <c r="AD27" t="e">
        <f>LN(AB27)</f>
        <v>#VALUE!</v>
      </c>
      <c r="AE27">
        <f t="shared" si="4"/>
        <v>7.6686381120603553</v>
      </c>
    </row>
    <row r="28" spans="1:31" x14ac:dyDescent="0.25">
      <c r="W28">
        <v>1000</v>
      </c>
      <c r="X28">
        <v>2143.9785160000001</v>
      </c>
      <c r="Y28">
        <v>-18.294228</v>
      </c>
      <c r="Z28" t="s">
        <v>151</v>
      </c>
      <c r="AA28">
        <f t="shared" si="3"/>
        <v>665.97851600000013</v>
      </c>
      <c r="AB28" t="e">
        <f>E28-$R$3</f>
        <v>#VALUE!</v>
      </c>
      <c r="AC28">
        <v>260</v>
      </c>
      <c r="AD28" t="e">
        <f>LN(AB28)</f>
        <v>#VALUE!</v>
      </c>
      <c r="AE28">
        <f t="shared" si="4"/>
        <v>7.6704185016180988</v>
      </c>
    </row>
    <row r="29" spans="1:31" x14ac:dyDescent="0.25">
      <c r="W29">
        <v>1000</v>
      </c>
      <c r="X29">
        <v>2144.8857419999999</v>
      </c>
      <c r="Y29">
        <v>-18.340358999999999</v>
      </c>
      <c r="Z29" t="s">
        <v>152</v>
      </c>
      <c r="AA29">
        <f t="shared" si="3"/>
        <v>666.88574199999994</v>
      </c>
      <c r="AB29" t="e">
        <f>E29-$R$3</f>
        <v>#VALUE!</v>
      </c>
      <c r="AC29">
        <v>270</v>
      </c>
      <c r="AD29" t="e">
        <f>LN(AB29)</f>
        <v>#VALUE!</v>
      </c>
      <c r="AE29">
        <f t="shared" si="4"/>
        <v>7.670841562810506</v>
      </c>
    </row>
    <row r="30" spans="1:31" x14ac:dyDescent="0.25">
      <c r="W30">
        <v>1000</v>
      </c>
      <c r="X30">
        <v>2148.5061040000001</v>
      </c>
      <c r="Y30">
        <v>-18.469598999999999</v>
      </c>
      <c r="Z30" t="s">
        <v>153</v>
      </c>
      <c r="AA30">
        <f t="shared" si="3"/>
        <v>670.50610400000005</v>
      </c>
      <c r="AB30" t="e">
        <f>E30-$R$3</f>
        <v>#VALUE!</v>
      </c>
      <c r="AC30">
        <v>280</v>
      </c>
      <c r="AD30" t="e">
        <f>LN(AB30)</f>
        <v>#VALUE!</v>
      </c>
      <c r="AE30">
        <f t="shared" si="4"/>
        <v>7.6725280442629105</v>
      </c>
    </row>
    <row r="31" spans="1:31" x14ac:dyDescent="0.25">
      <c r="W31">
        <v>1000</v>
      </c>
      <c r="X31">
        <v>2147.273682</v>
      </c>
      <c r="Y31">
        <v>-18.441185000000001</v>
      </c>
      <c r="Z31" t="s">
        <v>154</v>
      </c>
      <c r="AA31">
        <f t="shared" si="3"/>
        <v>669.27368200000001</v>
      </c>
      <c r="AB31" t="e">
        <f>E31-$R$3</f>
        <v>#VALUE!</v>
      </c>
      <c r="AC31">
        <v>290</v>
      </c>
      <c r="AD31" t="e">
        <f>LN(AB31)</f>
        <v>#VALUE!</v>
      </c>
      <c r="AE31">
        <f t="shared" si="4"/>
        <v>7.6719542615760847</v>
      </c>
    </row>
    <row r="32" spans="1:31" x14ac:dyDescent="0.25">
      <c r="W32">
        <v>1000</v>
      </c>
      <c r="X32">
        <v>2147.514893</v>
      </c>
      <c r="Y32">
        <v>-18.451471000000002</v>
      </c>
      <c r="Z32" t="s">
        <v>155</v>
      </c>
      <c r="AA32">
        <f t="shared" si="3"/>
        <v>669.51489300000003</v>
      </c>
      <c r="AB32" t="e">
        <f>E32-$R$3</f>
        <v>#VALUE!</v>
      </c>
      <c r="AC32">
        <v>300</v>
      </c>
      <c r="AD32" t="e">
        <f>LN(AB32)</f>
        <v>#VALUE!</v>
      </c>
      <c r="AE32">
        <f t="shared" si="4"/>
        <v>7.6720665888751078</v>
      </c>
    </row>
    <row r="33" spans="23:31" x14ac:dyDescent="0.25">
      <c r="W33">
        <v>1000</v>
      </c>
      <c r="X33">
        <v>2150.873779</v>
      </c>
      <c r="Y33">
        <v>-18.590302000000001</v>
      </c>
      <c r="Z33" t="s">
        <v>156</v>
      </c>
      <c r="AA33">
        <f t="shared" si="3"/>
        <v>672.87377900000001</v>
      </c>
      <c r="AB33" t="e">
        <f>E33-$R$3</f>
        <v>#VALUE!</v>
      </c>
      <c r="AC33">
        <v>310</v>
      </c>
      <c r="AD33" t="e">
        <f>LN(AB33)</f>
        <v>#VALUE!</v>
      </c>
      <c r="AE33">
        <f t="shared" si="4"/>
        <v>7.6736294473972144</v>
      </c>
    </row>
    <row r="34" spans="23:31" x14ac:dyDescent="0.25">
      <c r="W34">
        <v>1000</v>
      </c>
      <c r="X34">
        <v>2156.5554200000001</v>
      </c>
      <c r="Y34">
        <v>-18.808758000000001</v>
      </c>
      <c r="Z34" t="s">
        <v>157</v>
      </c>
      <c r="AA34">
        <f t="shared" si="3"/>
        <v>678.55542000000014</v>
      </c>
      <c r="AB34" t="e">
        <f>E34-$R$3</f>
        <v>#VALUE!</v>
      </c>
      <c r="AC34">
        <v>320</v>
      </c>
      <c r="AD34" t="e">
        <f>LN(AB34)</f>
        <v>#VALUE!</v>
      </c>
      <c r="AE34">
        <f t="shared" si="4"/>
        <v>7.6762675148070683</v>
      </c>
    </row>
    <row r="35" spans="23:31" x14ac:dyDescent="0.25">
      <c r="W35">
        <v>1000</v>
      </c>
      <c r="X35">
        <v>2161.1811520000001</v>
      </c>
      <c r="Y35">
        <v>-18.987708999999999</v>
      </c>
      <c r="Z35" t="s">
        <v>158</v>
      </c>
      <c r="AA35">
        <f t="shared" si="3"/>
        <v>683.18115200000011</v>
      </c>
      <c r="AB35" t="e">
        <f>E35-$R$3</f>
        <v>#VALUE!</v>
      </c>
      <c r="AC35">
        <v>330</v>
      </c>
      <c r="AD35" t="e">
        <f>LN(AB35)</f>
        <v>#VALUE!</v>
      </c>
      <c r="AE35">
        <f t="shared" si="4"/>
        <v>7.6784101808510012</v>
      </c>
    </row>
    <row r="36" spans="23:31" x14ac:dyDescent="0.25">
      <c r="W36">
        <v>1000</v>
      </c>
      <c r="X36">
        <v>2163.3100589999999</v>
      </c>
      <c r="Y36">
        <v>-19.099356</v>
      </c>
      <c r="Z36" t="s">
        <v>159</v>
      </c>
      <c r="AA36">
        <f t="shared" si="3"/>
        <v>685.31005899999991</v>
      </c>
      <c r="AB36" t="e">
        <f>E36-$R$3</f>
        <v>#VALUE!</v>
      </c>
      <c r="AC36">
        <v>340</v>
      </c>
      <c r="AD36" t="e">
        <f>LN(AB36)</f>
        <v>#VALUE!</v>
      </c>
      <c r="AE36">
        <f t="shared" si="4"/>
        <v>7.6793947624205341</v>
      </c>
    </row>
    <row r="37" spans="23:31" x14ac:dyDescent="0.25">
      <c r="W37">
        <v>1000</v>
      </c>
      <c r="X37">
        <v>2166.4123540000001</v>
      </c>
      <c r="Y37">
        <v>-19.186112999999999</v>
      </c>
      <c r="Z37" t="s">
        <v>160</v>
      </c>
      <c r="AA37">
        <f t="shared" si="3"/>
        <v>688.41235400000005</v>
      </c>
      <c r="AB37" t="e">
        <f>E37-$R$3</f>
        <v>#VALUE!</v>
      </c>
      <c r="AC37">
        <v>350</v>
      </c>
      <c r="AD37" t="e">
        <f>LN(AB37)</f>
        <v>#VALUE!</v>
      </c>
      <c r="AE37">
        <f t="shared" si="4"/>
        <v>7.6808277852497024</v>
      </c>
    </row>
    <row r="38" spans="23:31" x14ac:dyDescent="0.25">
      <c r="W38">
        <v>1000</v>
      </c>
      <c r="X38">
        <v>2167.4360350000002</v>
      </c>
      <c r="Y38">
        <v>-19.246969</v>
      </c>
      <c r="Z38" t="s">
        <v>161</v>
      </c>
      <c r="AA38">
        <f t="shared" si="3"/>
        <v>689.43603500000017</v>
      </c>
      <c r="AB38" t="e">
        <f>E38-$R$3</f>
        <v>#VALUE!</v>
      </c>
      <c r="AC38">
        <v>360</v>
      </c>
      <c r="AD38" t="e">
        <f>LN(AB38)</f>
        <v>#VALUE!</v>
      </c>
      <c r="AE38">
        <f t="shared" si="4"/>
        <v>7.6813001972619164</v>
      </c>
    </row>
    <row r="39" spans="23:31" x14ac:dyDescent="0.25">
      <c r="W39">
        <v>1000</v>
      </c>
      <c r="X39">
        <v>2157.4304200000001</v>
      </c>
      <c r="Y39">
        <v>-18.834522</v>
      </c>
      <c r="Z39" t="s">
        <v>162</v>
      </c>
      <c r="AA39">
        <f t="shared" si="3"/>
        <v>679.43042000000014</v>
      </c>
      <c r="AB39" t="e">
        <f>E39-$R$3</f>
        <v>#VALUE!</v>
      </c>
      <c r="AC39">
        <v>370</v>
      </c>
      <c r="AD39" t="e">
        <f>LN(AB39)</f>
        <v>#VALUE!</v>
      </c>
      <c r="AE39">
        <f t="shared" si="4"/>
        <v>7.6766731721478445</v>
      </c>
    </row>
    <row r="40" spans="23:31" x14ac:dyDescent="0.25">
      <c r="W40">
        <v>1000</v>
      </c>
      <c r="X40">
        <v>2152.3371579999998</v>
      </c>
      <c r="Y40">
        <v>-18.637608</v>
      </c>
      <c r="Z40" t="s">
        <v>163</v>
      </c>
      <c r="AA40">
        <f t="shared" si="3"/>
        <v>674.33715799999982</v>
      </c>
      <c r="AB40" t="e">
        <f>E40-$R$3</f>
        <v>#VALUE!</v>
      </c>
      <c r="AC40">
        <v>380</v>
      </c>
      <c r="AD40" t="e">
        <f>LN(AB40)</f>
        <v>#VALUE!</v>
      </c>
      <c r="AE40">
        <f t="shared" si="4"/>
        <v>7.6743095809429951</v>
      </c>
    </row>
    <row r="41" spans="23:31" x14ac:dyDescent="0.25">
      <c r="W41">
        <v>1000</v>
      </c>
      <c r="X41">
        <v>2155.1750489999999</v>
      </c>
      <c r="Y41">
        <v>-18.744855999999999</v>
      </c>
      <c r="Z41" t="s">
        <v>164</v>
      </c>
      <c r="AA41">
        <f t="shared" si="3"/>
        <v>677.17504899999994</v>
      </c>
      <c r="AB41" t="e">
        <f>E41-$R$3</f>
        <v>#VALUE!</v>
      </c>
      <c r="AC41">
        <v>390</v>
      </c>
      <c r="AD41" t="e">
        <f>LN(AB41)</f>
        <v>#VALUE!</v>
      </c>
      <c r="AE41">
        <f t="shared" si="4"/>
        <v>7.6756272284732709</v>
      </c>
    </row>
    <row r="42" spans="23:31" x14ac:dyDescent="0.25">
      <c r="W42">
        <v>1000</v>
      </c>
      <c r="X42">
        <v>2159.2072750000002</v>
      </c>
      <c r="Y42">
        <v>-18.902906000000002</v>
      </c>
      <c r="Z42" t="s">
        <v>165</v>
      </c>
      <c r="AA42">
        <f t="shared" si="3"/>
        <v>681.20727500000021</v>
      </c>
      <c r="AB42" t="e">
        <f>E42-$R$3</f>
        <v>#VALUE!</v>
      </c>
      <c r="AC42">
        <v>400</v>
      </c>
      <c r="AD42" t="e">
        <f>LN(AB42)</f>
        <v>#VALUE!</v>
      </c>
      <c r="AE42">
        <f t="shared" si="4"/>
        <v>7.6774964310015648</v>
      </c>
    </row>
    <row r="43" spans="23:31" x14ac:dyDescent="0.25">
      <c r="W43">
        <v>1000</v>
      </c>
      <c r="X43">
        <v>2161.9604490000002</v>
      </c>
      <c r="Y43">
        <v>-19.030455</v>
      </c>
      <c r="Z43" t="s">
        <v>166</v>
      </c>
      <c r="AA43">
        <f t="shared" si="3"/>
        <v>683.96044900000015</v>
      </c>
      <c r="AB43" t="e">
        <f>E43-$R$3</f>
        <v>#VALUE!</v>
      </c>
      <c r="AC43">
        <v>410</v>
      </c>
      <c r="AD43" t="e">
        <f>LN(AB43)</f>
        <v>#VALUE!</v>
      </c>
      <c r="AE43">
        <f t="shared" si="4"/>
        <v>7.6787707043222939</v>
      </c>
    </row>
    <row r="44" spans="23:31" x14ac:dyDescent="0.25">
      <c r="W44">
        <v>1000</v>
      </c>
      <c r="X44">
        <v>2163.845703</v>
      </c>
      <c r="Y44">
        <v>-19.083988000000002</v>
      </c>
      <c r="Z44" t="s">
        <v>167</v>
      </c>
      <c r="AA44">
        <f t="shared" si="3"/>
        <v>685.84570299999996</v>
      </c>
      <c r="AB44" t="e">
        <f>E44-$R$3</f>
        <v>#VALUE!</v>
      </c>
      <c r="AC44">
        <v>420</v>
      </c>
      <c r="AD44" t="e">
        <f>LN(AB44)</f>
        <v>#VALUE!</v>
      </c>
      <c r="AE44">
        <f t="shared" si="4"/>
        <v>7.6796423356682739</v>
      </c>
    </row>
    <row r="45" spans="23:31" x14ac:dyDescent="0.25">
      <c r="W45">
        <v>1000</v>
      </c>
      <c r="X45">
        <v>2164.498047</v>
      </c>
      <c r="Y45">
        <v>-19.122019000000002</v>
      </c>
      <c r="Z45" t="s">
        <v>168</v>
      </c>
      <c r="AA45">
        <f t="shared" si="3"/>
        <v>686.49804700000004</v>
      </c>
      <c r="AB45" t="e">
        <f>E45-$R$3</f>
        <v>#VALUE!</v>
      </c>
      <c r="AC45">
        <v>430</v>
      </c>
      <c r="AD45" t="e">
        <f>LN(AB45)</f>
        <v>#VALUE!</v>
      </c>
      <c r="AE45">
        <f t="shared" si="4"/>
        <v>7.6799437645947259</v>
      </c>
    </row>
    <row r="46" spans="23:31" x14ac:dyDescent="0.25">
      <c r="W46">
        <v>1000</v>
      </c>
      <c r="X46">
        <v>2165.5791020000001</v>
      </c>
      <c r="Y46">
        <v>-19.134353999999998</v>
      </c>
      <c r="Z46" t="s">
        <v>169</v>
      </c>
      <c r="AA46">
        <f t="shared" si="3"/>
        <v>687.57910200000015</v>
      </c>
      <c r="AB46" t="e">
        <f>E46-$R$3</f>
        <v>#VALUE!</v>
      </c>
      <c r="AC46">
        <v>440</v>
      </c>
      <c r="AD46" t="e">
        <f>LN(AB46)</f>
        <v>#VALUE!</v>
      </c>
      <c r="AE46">
        <f t="shared" si="4"/>
        <v>7.6804430882720007</v>
      </c>
    </row>
    <row r="47" spans="23:31" x14ac:dyDescent="0.25">
      <c r="W47">
        <v>1000</v>
      </c>
      <c r="X47">
        <v>2164.6892090000001</v>
      </c>
      <c r="Y47">
        <v>-19.118590999999999</v>
      </c>
      <c r="Z47" t="s">
        <v>170</v>
      </c>
      <c r="AA47">
        <f t="shared" si="3"/>
        <v>686.68920900000012</v>
      </c>
      <c r="AB47" t="e">
        <f>E47-$R$3</f>
        <v>#VALUE!</v>
      </c>
      <c r="AC47">
        <v>450</v>
      </c>
      <c r="AD47" t="e">
        <f>LN(AB47)</f>
        <v>#VALUE!</v>
      </c>
      <c r="AE47">
        <f t="shared" si="4"/>
        <v>7.6800320777070121</v>
      </c>
    </row>
    <row r="48" spans="23:31" x14ac:dyDescent="0.25">
      <c r="W48">
        <v>1000</v>
      </c>
      <c r="X48">
        <v>2164.8435060000002</v>
      </c>
      <c r="Y48">
        <v>-19.114805</v>
      </c>
      <c r="Z48" t="s">
        <v>171</v>
      </c>
      <c r="AA48">
        <f t="shared" si="3"/>
        <v>686.84350600000016</v>
      </c>
      <c r="AB48" t="e">
        <f>E48-$R$3</f>
        <v>#VALUE!</v>
      </c>
      <c r="AC48">
        <v>460</v>
      </c>
      <c r="AD48" t="e">
        <f>LN(AB48)</f>
        <v>#VALUE!</v>
      </c>
      <c r="AE48">
        <f t="shared" si="4"/>
        <v>7.6801033542212336</v>
      </c>
    </row>
    <row r="49" spans="1:31" x14ac:dyDescent="0.25">
      <c r="W49">
        <v>1000</v>
      </c>
      <c r="X49">
        <v>2165.248047</v>
      </c>
      <c r="Y49">
        <v>-19.116405</v>
      </c>
      <c r="Z49" t="s">
        <v>172</v>
      </c>
      <c r="AA49">
        <f t="shared" si="3"/>
        <v>687.24804700000004</v>
      </c>
      <c r="AB49" t="e">
        <f>E49-$R$3</f>
        <v>#VALUE!</v>
      </c>
      <c r="AC49">
        <v>470</v>
      </c>
      <c r="AD49" t="e">
        <f>LN(AB49)</f>
        <v>#VALUE!</v>
      </c>
      <c r="AE49">
        <f t="shared" si="4"/>
        <v>7.6802902052363793</v>
      </c>
    </row>
    <row r="50" spans="1:31" x14ac:dyDescent="0.25">
      <c r="W50">
        <v>1000</v>
      </c>
      <c r="X50">
        <v>2163.7978520000001</v>
      </c>
      <c r="Y50">
        <v>-19.093713999999999</v>
      </c>
      <c r="Z50" t="s">
        <v>173</v>
      </c>
      <c r="AA50">
        <f t="shared" si="3"/>
        <v>685.79785200000015</v>
      </c>
      <c r="AB50" t="e">
        <f>E50-$R$3</f>
        <v>#VALUE!</v>
      </c>
      <c r="AC50">
        <v>480</v>
      </c>
      <c r="AD50" t="e">
        <f>LN(AB50)</f>
        <v>#VALUE!</v>
      </c>
      <c r="AE50">
        <f t="shared" si="4"/>
        <v>7.6796202215549494</v>
      </c>
    </row>
    <row r="51" spans="1:31" x14ac:dyDescent="0.25">
      <c r="W51">
        <v>1000</v>
      </c>
      <c r="X51">
        <v>2163.7272950000001</v>
      </c>
      <c r="Y51">
        <v>-19.088072</v>
      </c>
      <c r="Z51" t="s">
        <v>174</v>
      </c>
      <c r="AA51">
        <f t="shared" si="3"/>
        <v>685.72729500000014</v>
      </c>
      <c r="AB51" t="e">
        <f>E51-$R$3</f>
        <v>#VALUE!</v>
      </c>
      <c r="AC51">
        <v>490</v>
      </c>
      <c r="AD51" t="e">
        <f>LN(AB51)</f>
        <v>#VALUE!</v>
      </c>
      <c r="AE51">
        <f t="shared" si="4"/>
        <v>7.6795876130789225</v>
      </c>
    </row>
    <row r="52" spans="1:31" x14ac:dyDescent="0.25">
      <c r="W52">
        <v>1000</v>
      </c>
      <c r="X52">
        <v>2162.7529300000001</v>
      </c>
      <c r="Y52">
        <v>-19.089617000000001</v>
      </c>
      <c r="Z52" t="s">
        <v>175</v>
      </c>
      <c r="AA52">
        <f t="shared" si="3"/>
        <v>684.75293000000011</v>
      </c>
      <c r="AB52" t="e">
        <f>E52-$R$3</f>
        <v>#VALUE!</v>
      </c>
      <c r="AC52">
        <v>500</v>
      </c>
      <c r="AD52" t="e">
        <f>LN(AB52)</f>
        <v>#VALUE!</v>
      </c>
      <c r="AE52">
        <f t="shared" si="4"/>
        <v>7.6791371938162412</v>
      </c>
    </row>
    <row r="53" spans="1:31" x14ac:dyDescent="0.25">
      <c r="W53">
        <v>1000</v>
      </c>
      <c r="X53">
        <v>2163.3000489999999</v>
      </c>
      <c r="Y53">
        <v>-19.075792</v>
      </c>
      <c r="Z53" t="s">
        <v>176</v>
      </c>
      <c r="AA53">
        <f t="shared" si="3"/>
        <v>685.30004899999994</v>
      </c>
      <c r="AB53" t="e">
        <f>E53-$R$3</f>
        <v>#VALUE!</v>
      </c>
      <c r="AC53">
        <v>510</v>
      </c>
      <c r="AD53" t="e">
        <f>LN(AB53)</f>
        <v>#VALUE!</v>
      </c>
      <c r="AE53">
        <f t="shared" si="4"/>
        <v>7.6793901352414036</v>
      </c>
    </row>
    <row r="54" spans="1:31" x14ac:dyDescent="0.25">
      <c r="W54">
        <v>1000</v>
      </c>
      <c r="X54">
        <v>2163.1813959999999</v>
      </c>
      <c r="Y54">
        <v>-19.077677000000001</v>
      </c>
      <c r="Z54" t="s">
        <v>177</v>
      </c>
      <c r="AA54">
        <f t="shared" si="3"/>
        <v>685.18139599999995</v>
      </c>
      <c r="AB54" t="e">
        <f>E54-$R$3</f>
        <v>#VALUE!</v>
      </c>
      <c r="AC54">
        <v>520</v>
      </c>
      <c r="AD54" t="e">
        <f>LN(AB54)</f>
        <v>#VALUE!</v>
      </c>
      <c r="AE54">
        <f t="shared" si="4"/>
        <v>7.6793352855897696</v>
      </c>
    </row>
    <row r="55" spans="1:31" x14ac:dyDescent="0.25">
      <c r="W55">
        <v>1000</v>
      </c>
      <c r="X55">
        <v>2161.7592770000001</v>
      </c>
      <c r="Y55">
        <v>-19.014963000000002</v>
      </c>
      <c r="Z55" t="s">
        <v>178</v>
      </c>
      <c r="AA55">
        <f t="shared" si="3"/>
        <v>683.75927700000011</v>
      </c>
      <c r="AB55" t="e">
        <f>E55-$R$3</f>
        <v>#VALUE!</v>
      </c>
      <c r="AC55">
        <v>530</v>
      </c>
      <c r="AD55" t="e">
        <f>LN(AB55)</f>
        <v>#VALUE!</v>
      </c>
      <c r="AE55">
        <f t="shared" si="4"/>
        <v>7.6786776492618856</v>
      </c>
    </row>
    <row r="56" spans="1:31" x14ac:dyDescent="0.25">
      <c r="W56">
        <v>1000</v>
      </c>
      <c r="X56">
        <v>2159.1335450000001</v>
      </c>
      <c r="Y56">
        <v>-18.935732000000002</v>
      </c>
      <c r="Z56" t="s">
        <v>179</v>
      </c>
      <c r="AA56">
        <f t="shared" si="3"/>
        <v>681.13354500000014</v>
      </c>
      <c r="AB56" t="e">
        <f>E56-$R$3</f>
        <v>#VALUE!</v>
      </c>
      <c r="AC56">
        <v>540</v>
      </c>
      <c r="AD56" t="e">
        <f>LN(AB56)</f>
        <v>#VALUE!</v>
      </c>
      <c r="AE56">
        <f t="shared" si="4"/>
        <v>7.6774622836273387</v>
      </c>
    </row>
    <row r="57" spans="1:31" x14ac:dyDescent="0.25">
      <c r="A57">
        <v>1000</v>
      </c>
      <c r="B57">
        <v>2160.6140140000002</v>
      </c>
      <c r="C57">
        <v>-18.976099000000001</v>
      </c>
      <c r="D57" t="s">
        <v>180</v>
      </c>
      <c r="E57">
        <f t="shared" ref="E57:E120" si="5">B57-$P$3</f>
        <v>682.61401400000022</v>
      </c>
      <c r="F57" t="e">
        <f>E57-$R$3</f>
        <v>#VALUE!</v>
      </c>
      <c r="G57">
        <v>550</v>
      </c>
      <c r="H57" t="e">
        <f t="shared" si="2"/>
        <v>#VALUE!</v>
      </c>
      <c r="I57">
        <f t="shared" ref="I57:I88" si="6">LN(B57)</f>
        <v>7.6781477260231012</v>
      </c>
    </row>
    <row r="58" spans="1:31" x14ac:dyDescent="0.25">
      <c r="A58">
        <v>1000</v>
      </c>
      <c r="B58">
        <v>2155.236328</v>
      </c>
      <c r="C58">
        <v>-18.803294999999999</v>
      </c>
      <c r="D58" t="s">
        <v>181</v>
      </c>
      <c r="E58">
        <f t="shared" si="5"/>
        <v>677.23632799999996</v>
      </c>
      <c r="F58" t="e">
        <f>E58-$R$3</f>
        <v>#VALUE!</v>
      </c>
      <c r="G58">
        <v>560</v>
      </c>
      <c r="H58" t="e">
        <f t="shared" si="2"/>
        <v>#VALUE!</v>
      </c>
      <c r="I58">
        <f t="shared" si="6"/>
        <v>7.6756556614902829</v>
      </c>
    </row>
    <row r="59" spans="1:31" x14ac:dyDescent="0.25">
      <c r="A59">
        <v>1000</v>
      </c>
      <c r="B59">
        <v>2149.53125</v>
      </c>
      <c r="C59">
        <v>-18.580438999999998</v>
      </c>
      <c r="D59" t="s">
        <v>182</v>
      </c>
      <c r="E59">
        <f t="shared" si="5"/>
        <v>671.53125</v>
      </c>
      <c r="F59" t="e">
        <f>E59-$R$3</f>
        <v>#VALUE!</v>
      </c>
      <c r="G59">
        <v>570</v>
      </c>
      <c r="H59" t="e">
        <f t="shared" si="2"/>
        <v>#VALUE!</v>
      </c>
      <c r="I59">
        <f t="shared" si="6"/>
        <v>7.6730050740953697</v>
      </c>
    </row>
    <row r="60" spans="1:31" x14ac:dyDescent="0.25">
      <c r="A60">
        <v>1000</v>
      </c>
      <c r="B60">
        <v>2150.1843260000001</v>
      </c>
      <c r="C60">
        <v>-18.606026</v>
      </c>
      <c r="D60" t="s">
        <v>183</v>
      </c>
      <c r="E60">
        <f t="shared" si="5"/>
        <v>672.18432600000006</v>
      </c>
      <c r="F60" t="e">
        <f>E60-$R$3</f>
        <v>#VALUE!</v>
      </c>
      <c r="G60">
        <v>580</v>
      </c>
      <c r="H60" t="e">
        <f t="shared" si="2"/>
        <v>#VALUE!</v>
      </c>
      <c r="I60">
        <f t="shared" si="6"/>
        <v>7.6733088504700984</v>
      </c>
    </row>
    <row r="61" spans="1:31" x14ac:dyDescent="0.25">
      <c r="A61">
        <v>1000</v>
      </c>
      <c r="B61">
        <v>2152.4228520000001</v>
      </c>
      <c r="C61">
        <v>-18.672332999999998</v>
      </c>
      <c r="D61" t="s">
        <v>184</v>
      </c>
      <c r="E61">
        <f t="shared" si="5"/>
        <v>674.42285200000015</v>
      </c>
      <c r="F61" t="e">
        <f>E61-$R$3</f>
        <v>#VALUE!</v>
      </c>
      <c r="G61">
        <v>590</v>
      </c>
      <c r="H61" t="e">
        <f t="shared" si="2"/>
        <v>#VALUE!</v>
      </c>
      <c r="I61">
        <f t="shared" si="6"/>
        <v>7.6743493945445955</v>
      </c>
    </row>
    <row r="62" spans="1:31" x14ac:dyDescent="0.25">
      <c r="A62">
        <v>1000</v>
      </c>
      <c r="B62">
        <v>2146.735107</v>
      </c>
      <c r="C62">
        <v>-18.448999000000001</v>
      </c>
      <c r="D62" t="s">
        <v>185</v>
      </c>
      <c r="E62">
        <f t="shared" si="5"/>
        <v>668.73510699999997</v>
      </c>
      <c r="F62" t="e">
        <f>E62-$R$3</f>
        <v>#VALUE!</v>
      </c>
      <c r="G62">
        <v>600</v>
      </c>
      <c r="H62" t="e">
        <f t="shared" si="2"/>
        <v>#VALUE!</v>
      </c>
      <c r="I62">
        <f t="shared" si="6"/>
        <v>7.6717034120649217</v>
      </c>
    </row>
    <row r="63" spans="1:31" x14ac:dyDescent="0.25">
      <c r="A63">
        <v>1000</v>
      </c>
      <c r="B63">
        <v>2137.8908689999998</v>
      </c>
      <c r="C63">
        <v>-18.116478000000001</v>
      </c>
      <c r="D63" t="s">
        <v>186</v>
      </c>
      <c r="E63">
        <f t="shared" si="5"/>
        <v>659.89086899999984</v>
      </c>
      <c r="F63" t="e">
        <f>E63-$R$3</f>
        <v>#VALUE!</v>
      </c>
      <c r="G63">
        <v>610</v>
      </c>
      <c r="H63" t="e">
        <f t="shared" si="2"/>
        <v>#VALUE!</v>
      </c>
      <c r="I63">
        <f t="shared" si="6"/>
        <v>7.6675750467836297</v>
      </c>
    </row>
    <row r="64" spans="1:31" x14ac:dyDescent="0.25">
      <c r="A64">
        <v>1000</v>
      </c>
      <c r="B64">
        <v>2133.7919919999999</v>
      </c>
      <c r="C64">
        <v>-17.935531999999998</v>
      </c>
      <c r="D64" t="s">
        <v>187</v>
      </c>
      <c r="E64">
        <f t="shared" si="5"/>
        <v>655.79199199999994</v>
      </c>
      <c r="F64" t="e">
        <f>E64-$R$3</f>
        <v>#VALUE!</v>
      </c>
      <c r="G64">
        <v>620</v>
      </c>
      <c r="H64" t="e">
        <f t="shared" si="2"/>
        <v>#VALUE!</v>
      </c>
      <c r="I64">
        <f t="shared" si="6"/>
        <v>7.6656559538212719</v>
      </c>
    </row>
    <row r="65" spans="1:9" x14ac:dyDescent="0.25">
      <c r="A65">
        <v>1000</v>
      </c>
      <c r="B65">
        <v>2128.5686040000001</v>
      </c>
      <c r="C65">
        <v>-17.689688</v>
      </c>
      <c r="D65" t="s">
        <v>188</v>
      </c>
      <c r="E65">
        <f t="shared" si="5"/>
        <v>650.56860400000005</v>
      </c>
      <c r="F65" t="e">
        <f>E65-$R$3</f>
        <v>#VALUE!</v>
      </c>
      <c r="G65">
        <v>630</v>
      </c>
      <c r="H65" t="e">
        <f t="shared" si="2"/>
        <v>#VALUE!</v>
      </c>
      <c r="I65">
        <f t="shared" si="6"/>
        <v>7.6632050158974909</v>
      </c>
    </row>
    <row r="66" spans="1:9" x14ac:dyDescent="0.25">
      <c r="A66">
        <v>1000</v>
      </c>
      <c r="B66">
        <v>2130.7165530000002</v>
      </c>
      <c r="C66">
        <v>-17.772005</v>
      </c>
      <c r="D66" t="s">
        <v>189</v>
      </c>
      <c r="E66">
        <f t="shared" si="5"/>
        <v>652.7165530000002</v>
      </c>
      <c r="F66" t="e">
        <f>E66-$R$3</f>
        <v>#VALUE!</v>
      </c>
      <c r="G66">
        <v>640</v>
      </c>
      <c r="H66" t="e">
        <f t="shared" si="2"/>
        <v>#VALUE!</v>
      </c>
      <c r="I66">
        <f t="shared" si="6"/>
        <v>7.664213611989517</v>
      </c>
    </row>
    <row r="67" spans="1:9" x14ac:dyDescent="0.25">
      <c r="A67">
        <v>1000</v>
      </c>
      <c r="B67">
        <v>2131.1547850000002</v>
      </c>
      <c r="C67">
        <v>-17.809612000000001</v>
      </c>
      <c r="D67" t="s">
        <v>190</v>
      </c>
      <c r="E67">
        <f t="shared" si="5"/>
        <v>653.15478500000017</v>
      </c>
      <c r="F67" t="e">
        <f t="shared" ref="F67:F130" si="7">E67-$R$3</f>
        <v>#VALUE!</v>
      </c>
      <c r="G67">
        <v>650</v>
      </c>
      <c r="H67" t="e">
        <f t="shared" ref="H67:H130" si="8">LN(F67)</f>
        <v>#VALUE!</v>
      </c>
      <c r="I67">
        <f t="shared" si="6"/>
        <v>7.6644192643740157</v>
      </c>
    </row>
    <row r="68" spans="1:9" x14ac:dyDescent="0.25">
      <c r="A68">
        <v>1000</v>
      </c>
      <c r="B68">
        <v>2130.9982909999999</v>
      </c>
      <c r="C68">
        <v>-17.813327999999998</v>
      </c>
      <c r="D68" t="s">
        <v>191</v>
      </c>
      <c r="E68">
        <f t="shared" si="5"/>
        <v>652.99829099999988</v>
      </c>
      <c r="F68" t="e">
        <f t="shared" si="7"/>
        <v>#VALUE!</v>
      </c>
      <c r="G68">
        <v>660</v>
      </c>
      <c r="H68" t="e">
        <f t="shared" si="8"/>
        <v>#VALUE!</v>
      </c>
      <c r="I68">
        <f t="shared" si="6"/>
        <v>7.6643458301273899</v>
      </c>
    </row>
    <row r="69" spans="1:9" x14ac:dyDescent="0.25">
      <c r="A69">
        <v>1000</v>
      </c>
      <c r="B69">
        <v>2132.9736330000001</v>
      </c>
      <c r="C69">
        <v>-17.861329999999999</v>
      </c>
      <c r="D69" t="s">
        <v>192</v>
      </c>
      <c r="E69">
        <f t="shared" si="5"/>
        <v>654.97363300000006</v>
      </c>
      <c r="F69" t="e">
        <f t="shared" si="7"/>
        <v>#VALUE!</v>
      </c>
      <c r="G69">
        <v>670</v>
      </c>
      <c r="H69" t="e">
        <f t="shared" si="8"/>
        <v>#VALUE!</v>
      </c>
      <c r="I69">
        <f t="shared" si="6"/>
        <v>7.6652723569322188</v>
      </c>
    </row>
    <row r="70" spans="1:9" x14ac:dyDescent="0.25">
      <c r="A70">
        <v>1000</v>
      </c>
      <c r="B70">
        <v>2131.4978030000002</v>
      </c>
      <c r="C70">
        <v>-17.815691000000001</v>
      </c>
      <c r="D70" t="s">
        <v>193</v>
      </c>
      <c r="E70">
        <f t="shared" si="5"/>
        <v>653.4978030000002</v>
      </c>
      <c r="F70" t="e">
        <f t="shared" si="7"/>
        <v>#VALUE!</v>
      </c>
      <c r="G70">
        <v>680</v>
      </c>
      <c r="H70" t="e">
        <f t="shared" si="8"/>
        <v>#VALUE!</v>
      </c>
      <c r="I70">
        <f t="shared" si="6"/>
        <v>7.6645802054752004</v>
      </c>
    </row>
    <row r="71" spans="1:9" x14ac:dyDescent="0.25">
      <c r="A71">
        <v>1000</v>
      </c>
      <c r="B71">
        <v>2124.0275879999999</v>
      </c>
      <c r="C71">
        <v>-17.496283999999999</v>
      </c>
      <c r="D71" t="s">
        <v>194</v>
      </c>
      <c r="E71">
        <f t="shared" si="5"/>
        <v>646.02758799999992</v>
      </c>
      <c r="F71" t="e">
        <f t="shared" si="7"/>
        <v>#VALUE!</v>
      </c>
      <c r="G71">
        <v>690</v>
      </c>
      <c r="H71" t="e">
        <f t="shared" si="8"/>
        <v>#VALUE!</v>
      </c>
      <c r="I71">
        <f t="shared" si="6"/>
        <v>7.6610693709780415</v>
      </c>
    </row>
    <row r="72" spans="1:9" x14ac:dyDescent="0.25">
      <c r="A72">
        <v>1000</v>
      </c>
      <c r="B72">
        <v>2121.888672</v>
      </c>
      <c r="C72">
        <v>-17.416235</v>
      </c>
      <c r="D72" t="s">
        <v>195</v>
      </c>
      <c r="E72">
        <f t="shared" si="5"/>
        <v>643.88867200000004</v>
      </c>
      <c r="F72" t="e">
        <f t="shared" si="7"/>
        <v>#VALUE!</v>
      </c>
      <c r="G72">
        <v>700</v>
      </c>
      <c r="H72" t="e">
        <f t="shared" si="8"/>
        <v>#VALUE!</v>
      </c>
      <c r="I72">
        <f t="shared" si="6"/>
        <v>7.6600618540841818</v>
      </c>
    </row>
    <row r="73" spans="1:9" x14ac:dyDescent="0.25">
      <c r="A73">
        <v>1000</v>
      </c>
      <c r="B73">
        <v>2122.0202640000002</v>
      </c>
      <c r="C73">
        <v>-17.414321999999999</v>
      </c>
      <c r="D73" t="s">
        <v>196</v>
      </c>
      <c r="E73">
        <f t="shared" si="5"/>
        <v>644.02026400000022</v>
      </c>
      <c r="F73" t="e">
        <f t="shared" si="7"/>
        <v>#VALUE!</v>
      </c>
      <c r="G73">
        <v>710</v>
      </c>
      <c r="H73" t="e">
        <f t="shared" si="8"/>
        <v>#VALUE!</v>
      </c>
      <c r="I73">
        <f t="shared" si="6"/>
        <v>7.6601238686099533</v>
      </c>
    </row>
    <row r="74" spans="1:9" x14ac:dyDescent="0.25">
      <c r="A74">
        <v>1000</v>
      </c>
      <c r="B74">
        <v>2116.8776859999998</v>
      </c>
      <c r="C74">
        <v>-17.198145</v>
      </c>
      <c r="D74" t="s">
        <v>197</v>
      </c>
      <c r="E74">
        <f t="shared" si="5"/>
        <v>638.87768599999981</v>
      </c>
      <c r="F74" t="e">
        <f t="shared" si="7"/>
        <v>#VALUE!</v>
      </c>
      <c r="G74">
        <v>720</v>
      </c>
      <c r="H74" t="e">
        <f t="shared" si="8"/>
        <v>#VALUE!</v>
      </c>
      <c r="I74">
        <f t="shared" si="6"/>
        <v>7.6576974924227219</v>
      </c>
    </row>
    <row r="75" spans="1:9" x14ac:dyDescent="0.25">
      <c r="A75">
        <v>1000</v>
      </c>
      <c r="B75">
        <v>2113.5153810000002</v>
      </c>
      <c r="C75">
        <v>-17.024317</v>
      </c>
      <c r="D75" t="s">
        <v>198</v>
      </c>
      <c r="E75">
        <f t="shared" si="5"/>
        <v>635.51538100000016</v>
      </c>
      <c r="F75" t="e">
        <f t="shared" si="7"/>
        <v>#VALUE!</v>
      </c>
      <c r="G75">
        <v>730</v>
      </c>
      <c r="H75" t="e">
        <f t="shared" si="8"/>
        <v>#VALUE!</v>
      </c>
      <c r="I75">
        <f t="shared" si="6"/>
        <v>7.6561078974821379</v>
      </c>
    </row>
    <row r="76" spans="1:9" x14ac:dyDescent="0.25">
      <c r="A76">
        <v>1000</v>
      </c>
      <c r="B76">
        <v>2111.3063959999999</v>
      </c>
      <c r="C76">
        <v>-16.903807</v>
      </c>
      <c r="D76" t="s">
        <v>199</v>
      </c>
      <c r="E76">
        <f t="shared" si="5"/>
        <v>633.30639599999995</v>
      </c>
      <c r="F76" t="e">
        <f t="shared" si="7"/>
        <v>#VALUE!</v>
      </c>
      <c r="G76">
        <v>740</v>
      </c>
      <c r="H76" t="e">
        <f t="shared" si="8"/>
        <v>#VALUE!</v>
      </c>
      <c r="I76">
        <f t="shared" si="6"/>
        <v>7.6550621799026066</v>
      </c>
    </row>
    <row r="77" spans="1:9" x14ac:dyDescent="0.25">
      <c r="A77">
        <v>1000</v>
      </c>
      <c r="B77">
        <v>2109.5158689999998</v>
      </c>
      <c r="C77">
        <v>-16.823374000000001</v>
      </c>
      <c r="D77" t="s">
        <v>200</v>
      </c>
      <c r="E77">
        <f t="shared" si="5"/>
        <v>631.51586899999984</v>
      </c>
      <c r="F77" t="e">
        <f t="shared" si="7"/>
        <v>#VALUE!</v>
      </c>
      <c r="G77">
        <v>750</v>
      </c>
      <c r="H77" t="e">
        <f t="shared" si="8"/>
        <v>#VALUE!</v>
      </c>
      <c r="I77">
        <f t="shared" si="6"/>
        <v>7.6542137541717938</v>
      </c>
    </row>
    <row r="78" spans="1:9" x14ac:dyDescent="0.25">
      <c r="A78">
        <v>1000</v>
      </c>
      <c r="B78">
        <v>2107.506836</v>
      </c>
      <c r="C78">
        <v>-16.713011000000002</v>
      </c>
      <c r="D78" t="s">
        <v>201</v>
      </c>
      <c r="E78">
        <f t="shared" si="5"/>
        <v>629.50683600000002</v>
      </c>
      <c r="F78" t="e">
        <f t="shared" si="7"/>
        <v>#VALUE!</v>
      </c>
      <c r="G78">
        <v>760</v>
      </c>
      <c r="H78" t="e">
        <f t="shared" si="8"/>
        <v>#VALUE!</v>
      </c>
      <c r="I78">
        <f t="shared" si="6"/>
        <v>7.6532609335243675</v>
      </c>
    </row>
    <row r="79" spans="1:9" x14ac:dyDescent="0.25">
      <c r="A79">
        <v>1000</v>
      </c>
      <c r="B79">
        <v>2105.4582519999999</v>
      </c>
      <c r="C79">
        <v>-16.623739</v>
      </c>
      <c r="D79" t="s">
        <v>202</v>
      </c>
      <c r="E79">
        <f t="shared" si="5"/>
        <v>627.4582519999999</v>
      </c>
      <c r="F79" t="e">
        <f t="shared" si="7"/>
        <v>#VALUE!</v>
      </c>
      <c r="G79">
        <v>770</v>
      </c>
      <c r="H79" t="e">
        <f t="shared" si="8"/>
        <v>#VALUE!</v>
      </c>
      <c r="I79">
        <f t="shared" si="6"/>
        <v>7.6522884193360614</v>
      </c>
    </row>
    <row r="80" spans="1:9" x14ac:dyDescent="0.25">
      <c r="A80">
        <v>1000</v>
      </c>
      <c r="B80">
        <v>2103.695068</v>
      </c>
      <c r="C80">
        <v>-16.554714000000001</v>
      </c>
      <c r="D80" t="s">
        <v>203</v>
      </c>
      <c r="E80">
        <f t="shared" si="5"/>
        <v>625.69506799999999</v>
      </c>
      <c r="F80" t="e">
        <f t="shared" si="7"/>
        <v>#VALUE!</v>
      </c>
      <c r="G80">
        <v>780</v>
      </c>
      <c r="H80" t="e">
        <f t="shared" si="8"/>
        <v>#VALUE!</v>
      </c>
      <c r="I80">
        <f t="shared" si="6"/>
        <v>7.6514506336964878</v>
      </c>
    </row>
    <row r="81" spans="1:9" x14ac:dyDescent="0.25">
      <c r="A81">
        <v>1000</v>
      </c>
      <c r="B81">
        <v>2102.9562989999999</v>
      </c>
      <c r="C81">
        <v>-16.482861</v>
      </c>
      <c r="D81" t="s">
        <v>204</v>
      </c>
      <c r="E81">
        <f t="shared" si="5"/>
        <v>624.95629899999994</v>
      </c>
      <c r="F81" t="e">
        <f t="shared" si="7"/>
        <v>#VALUE!</v>
      </c>
      <c r="G81">
        <v>790</v>
      </c>
      <c r="H81" t="e">
        <f t="shared" si="8"/>
        <v>#VALUE!</v>
      </c>
      <c r="I81">
        <f t="shared" si="6"/>
        <v>7.6510993951729489</v>
      </c>
    </row>
    <row r="82" spans="1:9" x14ac:dyDescent="0.25">
      <c r="A82">
        <v>1000</v>
      </c>
      <c r="B82">
        <v>2101.5776369999999</v>
      </c>
      <c r="C82">
        <v>-16.448381000000001</v>
      </c>
      <c r="D82" t="s">
        <v>205</v>
      </c>
      <c r="E82">
        <f t="shared" si="5"/>
        <v>623.57763699999987</v>
      </c>
      <c r="F82" t="e">
        <f t="shared" si="7"/>
        <v>#VALUE!</v>
      </c>
      <c r="G82">
        <v>800</v>
      </c>
      <c r="H82" t="e">
        <f t="shared" si="8"/>
        <v>#VALUE!</v>
      </c>
      <c r="I82">
        <f t="shared" si="6"/>
        <v>7.6504435973744789</v>
      </c>
    </row>
    <row r="83" spans="1:9" x14ac:dyDescent="0.25">
      <c r="A83">
        <v>1000</v>
      </c>
      <c r="B83">
        <v>2102.5107419999999</v>
      </c>
      <c r="C83">
        <v>-16.475279</v>
      </c>
      <c r="D83" t="s">
        <v>206</v>
      </c>
      <c r="E83">
        <f t="shared" si="5"/>
        <v>624.51074199999994</v>
      </c>
      <c r="F83" t="e">
        <f t="shared" si="7"/>
        <v>#VALUE!</v>
      </c>
      <c r="G83">
        <v>810</v>
      </c>
      <c r="H83" t="e">
        <f t="shared" si="8"/>
        <v>#VALUE!</v>
      </c>
      <c r="I83">
        <f t="shared" si="6"/>
        <v>7.6508875009898185</v>
      </c>
    </row>
    <row r="84" spans="1:9" x14ac:dyDescent="0.25">
      <c r="A84">
        <v>1000</v>
      </c>
      <c r="B84">
        <v>2103.2858890000002</v>
      </c>
      <c r="C84">
        <v>-16.519798000000002</v>
      </c>
      <c r="D84" t="s">
        <v>207</v>
      </c>
      <c r="E84">
        <f t="shared" si="5"/>
        <v>625.28588900000022</v>
      </c>
      <c r="F84" t="e">
        <f t="shared" si="7"/>
        <v>#VALUE!</v>
      </c>
      <c r="G84">
        <v>820</v>
      </c>
      <c r="H84" t="e">
        <f t="shared" si="8"/>
        <v>#VALUE!</v>
      </c>
      <c r="I84">
        <f t="shared" si="6"/>
        <v>7.6512561098774015</v>
      </c>
    </row>
    <row r="85" spans="1:9" x14ac:dyDescent="0.25">
      <c r="A85">
        <v>1000</v>
      </c>
      <c r="B85">
        <v>2104.7253420000002</v>
      </c>
      <c r="C85">
        <v>-16.587513000000001</v>
      </c>
      <c r="D85" t="s">
        <v>208</v>
      </c>
      <c r="E85">
        <f t="shared" si="5"/>
        <v>626.72534200000018</v>
      </c>
      <c r="F85" t="e">
        <f t="shared" si="7"/>
        <v>#VALUE!</v>
      </c>
      <c r="G85">
        <v>830</v>
      </c>
      <c r="H85" t="e">
        <f t="shared" si="8"/>
        <v>#VALUE!</v>
      </c>
      <c r="I85">
        <f t="shared" si="6"/>
        <v>7.651940258743517</v>
      </c>
    </row>
    <row r="86" spans="1:9" x14ac:dyDescent="0.25">
      <c r="A86">
        <v>1000</v>
      </c>
      <c r="B86">
        <v>2103.07251</v>
      </c>
      <c r="C86">
        <v>-16.517119999999998</v>
      </c>
      <c r="D86" t="s">
        <v>209</v>
      </c>
      <c r="E86">
        <f t="shared" si="5"/>
        <v>625.07250999999997</v>
      </c>
      <c r="F86" t="e">
        <f t="shared" si="7"/>
        <v>#VALUE!</v>
      </c>
      <c r="G86">
        <v>840</v>
      </c>
      <c r="H86" t="e">
        <f t="shared" si="8"/>
        <v>#VALUE!</v>
      </c>
      <c r="I86">
        <f t="shared" si="6"/>
        <v>7.651154654423566</v>
      </c>
    </row>
    <row r="87" spans="1:9" x14ac:dyDescent="0.25">
      <c r="A87">
        <v>1000</v>
      </c>
      <c r="B87">
        <v>2102.9860840000001</v>
      </c>
      <c r="C87">
        <v>-16.515740999999998</v>
      </c>
      <c r="D87" t="s">
        <v>210</v>
      </c>
      <c r="E87">
        <f t="shared" si="5"/>
        <v>624.98608400000012</v>
      </c>
      <c r="F87" t="e">
        <f t="shared" si="7"/>
        <v>#VALUE!</v>
      </c>
      <c r="G87">
        <v>850</v>
      </c>
      <c r="H87" t="e">
        <f t="shared" si="8"/>
        <v>#VALUE!</v>
      </c>
      <c r="I87">
        <f t="shared" si="6"/>
        <v>7.6511135584673013</v>
      </c>
    </row>
    <row r="88" spans="1:9" x14ac:dyDescent="0.25">
      <c r="A88">
        <v>1000</v>
      </c>
      <c r="B88">
        <v>2101.6198730000001</v>
      </c>
      <c r="C88">
        <v>-16.447904999999999</v>
      </c>
      <c r="D88" t="s">
        <v>211</v>
      </c>
      <c r="E88">
        <f t="shared" si="5"/>
        <v>623.6198730000001</v>
      </c>
      <c r="F88" t="e">
        <f t="shared" si="7"/>
        <v>#VALUE!</v>
      </c>
      <c r="G88">
        <v>860</v>
      </c>
      <c r="H88" t="e">
        <f t="shared" si="8"/>
        <v>#VALUE!</v>
      </c>
      <c r="I88">
        <f t="shared" si="6"/>
        <v>7.6504636944552855</v>
      </c>
    </row>
    <row r="89" spans="1:9" x14ac:dyDescent="0.25">
      <c r="A89">
        <v>1000</v>
      </c>
      <c r="B89">
        <v>2102.28125</v>
      </c>
      <c r="C89">
        <v>-16.471428</v>
      </c>
      <c r="D89" t="s">
        <v>212</v>
      </c>
      <c r="E89">
        <f t="shared" si="5"/>
        <v>624.28125</v>
      </c>
      <c r="F89" t="e">
        <f t="shared" si="7"/>
        <v>#VALUE!</v>
      </c>
      <c r="G89">
        <v>870</v>
      </c>
      <c r="H89" t="e">
        <f t="shared" si="8"/>
        <v>#VALUE!</v>
      </c>
      <c r="I89">
        <f t="shared" ref="I89:I120" si="9">LN(B89)</f>
        <v>7.6507783436280921</v>
      </c>
    </row>
    <row r="90" spans="1:9" x14ac:dyDescent="0.25">
      <c r="A90">
        <v>1000</v>
      </c>
      <c r="B90">
        <v>2103.3813479999999</v>
      </c>
      <c r="C90">
        <v>-16.544250000000002</v>
      </c>
      <c r="D90" t="s">
        <v>213</v>
      </c>
      <c r="E90">
        <f t="shared" si="5"/>
        <v>625.38134799999989</v>
      </c>
      <c r="F90" t="e">
        <f t="shared" si="7"/>
        <v>#VALUE!</v>
      </c>
      <c r="G90">
        <v>880</v>
      </c>
      <c r="H90" t="e">
        <f t="shared" si="8"/>
        <v>#VALUE!</v>
      </c>
      <c r="I90">
        <f t="shared" si="9"/>
        <v>7.6513014944988313</v>
      </c>
    </row>
    <row r="91" spans="1:9" x14ac:dyDescent="0.25">
      <c r="A91">
        <v>1000</v>
      </c>
      <c r="B91">
        <v>2103.7097170000002</v>
      </c>
      <c r="C91">
        <v>-16.567568000000001</v>
      </c>
      <c r="D91" t="s">
        <v>214</v>
      </c>
      <c r="E91">
        <f t="shared" si="5"/>
        <v>625.70971700000018</v>
      </c>
      <c r="F91" t="e">
        <f t="shared" si="7"/>
        <v>#VALUE!</v>
      </c>
      <c r="G91">
        <v>890</v>
      </c>
      <c r="H91" t="e">
        <f t="shared" si="8"/>
        <v>#VALUE!</v>
      </c>
      <c r="I91">
        <f t="shared" si="9"/>
        <v>7.6514575971339269</v>
      </c>
    </row>
    <row r="92" spans="1:9" x14ac:dyDescent="0.25">
      <c r="A92">
        <v>1000</v>
      </c>
      <c r="B92">
        <v>2105.3503420000002</v>
      </c>
      <c r="C92">
        <v>-16.617934999999999</v>
      </c>
      <c r="D92" t="s">
        <v>215</v>
      </c>
      <c r="E92">
        <f t="shared" si="5"/>
        <v>627.35034200000018</v>
      </c>
      <c r="F92" t="e">
        <f t="shared" si="7"/>
        <v>#VALUE!</v>
      </c>
      <c r="G92">
        <v>900</v>
      </c>
      <c r="H92" t="e">
        <f t="shared" si="8"/>
        <v>#VALUE!</v>
      </c>
      <c r="I92">
        <f t="shared" si="9"/>
        <v>7.6522371655221608</v>
      </c>
    </row>
    <row r="93" spans="1:9" x14ac:dyDescent="0.25">
      <c r="A93">
        <v>1000</v>
      </c>
      <c r="B93">
        <v>2105.2414549999999</v>
      </c>
      <c r="C93">
        <v>-16.600339999999999</v>
      </c>
      <c r="D93" t="s">
        <v>216</v>
      </c>
      <c r="E93">
        <f t="shared" si="5"/>
        <v>627.24145499999986</v>
      </c>
      <c r="F93" t="e">
        <f t="shared" si="7"/>
        <v>#VALUE!</v>
      </c>
      <c r="G93">
        <v>910</v>
      </c>
      <c r="H93" t="e">
        <f t="shared" si="8"/>
        <v>#VALUE!</v>
      </c>
      <c r="I93">
        <f t="shared" si="9"/>
        <v>7.6521854450014963</v>
      </c>
    </row>
    <row r="94" spans="1:9" x14ac:dyDescent="0.25">
      <c r="A94">
        <v>1000</v>
      </c>
      <c r="B94">
        <v>2103.7365719999998</v>
      </c>
      <c r="C94">
        <v>-16.528172000000001</v>
      </c>
      <c r="D94" t="s">
        <v>217</v>
      </c>
      <c r="E94">
        <f t="shared" si="5"/>
        <v>625.7365719999998</v>
      </c>
      <c r="F94" t="e">
        <f t="shared" si="7"/>
        <v>#VALUE!</v>
      </c>
      <c r="G94">
        <v>920</v>
      </c>
      <c r="H94" t="e">
        <f t="shared" si="8"/>
        <v>#VALUE!</v>
      </c>
      <c r="I94">
        <f t="shared" si="9"/>
        <v>7.6514703625969442</v>
      </c>
    </row>
    <row r="95" spans="1:9" x14ac:dyDescent="0.25">
      <c r="A95">
        <v>1000</v>
      </c>
      <c r="B95">
        <v>2103.0141600000002</v>
      </c>
      <c r="C95">
        <v>-16.534987999999998</v>
      </c>
      <c r="D95" t="s">
        <v>218</v>
      </c>
      <c r="E95">
        <f t="shared" si="5"/>
        <v>625.01416000000017</v>
      </c>
      <c r="F95" t="e">
        <f t="shared" si="7"/>
        <v>#VALUE!</v>
      </c>
      <c r="G95">
        <v>930</v>
      </c>
      <c r="H95" t="e">
        <f t="shared" si="8"/>
        <v>#VALUE!</v>
      </c>
      <c r="I95">
        <f t="shared" si="9"/>
        <v>7.651126908918263</v>
      </c>
    </row>
    <row r="96" spans="1:9" x14ac:dyDescent="0.25">
      <c r="A96">
        <v>1000</v>
      </c>
      <c r="B96">
        <v>2102.8027339999999</v>
      </c>
      <c r="C96">
        <v>-16.527393</v>
      </c>
      <c r="D96" t="s">
        <v>219</v>
      </c>
      <c r="E96">
        <f t="shared" si="5"/>
        <v>624.80273399999987</v>
      </c>
      <c r="F96" t="e">
        <f t="shared" si="7"/>
        <v>#VALUE!</v>
      </c>
      <c r="G96">
        <v>940</v>
      </c>
      <c r="H96" t="e">
        <f t="shared" si="8"/>
        <v>#VALUE!</v>
      </c>
      <c r="I96">
        <f t="shared" si="9"/>
        <v>7.6510263691156482</v>
      </c>
    </row>
    <row r="97" spans="1:9" x14ac:dyDescent="0.25">
      <c r="A97">
        <v>1000</v>
      </c>
      <c r="B97">
        <v>2104.6267090000001</v>
      </c>
      <c r="C97">
        <v>-16.579712000000001</v>
      </c>
      <c r="D97" t="s">
        <v>220</v>
      </c>
      <c r="E97">
        <f t="shared" si="5"/>
        <v>626.62670900000012</v>
      </c>
      <c r="F97" t="e">
        <f t="shared" si="7"/>
        <v>#VALUE!</v>
      </c>
      <c r="G97">
        <v>950</v>
      </c>
      <c r="H97" t="e">
        <f t="shared" si="8"/>
        <v>#VALUE!</v>
      </c>
      <c r="I97">
        <f t="shared" si="9"/>
        <v>7.651893394998778</v>
      </c>
    </row>
    <row r="98" spans="1:9" x14ac:dyDescent="0.25">
      <c r="A98">
        <v>1000</v>
      </c>
      <c r="B98">
        <v>2099.7224120000001</v>
      </c>
      <c r="C98">
        <v>-16.313965</v>
      </c>
      <c r="D98" t="s">
        <v>221</v>
      </c>
      <c r="E98">
        <f t="shared" si="5"/>
        <v>621.72241200000008</v>
      </c>
      <c r="F98" t="e">
        <f t="shared" si="7"/>
        <v>#VALUE!</v>
      </c>
      <c r="G98">
        <v>960</v>
      </c>
      <c r="H98" t="e">
        <f t="shared" si="8"/>
        <v>#VALUE!</v>
      </c>
      <c r="I98">
        <f t="shared" si="9"/>
        <v>7.6495604302124338</v>
      </c>
    </row>
    <row r="99" spans="1:9" x14ac:dyDescent="0.25">
      <c r="A99">
        <v>1000</v>
      </c>
      <c r="B99">
        <v>2098.3029790000001</v>
      </c>
      <c r="C99">
        <v>-16.262819</v>
      </c>
      <c r="D99" t="s">
        <v>222</v>
      </c>
      <c r="E99">
        <f t="shared" si="5"/>
        <v>620.30297900000005</v>
      </c>
      <c r="F99" t="e">
        <f t="shared" si="7"/>
        <v>#VALUE!</v>
      </c>
      <c r="G99">
        <v>970</v>
      </c>
      <c r="H99" t="e">
        <f t="shared" si="8"/>
        <v>#VALUE!</v>
      </c>
      <c r="I99">
        <f t="shared" si="9"/>
        <v>7.6488841917803674</v>
      </c>
    </row>
    <row r="100" spans="1:9" x14ac:dyDescent="0.25">
      <c r="A100">
        <v>1000</v>
      </c>
      <c r="B100">
        <v>2100.0717770000001</v>
      </c>
      <c r="C100">
        <v>-16.369261000000002</v>
      </c>
      <c r="D100" t="s">
        <v>223</v>
      </c>
      <c r="E100">
        <f t="shared" si="5"/>
        <v>622.07177700000011</v>
      </c>
      <c r="F100" t="e">
        <f t="shared" si="7"/>
        <v>#VALUE!</v>
      </c>
      <c r="G100">
        <v>980</v>
      </c>
      <c r="H100" t="e">
        <f t="shared" si="8"/>
        <v>#VALUE!</v>
      </c>
      <c r="I100">
        <f t="shared" si="9"/>
        <v>7.6497268026512177</v>
      </c>
    </row>
    <row r="101" spans="1:9" x14ac:dyDescent="0.25">
      <c r="A101">
        <v>1000</v>
      </c>
      <c r="B101">
        <v>2102.0390630000002</v>
      </c>
      <c r="C101">
        <v>-16.468395000000001</v>
      </c>
      <c r="D101" t="s">
        <v>224</v>
      </c>
      <c r="E101">
        <f t="shared" si="5"/>
        <v>624.03906300000017</v>
      </c>
      <c r="F101" t="e">
        <f t="shared" si="7"/>
        <v>#VALUE!</v>
      </c>
      <c r="G101">
        <v>990</v>
      </c>
      <c r="H101" t="e">
        <f t="shared" si="8"/>
        <v>#VALUE!</v>
      </c>
      <c r="I101">
        <f t="shared" si="9"/>
        <v>7.6506631349940024</v>
      </c>
    </row>
    <row r="102" spans="1:9" x14ac:dyDescent="0.25">
      <c r="A102">
        <v>1000</v>
      </c>
      <c r="B102">
        <v>2104.5061040000001</v>
      </c>
      <c r="C102">
        <v>-16.536778999999999</v>
      </c>
      <c r="D102" t="s">
        <v>225</v>
      </c>
      <c r="E102">
        <f t="shared" si="5"/>
        <v>626.50610400000005</v>
      </c>
      <c r="F102" t="e">
        <f t="shared" si="7"/>
        <v>#VALUE!</v>
      </c>
      <c r="G102">
        <v>1000</v>
      </c>
      <c r="H102" t="e">
        <f t="shared" si="8"/>
        <v>#VALUE!</v>
      </c>
      <c r="I102">
        <f t="shared" si="9"/>
        <v>7.6518360886578325</v>
      </c>
    </row>
    <row r="103" spans="1:9" x14ac:dyDescent="0.25">
      <c r="A103">
        <v>1000</v>
      </c>
      <c r="B103">
        <v>2105.6828609999998</v>
      </c>
      <c r="C103">
        <v>-16.585642</v>
      </c>
      <c r="D103" t="s">
        <v>226</v>
      </c>
      <c r="E103">
        <f t="shared" si="5"/>
        <v>627.68286099999978</v>
      </c>
      <c r="F103" t="e">
        <f t="shared" si="7"/>
        <v>#VALUE!</v>
      </c>
      <c r="G103">
        <v>1010</v>
      </c>
      <c r="H103" t="e">
        <f t="shared" si="8"/>
        <v>#VALUE!</v>
      </c>
      <c r="I103">
        <f t="shared" si="9"/>
        <v>7.6523950930352731</v>
      </c>
    </row>
    <row r="104" spans="1:9" x14ac:dyDescent="0.25">
      <c r="A104">
        <v>1000</v>
      </c>
      <c r="B104">
        <v>2106.233154</v>
      </c>
      <c r="C104">
        <v>-16.588550999999999</v>
      </c>
      <c r="D104" t="s">
        <v>227</v>
      </c>
      <c r="E104">
        <f t="shared" si="5"/>
        <v>628.23315400000001</v>
      </c>
      <c r="F104" t="e">
        <f t="shared" si="7"/>
        <v>#VALUE!</v>
      </c>
      <c r="G104">
        <v>1020</v>
      </c>
      <c r="H104" t="e">
        <f t="shared" si="8"/>
        <v>#VALUE!</v>
      </c>
      <c r="I104">
        <f t="shared" si="9"/>
        <v>7.6526563959677967</v>
      </c>
    </row>
    <row r="105" spans="1:9" x14ac:dyDescent="0.25">
      <c r="A105">
        <v>1000</v>
      </c>
      <c r="B105">
        <v>2107.6206050000001</v>
      </c>
      <c r="C105">
        <v>-16.636690000000002</v>
      </c>
      <c r="D105" t="s">
        <v>228</v>
      </c>
      <c r="E105">
        <f t="shared" si="5"/>
        <v>629.62060500000007</v>
      </c>
      <c r="F105" t="e">
        <f t="shared" si="7"/>
        <v>#VALUE!</v>
      </c>
      <c r="G105">
        <v>1030</v>
      </c>
      <c r="H105" t="e">
        <f t="shared" si="8"/>
        <v>#VALUE!</v>
      </c>
      <c r="I105">
        <f t="shared" si="9"/>
        <v>7.6533149148103998</v>
      </c>
    </row>
    <row r="106" spans="1:9" x14ac:dyDescent="0.25">
      <c r="A106">
        <v>1000</v>
      </c>
      <c r="B106">
        <v>2107.9038089999999</v>
      </c>
      <c r="C106">
        <v>-16.625665999999999</v>
      </c>
      <c r="D106" t="s">
        <v>229</v>
      </c>
      <c r="E106">
        <f t="shared" si="5"/>
        <v>629.90380899999991</v>
      </c>
      <c r="F106" t="e">
        <f t="shared" si="7"/>
        <v>#VALUE!</v>
      </c>
      <c r="G106">
        <v>1040</v>
      </c>
      <c r="H106" t="e">
        <f t="shared" si="8"/>
        <v>#VALUE!</v>
      </c>
      <c r="I106">
        <f t="shared" si="9"/>
        <v>7.6534492772159339</v>
      </c>
    </row>
    <row r="107" spans="1:9" x14ac:dyDescent="0.25">
      <c r="A107">
        <v>1000</v>
      </c>
      <c r="B107">
        <v>2100.92749</v>
      </c>
      <c r="C107">
        <v>-16.326805</v>
      </c>
      <c r="D107" t="s">
        <v>230</v>
      </c>
      <c r="E107">
        <f t="shared" si="5"/>
        <v>622.92749000000003</v>
      </c>
      <c r="F107" t="e">
        <f t="shared" si="7"/>
        <v>#VALUE!</v>
      </c>
      <c r="G107">
        <v>1050</v>
      </c>
      <c r="H107" t="e">
        <f t="shared" si="8"/>
        <v>#VALUE!</v>
      </c>
      <c r="I107">
        <f t="shared" si="9"/>
        <v>7.6501341881123652</v>
      </c>
    </row>
    <row r="108" spans="1:9" x14ac:dyDescent="0.25">
      <c r="A108">
        <v>1000</v>
      </c>
      <c r="B108">
        <v>2102.5178219999998</v>
      </c>
      <c r="C108">
        <v>-16.382648</v>
      </c>
      <c r="D108" t="s">
        <v>231</v>
      </c>
      <c r="E108">
        <f t="shared" si="5"/>
        <v>624.5178219999998</v>
      </c>
      <c r="F108" t="e">
        <f t="shared" si="7"/>
        <v>#VALUE!</v>
      </c>
      <c r="G108">
        <v>1060</v>
      </c>
      <c r="H108" t="e">
        <f t="shared" si="8"/>
        <v>#VALUE!</v>
      </c>
      <c r="I108">
        <f t="shared" si="9"/>
        <v>7.6508908683866821</v>
      </c>
    </row>
    <row r="109" spans="1:9" x14ac:dyDescent="0.25">
      <c r="A109">
        <v>1000</v>
      </c>
      <c r="B109">
        <v>2102.0986330000001</v>
      </c>
      <c r="C109">
        <v>-16.375762999999999</v>
      </c>
      <c r="D109" t="s">
        <v>232</v>
      </c>
      <c r="E109">
        <f t="shared" si="5"/>
        <v>624.09863300000006</v>
      </c>
      <c r="F109" t="e">
        <f t="shared" si="7"/>
        <v>#VALUE!</v>
      </c>
      <c r="G109">
        <v>1070</v>
      </c>
      <c r="H109" t="e">
        <f t="shared" si="8"/>
        <v>#VALUE!</v>
      </c>
      <c r="I109">
        <f t="shared" si="9"/>
        <v>7.6506914737423077</v>
      </c>
    </row>
    <row r="110" spans="1:9" x14ac:dyDescent="0.25">
      <c r="A110">
        <v>1000</v>
      </c>
      <c r="B110">
        <v>2099.3691410000001</v>
      </c>
      <c r="C110">
        <v>-16.240566000000001</v>
      </c>
      <c r="D110" t="s">
        <v>233</v>
      </c>
      <c r="E110">
        <f t="shared" si="5"/>
        <v>621.36914100000013</v>
      </c>
      <c r="F110" t="e">
        <f t="shared" si="7"/>
        <v>#VALUE!</v>
      </c>
      <c r="G110">
        <v>1080</v>
      </c>
      <c r="H110" t="e">
        <f t="shared" si="8"/>
        <v>#VALUE!</v>
      </c>
      <c r="I110">
        <f t="shared" si="9"/>
        <v>7.6493921695320584</v>
      </c>
    </row>
    <row r="111" spans="1:9" x14ac:dyDescent="0.25">
      <c r="A111">
        <v>1000</v>
      </c>
      <c r="B111">
        <v>2097.4184570000002</v>
      </c>
      <c r="C111">
        <v>-16.1584</v>
      </c>
      <c r="D111" t="s">
        <v>234</v>
      </c>
      <c r="E111">
        <f t="shared" si="5"/>
        <v>619.41845700000022</v>
      </c>
      <c r="F111" t="e">
        <f t="shared" si="7"/>
        <v>#VALUE!</v>
      </c>
      <c r="G111">
        <v>1090</v>
      </c>
      <c r="H111" t="e">
        <f t="shared" si="8"/>
        <v>#VALUE!</v>
      </c>
      <c r="I111">
        <f t="shared" si="9"/>
        <v>7.6484625613043722</v>
      </c>
    </row>
    <row r="112" spans="1:9" x14ac:dyDescent="0.25">
      <c r="A112">
        <v>1000</v>
      </c>
      <c r="B112">
        <v>2096.6652829999998</v>
      </c>
      <c r="C112">
        <v>-16.087160000000001</v>
      </c>
      <c r="D112" t="s">
        <v>235</v>
      </c>
      <c r="E112">
        <f t="shared" si="5"/>
        <v>618.66528299999982</v>
      </c>
      <c r="F112" t="e">
        <f t="shared" si="7"/>
        <v>#VALUE!</v>
      </c>
      <c r="G112">
        <v>1100</v>
      </c>
      <c r="H112" t="e">
        <f t="shared" si="8"/>
        <v>#VALUE!</v>
      </c>
      <c r="I112">
        <f t="shared" si="9"/>
        <v>7.6481034010897515</v>
      </c>
    </row>
    <row r="113" spans="1:9" x14ac:dyDescent="0.25">
      <c r="A113">
        <v>1000</v>
      </c>
      <c r="B113">
        <v>2095.75</v>
      </c>
      <c r="C113">
        <v>-16.066766999999999</v>
      </c>
      <c r="D113" t="s">
        <v>236</v>
      </c>
      <c r="E113">
        <f t="shared" si="5"/>
        <v>617.75</v>
      </c>
      <c r="F113" t="e">
        <f t="shared" si="7"/>
        <v>#VALUE!</v>
      </c>
      <c r="G113">
        <v>1110</v>
      </c>
      <c r="H113" t="e">
        <f t="shared" si="8"/>
        <v>#VALUE!</v>
      </c>
      <c r="I113">
        <f t="shared" si="9"/>
        <v>7.6476667635179671</v>
      </c>
    </row>
    <row r="114" spans="1:9" x14ac:dyDescent="0.25">
      <c r="A114">
        <v>1000</v>
      </c>
      <c r="B114">
        <v>2092.9882809999999</v>
      </c>
      <c r="C114">
        <v>-15.925559</v>
      </c>
      <c r="D114" t="s">
        <v>237</v>
      </c>
      <c r="E114">
        <f t="shared" si="5"/>
        <v>614.98828099999992</v>
      </c>
      <c r="F114" t="e">
        <f t="shared" si="7"/>
        <v>#VALUE!</v>
      </c>
      <c r="G114">
        <v>1120</v>
      </c>
      <c r="H114" t="e">
        <f t="shared" si="8"/>
        <v>#VALUE!</v>
      </c>
      <c r="I114">
        <f t="shared" si="9"/>
        <v>7.6463481232903341</v>
      </c>
    </row>
    <row r="115" spans="1:9" x14ac:dyDescent="0.25">
      <c r="A115">
        <v>1000</v>
      </c>
      <c r="B115">
        <v>2092.0021969999998</v>
      </c>
      <c r="C115">
        <v>-15.881148</v>
      </c>
      <c r="D115" t="s">
        <v>238</v>
      </c>
      <c r="E115">
        <f t="shared" si="5"/>
        <v>614.0021969999998</v>
      </c>
      <c r="F115" t="e">
        <f t="shared" si="7"/>
        <v>#VALUE!</v>
      </c>
      <c r="G115">
        <v>1130</v>
      </c>
      <c r="H115" t="e">
        <f t="shared" si="8"/>
        <v>#VALUE!</v>
      </c>
      <c r="I115">
        <f t="shared" si="9"/>
        <v>7.6458768753754667</v>
      </c>
    </row>
    <row r="116" spans="1:9" x14ac:dyDescent="0.25">
      <c r="A116">
        <v>1000</v>
      </c>
      <c r="B116">
        <v>2094.8229980000001</v>
      </c>
      <c r="C116">
        <v>-15.991784000000001</v>
      </c>
      <c r="D116" t="s">
        <v>239</v>
      </c>
      <c r="E116">
        <f t="shared" si="5"/>
        <v>616.8229980000001</v>
      </c>
      <c r="F116" t="e">
        <f t="shared" si="7"/>
        <v>#VALUE!</v>
      </c>
      <c r="G116">
        <v>1140</v>
      </c>
      <c r="H116" t="e">
        <f t="shared" si="8"/>
        <v>#VALUE!</v>
      </c>
      <c r="I116">
        <f t="shared" si="9"/>
        <v>7.6472243409587781</v>
      </c>
    </row>
    <row r="117" spans="1:9" x14ac:dyDescent="0.25">
      <c r="A117">
        <v>1000</v>
      </c>
      <c r="B117">
        <v>2093.6853030000002</v>
      </c>
      <c r="C117">
        <v>-15.978491999999999</v>
      </c>
      <c r="D117" t="s">
        <v>240</v>
      </c>
      <c r="E117">
        <f t="shared" si="5"/>
        <v>615.6853030000002</v>
      </c>
      <c r="F117" t="e">
        <f t="shared" si="7"/>
        <v>#VALUE!</v>
      </c>
      <c r="G117">
        <v>1150</v>
      </c>
      <c r="H117" t="e">
        <f t="shared" si="8"/>
        <v>#VALUE!</v>
      </c>
      <c r="I117">
        <f t="shared" si="9"/>
        <v>7.6466810950362589</v>
      </c>
    </row>
    <row r="118" spans="1:9" x14ac:dyDescent="0.25">
      <c r="A118">
        <v>1000</v>
      </c>
      <c r="B118">
        <v>2094.6904300000001</v>
      </c>
      <c r="C118">
        <v>-15.973820999999999</v>
      </c>
      <c r="D118" t="s">
        <v>241</v>
      </c>
      <c r="E118">
        <f t="shared" si="5"/>
        <v>616.69043000000011</v>
      </c>
      <c r="F118" t="e">
        <f t="shared" si="7"/>
        <v>#VALUE!</v>
      </c>
      <c r="G118">
        <v>1160</v>
      </c>
      <c r="H118" t="e">
        <f t="shared" si="8"/>
        <v>#VALUE!</v>
      </c>
      <c r="I118">
        <f t="shared" si="9"/>
        <v>7.6471610553279659</v>
      </c>
    </row>
    <row r="119" spans="1:9" x14ac:dyDescent="0.25">
      <c r="A119">
        <v>1000</v>
      </c>
      <c r="B119">
        <v>2094.4760740000002</v>
      </c>
      <c r="C119">
        <v>-15.952700999999999</v>
      </c>
      <c r="D119" t="s">
        <v>242</v>
      </c>
      <c r="E119">
        <f t="shared" si="5"/>
        <v>616.47607400000015</v>
      </c>
      <c r="F119" t="e">
        <f t="shared" si="7"/>
        <v>#VALUE!</v>
      </c>
      <c r="G119">
        <v>1170</v>
      </c>
      <c r="H119" t="e">
        <f t="shared" si="8"/>
        <v>#VALUE!</v>
      </c>
      <c r="I119">
        <f t="shared" si="9"/>
        <v>7.6470587170704709</v>
      </c>
    </row>
    <row r="120" spans="1:9" x14ac:dyDescent="0.25">
      <c r="A120">
        <v>1000</v>
      </c>
      <c r="B120">
        <v>2093.9726559999999</v>
      </c>
      <c r="C120">
        <v>-15.927198000000001</v>
      </c>
      <c r="D120" t="s">
        <v>243</v>
      </c>
      <c r="E120">
        <f t="shared" si="5"/>
        <v>615.97265599999992</v>
      </c>
      <c r="F120" t="e">
        <f t="shared" si="7"/>
        <v>#VALUE!</v>
      </c>
      <c r="G120">
        <v>1180</v>
      </c>
      <c r="H120" t="e">
        <f t="shared" si="8"/>
        <v>#VALUE!</v>
      </c>
      <c r="I120">
        <f t="shared" si="9"/>
        <v>7.6468183330835222</v>
      </c>
    </row>
    <row r="121" spans="1:9" x14ac:dyDescent="0.25">
      <c r="A121">
        <v>1000</v>
      </c>
      <c r="B121">
        <v>2093.838135</v>
      </c>
      <c r="C121">
        <v>-15.893634</v>
      </c>
      <c r="D121" t="s">
        <v>244</v>
      </c>
      <c r="E121">
        <f t="shared" ref="E121:E184" si="10">B121-$P$3</f>
        <v>615.83813499999997</v>
      </c>
      <c r="F121" t="e">
        <f t="shared" si="7"/>
        <v>#VALUE!</v>
      </c>
      <c r="G121">
        <v>1190</v>
      </c>
      <c r="H121" t="e">
        <f t="shared" si="8"/>
        <v>#VALUE!</v>
      </c>
      <c r="I121">
        <f t="shared" ref="I121:I152" si="11">LN(B121)</f>
        <v>7.6467540890157935</v>
      </c>
    </row>
    <row r="122" spans="1:9" x14ac:dyDescent="0.25">
      <c r="A122">
        <v>1000</v>
      </c>
      <c r="B122">
        <v>2090.3557129999999</v>
      </c>
      <c r="C122">
        <v>-15.749039</v>
      </c>
      <c r="D122" t="s">
        <v>245</v>
      </c>
      <c r="E122">
        <f t="shared" si="10"/>
        <v>612.35571299999992</v>
      </c>
      <c r="F122" t="e">
        <f t="shared" si="7"/>
        <v>#VALUE!</v>
      </c>
      <c r="G122">
        <v>1200</v>
      </c>
      <c r="H122" t="e">
        <f t="shared" si="8"/>
        <v>#VALUE!</v>
      </c>
      <c r="I122">
        <f t="shared" si="11"/>
        <v>7.6450895280845428</v>
      </c>
    </row>
    <row r="123" spans="1:9" x14ac:dyDescent="0.25">
      <c r="A123">
        <v>1000</v>
      </c>
      <c r="B123">
        <v>2090.4011230000001</v>
      </c>
      <c r="C123">
        <v>-15.709</v>
      </c>
      <c r="D123" t="s">
        <v>246</v>
      </c>
      <c r="E123">
        <f t="shared" si="10"/>
        <v>612.4011230000001</v>
      </c>
      <c r="F123" t="e">
        <f t="shared" si="7"/>
        <v>#VALUE!</v>
      </c>
      <c r="G123">
        <v>1210</v>
      </c>
      <c r="H123" t="e">
        <f t="shared" si="8"/>
        <v>#VALUE!</v>
      </c>
      <c r="I123">
        <f t="shared" si="11"/>
        <v>7.6451112514240158</v>
      </c>
    </row>
    <row r="124" spans="1:9" x14ac:dyDescent="0.25">
      <c r="A124">
        <v>1000</v>
      </c>
      <c r="B124">
        <v>2088.8134770000001</v>
      </c>
      <c r="C124">
        <v>-15.64115</v>
      </c>
      <c r="D124" t="s">
        <v>247</v>
      </c>
      <c r="E124">
        <f t="shared" si="10"/>
        <v>610.81347700000015</v>
      </c>
      <c r="F124" t="e">
        <f t="shared" si="7"/>
        <v>#VALUE!</v>
      </c>
      <c r="G124">
        <v>1220</v>
      </c>
      <c r="H124" t="e">
        <f t="shared" si="8"/>
        <v>#VALUE!</v>
      </c>
      <c r="I124">
        <f t="shared" si="11"/>
        <v>7.6443514693939782</v>
      </c>
    </row>
    <row r="125" spans="1:9" x14ac:dyDescent="0.25">
      <c r="A125">
        <v>1000</v>
      </c>
      <c r="B125">
        <v>2087.6232909999999</v>
      </c>
      <c r="C125">
        <v>-15.589145</v>
      </c>
      <c r="D125" t="s">
        <v>248</v>
      </c>
      <c r="E125">
        <f t="shared" si="10"/>
        <v>609.62329099999988</v>
      </c>
      <c r="F125" t="e">
        <f t="shared" si="7"/>
        <v>#VALUE!</v>
      </c>
      <c r="G125">
        <v>1230</v>
      </c>
      <c r="H125" t="e">
        <f t="shared" si="8"/>
        <v>#VALUE!</v>
      </c>
      <c r="I125">
        <f t="shared" si="11"/>
        <v>7.6437815165378318</v>
      </c>
    </row>
    <row r="126" spans="1:9" x14ac:dyDescent="0.25">
      <c r="A126">
        <v>1000</v>
      </c>
      <c r="B126">
        <v>2089.4421390000002</v>
      </c>
      <c r="C126">
        <v>-15.673811000000001</v>
      </c>
      <c r="D126" t="s">
        <v>249</v>
      </c>
      <c r="E126">
        <f t="shared" si="10"/>
        <v>611.44213900000022</v>
      </c>
      <c r="F126" t="e">
        <f t="shared" si="7"/>
        <v>#VALUE!</v>
      </c>
      <c r="G126">
        <v>1240</v>
      </c>
      <c r="H126" t="e">
        <f t="shared" si="8"/>
        <v>#VALUE!</v>
      </c>
      <c r="I126">
        <f t="shared" si="11"/>
        <v>7.6446523901908474</v>
      </c>
    </row>
    <row r="127" spans="1:9" x14ac:dyDescent="0.25">
      <c r="A127">
        <v>1000</v>
      </c>
      <c r="B127">
        <v>2090.6704100000002</v>
      </c>
      <c r="C127">
        <v>-15.729805000000001</v>
      </c>
      <c r="D127" t="s">
        <v>250</v>
      </c>
      <c r="E127">
        <f t="shared" si="10"/>
        <v>612.67041000000017</v>
      </c>
      <c r="F127" t="e">
        <f t="shared" si="7"/>
        <v>#VALUE!</v>
      </c>
      <c r="G127">
        <v>1250</v>
      </c>
      <c r="H127" t="e">
        <f t="shared" si="8"/>
        <v>#VALUE!</v>
      </c>
      <c r="I127">
        <f t="shared" si="11"/>
        <v>7.6452400638579805</v>
      </c>
    </row>
    <row r="128" spans="1:9" x14ac:dyDescent="0.25">
      <c r="A128">
        <v>1000</v>
      </c>
      <c r="B128">
        <v>2091.373047</v>
      </c>
      <c r="C128">
        <v>-15.754625000000001</v>
      </c>
      <c r="D128" t="s">
        <v>251</v>
      </c>
      <c r="E128">
        <f t="shared" si="10"/>
        <v>613.37304700000004</v>
      </c>
      <c r="F128" t="e">
        <f t="shared" si="7"/>
        <v>#VALUE!</v>
      </c>
      <c r="G128">
        <v>1260</v>
      </c>
      <c r="H128" t="e">
        <f t="shared" si="8"/>
        <v>#VALUE!</v>
      </c>
      <c r="I128">
        <f t="shared" si="11"/>
        <v>7.6455760895419962</v>
      </c>
    </row>
    <row r="129" spans="1:9" x14ac:dyDescent="0.25">
      <c r="A129">
        <v>1000</v>
      </c>
      <c r="B129">
        <v>2091.029297</v>
      </c>
      <c r="C129">
        <v>-15.765677</v>
      </c>
      <c r="D129" t="s">
        <v>252</v>
      </c>
      <c r="E129">
        <f t="shared" si="10"/>
        <v>613.02929700000004</v>
      </c>
      <c r="F129" t="e">
        <f t="shared" si="7"/>
        <v>#VALUE!</v>
      </c>
      <c r="G129">
        <v>1270</v>
      </c>
      <c r="H129" t="e">
        <f t="shared" si="8"/>
        <v>#VALUE!</v>
      </c>
      <c r="I129">
        <f t="shared" si="11"/>
        <v>7.6454117103300021</v>
      </c>
    </row>
    <row r="130" spans="1:9" x14ac:dyDescent="0.25">
      <c r="A130">
        <v>1000</v>
      </c>
      <c r="B130">
        <v>2094.3901369999999</v>
      </c>
      <c r="C130">
        <v>-15.848405</v>
      </c>
      <c r="D130" t="s">
        <v>253</v>
      </c>
      <c r="E130">
        <f t="shared" si="10"/>
        <v>616.39013699999987</v>
      </c>
      <c r="F130" t="e">
        <f t="shared" si="7"/>
        <v>#VALUE!</v>
      </c>
      <c r="G130">
        <v>1280</v>
      </c>
      <c r="H130" t="e">
        <f t="shared" si="8"/>
        <v>#VALUE!</v>
      </c>
      <c r="I130">
        <f t="shared" si="11"/>
        <v>7.6470176859199483</v>
      </c>
    </row>
    <row r="131" spans="1:9" x14ac:dyDescent="0.25">
      <c r="A131">
        <v>1000</v>
      </c>
      <c r="B131">
        <v>2093.3488769999999</v>
      </c>
      <c r="C131">
        <v>-15.835618999999999</v>
      </c>
      <c r="D131" t="s">
        <v>254</v>
      </c>
      <c r="E131">
        <f t="shared" si="10"/>
        <v>615.3488769999999</v>
      </c>
      <c r="F131" t="e">
        <f t="shared" ref="F131:F187" si="12">E131-$R$3</f>
        <v>#VALUE!</v>
      </c>
      <c r="G131">
        <v>1290</v>
      </c>
      <c r="H131" t="e">
        <f t="shared" ref="H131:H187" si="13">LN(F131)</f>
        <v>#VALUE!</v>
      </c>
      <c r="I131">
        <f t="shared" si="11"/>
        <v>7.6465203960850383</v>
      </c>
    </row>
    <row r="132" spans="1:9" x14ac:dyDescent="0.25">
      <c r="A132">
        <v>1000</v>
      </c>
      <c r="B132">
        <v>2094.4514159999999</v>
      </c>
      <c r="C132">
        <v>-15.873552999999999</v>
      </c>
      <c r="D132" t="s">
        <v>255</v>
      </c>
      <c r="E132">
        <f t="shared" si="10"/>
        <v>616.45141599999988</v>
      </c>
      <c r="F132" t="e">
        <f t="shared" si="12"/>
        <v>#VALUE!</v>
      </c>
      <c r="G132">
        <v>1300</v>
      </c>
      <c r="H132" t="e">
        <f t="shared" si="13"/>
        <v>#VALUE!</v>
      </c>
      <c r="I132">
        <f t="shared" si="11"/>
        <v>7.6470469441285625</v>
      </c>
    </row>
    <row r="133" spans="1:9" x14ac:dyDescent="0.25">
      <c r="A133">
        <v>1000</v>
      </c>
      <c r="B133">
        <v>2096.9682619999999</v>
      </c>
      <c r="C133">
        <v>-15.959026</v>
      </c>
      <c r="D133" t="s">
        <v>256</v>
      </c>
      <c r="E133">
        <f t="shared" si="10"/>
        <v>618.96826199999987</v>
      </c>
      <c r="F133" t="e">
        <f t="shared" si="12"/>
        <v>#VALUE!</v>
      </c>
      <c r="G133">
        <v>1310</v>
      </c>
      <c r="H133" t="e">
        <f t="shared" si="13"/>
        <v>#VALUE!</v>
      </c>
      <c r="I133">
        <f t="shared" si="11"/>
        <v>7.6482478958326885</v>
      </c>
    </row>
    <row r="134" spans="1:9" x14ac:dyDescent="0.25">
      <c r="A134">
        <v>1000</v>
      </c>
      <c r="B134">
        <v>2098.3347170000002</v>
      </c>
      <c r="C134">
        <v>-16.007370000000002</v>
      </c>
      <c r="D134" t="s">
        <v>257</v>
      </c>
      <c r="E134">
        <f t="shared" si="10"/>
        <v>620.33471700000018</v>
      </c>
      <c r="F134" t="e">
        <f t="shared" si="12"/>
        <v>#VALUE!</v>
      </c>
      <c r="G134">
        <v>1320</v>
      </c>
      <c r="H134" t="e">
        <f t="shared" si="13"/>
        <v>#VALUE!</v>
      </c>
      <c r="I134">
        <f t="shared" si="11"/>
        <v>7.6488993172223525</v>
      </c>
    </row>
    <row r="135" spans="1:9" x14ac:dyDescent="0.25">
      <c r="A135">
        <v>1000</v>
      </c>
      <c r="B135">
        <v>2097.3901369999999</v>
      </c>
      <c r="C135">
        <v>-15.981361</v>
      </c>
      <c r="D135" t="s">
        <v>258</v>
      </c>
      <c r="E135">
        <f t="shared" si="10"/>
        <v>619.39013699999987</v>
      </c>
      <c r="F135" t="e">
        <f t="shared" si="12"/>
        <v>#VALUE!</v>
      </c>
      <c r="G135">
        <v>1330</v>
      </c>
      <c r="H135" t="e">
        <f t="shared" si="13"/>
        <v>#VALUE!</v>
      </c>
      <c r="I135">
        <f t="shared" si="11"/>
        <v>7.6484490589004519</v>
      </c>
    </row>
    <row r="136" spans="1:9" x14ac:dyDescent="0.25">
      <c r="A136">
        <v>1000</v>
      </c>
      <c r="B136">
        <v>2098.0478520000001</v>
      </c>
      <c r="C136">
        <v>-16.004911</v>
      </c>
      <c r="D136" t="s">
        <v>259</v>
      </c>
      <c r="E136">
        <f t="shared" si="10"/>
        <v>620.04785200000015</v>
      </c>
      <c r="F136" t="e">
        <f t="shared" si="12"/>
        <v>#VALUE!</v>
      </c>
      <c r="G136">
        <v>1340</v>
      </c>
      <c r="H136" t="e">
        <f t="shared" si="13"/>
        <v>#VALUE!</v>
      </c>
      <c r="I136">
        <f t="shared" si="11"/>
        <v>7.648762597085077</v>
      </c>
    </row>
    <row r="137" spans="1:9" x14ac:dyDescent="0.25">
      <c r="A137">
        <v>1000</v>
      </c>
      <c r="B137">
        <v>2099.5427249999998</v>
      </c>
      <c r="C137">
        <v>-16.018502999999999</v>
      </c>
      <c r="D137" t="s">
        <v>260</v>
      </c>
      <c r="E137">
        <f t="shared" si="10"/>
        <v>621.54272499999979</v>
      </c>
      <c r="F137" t="e">
        <f t="shared" si="12"/>
        <v>#VALUE!</v>
      </c>
      <c r="G137">
        <v>1350</v>
      </c>
      <c r="H137" t="e">
        <f t="shared" si="13"/>
        <v>#VALUE!</v>
      </c>
      <c r="I137">
        <f t="shared" si="11"/>
        <v>7.6494748500005407</v>
      </c>
    </row>
    <row r="138" spans="1:9" x14ac:dyDescent="0.25">
      <c r="A138">
        <v>1000</v>
      </c>
      <c r="B138">
        <v>2097.5942380000001</v>
      </c>
      <c r="C138">
        <v>-15.953426</v>
      </c>
      <c r="D138" t="s">
        <v>261</v>
      </c>
      <c r="E138">
        <f t="shared" si="10"/>
        <v>619.59423800000013</v>
      </c>
      <c r="F138" t="e">
        <f t="shared" si="12"/>
        <v>#VALUE!</v>
      </c>
      <c r="G138">
        <v>1360</v>
      </c>
      <c r="H138" t="e">
        <f t="shared" si="13"/>
        <v>#VALUE!</v>
      </c>
      <c r="I138">
        <f t="shared" si="11"/>
        <v>7.6485463660567685</v>
      </c>
    </row>
    <row r="139" spans="1:9" x14ac:dyDescent="0.25">
      <c r="A139">
        <v>1000</v>
      </c>
      <c r="B139">
        <v>2097.7651369999999</v>
      </c>
      <c r="C139">
        <v>-15.958097</v>
      </c>
      <c r="D139" t="s">
        <v>262</v>
      </c>
      <c r="E139">
        <f t="shared" si="10"/>
        <v>619.76513699999987</v>
      </c>
      <c r="F139" t="e">
        <f t="shared" si="12"/>
        <v>#VALUE!</v>
      </c>
      <c r="G139">
        <v>1370</v>
      </c>
      <c r="H139" t="e">
        <f t="shared" si="13"/>
        <v>#VALUE!</v>
      </c>
      <c r="I139">
        <f t="shared" si="11"/>
        <v>7.6486278365506255</v>
      </c>
    </row>
    <row r="140" spans="1:9" x14ac:dyDescent="0.25">
      <c r="A140">
        <v>1000</v>
      </c>
      <c r="B140">
        <v>2095.8862300000001</v>
      </c>
      <c r="C140">
        <v>-15.846821</v>
      </c>
      <c r="D140" t="s">
        <v>263</v>
      </c>
      <c r="E140">
        <f t="shared" si="10"/>
        <v>617.88623000000007</v>
      </c>
      <c r="F140" t="e">
        <f t="shared" si="12"/>
        <v>#VALUE!</v>
      </c>
      <c r="G140">
        <v>1380</v>
      </c>
      <c r="H140" t="e">
        <f t="shared" si="13"/>
        <v>#VALUE!</v>
      </c>
      <c r="I140">
        <f t="shared" si="11"/>
        <v>7.6477317643875908</v>
      </c>
    </row>
    <row r="141" spans="1:9" x14ac:dyDescent="0.25">
      <c r="A141">
        <v>1000</v>
      </c>
      <c r="B141">
        <v>2089.8547359999998</v>
      </c>
      <c r="C141">
        <v>-15.56043</v>
      </c>
      <c r="D141" t="s">
        <v>264</v>
      </c>
      <c r="E141">
        <f t="shared" si="10"/>
        <v>611.85473599999978</v>
      </c>
      <c r="F141" t="e">
        <f t="shared" si="12"/>
        <v>#VALUE!</v>
      </c>
      <c r="G141">
        <v>1390</v>
      </c>
      <c r="H141" t="e">
        <f t="shared" si="13"/>
        <v>#VALUE!</v>
      </c>
      <c r="I141">
        <f t="shared" si="11"/>
        <v>7.6448498382371</v>
      </c>
    </row>
    <row r="142" spans="1:9" x14ac:dyDescent="0.25">
      <c r="A142">
        <v>1000</v>
      </c>
      <c r="B142">
        <v>2089.3464359999998</v>
      </c>
      <c r="C142">
        <v>-15.523944</v>
      </c>
      <c r="D142" t="s">
        <v>265</v>
      </c>
      <c r="E142">
        <f t="shared" si="10"/>
        <v>611.34643599999981</v>
      </c>
      <c r="F142" t="e">
        <f t="shared" si="12"/>
        <v>#VALUE!</v>
      </c>
      <c r="G142">
        <v>1400</v>
      </c>
      <c r="H142" t="e">
        <f t="shared" si="13"/>
        <v>#VALUE!</v>
      </c>
      <c r="I142">
        <f t="shared" si="11"/>
        <v>7.6446065860070274</v>
      </c>
    </row>
    <row r="143" spans="1:9" x14ac:dyDescent="0.25">
      <c r="A143">
        <v>1000</v>
      </c>
      <c r="B143">
        <v>2089.5864259999998</v>
      </c>
      <c r="C143">
        <v>-15.578435000000001</v>
      </c>
      <c r="D143" t="s">
        <v>266</v>
      </c>
      <c r="E143">
        <f t="shared" si="10"/>
        <v>611.58642599999985</v>
      </c>
      <c r="F143" t="e">
        <f t="shared" si="12"/>
        <v>#VALUE!</v>
      </c>
      <c r="G143">
        <v>1410</v>
      </c>
      <c r="H143" t="e">
        <f t="shared" si="13"/>
        <v>#VALUE!</v>
      </c>
      <c r="I143">
        <f t="shared" si="11"/>
        <v>7.6447214430809209</v>
      </c>
    </row>
    <row r="144" spans="1:9" x14ac:dyDescent="0.25">
      <c r="A144">
        <v>1000</v>
      </c>
      <c r="B144">
        <v>2091.3015140000002</v>
      </c>
      <c r="C144">
        <v>-15.622448</v>
      </c>
      <c r="D144" t="s">
        <v>267</v>
      </c>
      <c r="E144">
        <f t="shared" si="10"/>
        <v>613.30151400000022</v>
      </c>
      <c r="F144" t="e">
        <f t="shared" si="12"/>
        <v>#VALUE!</v>
      </c>
      <c r="G144">
        <v>1420</v>
      </c>
      <c r="H144" t="e">
        <f t="shared" si="13"/>
        <v>#VALUE!</v>
      </c>
      <c r="I144">
        <f t="shared" si="11"/>
        <v>7.6455418851118102</v>
      </c>
    </row>
    <row r="145" spans="1:9" x14ac:dyDescent="0.25">
      <c r="A145">
        <v>1000</v>
      </c>
      <c r="B145">
        <v>2091.875</v>
      </c>
      <c r="C145">
        <v>-15.654904</v>
      </c>
      <c r="D145" t="s">
        <v>268</v>
      </c>
      <c r="E145">
        <f t="shared" si="10"/>
        <v>613.875</v>
      </c>
      <c r="F145" t="e">
        <f t="shared" si="12"/>
        <v>#VALUE!</v>
      </c>
      <c r="G145">
        <v>1430</v>
      </c>
      <c r="H145" t="e">
        <f t="shared" si="13"/>
        <v>#VALUE!</v>
      </c>
      <c r="I145">
        <f t="shared" si="11"/>
        <v>7.6458160719655908</v>
      </c>
    </row>
    <row r="146" spans="1:9" x14ac:dyDescent="0.25">
      <c r="A146">
        <v>1000</v>
      </c>
      <c r="B146">
        <v>2091.4243160000001</v>
      </c>
      <c r="C146">
        <v>-15.617065999999999</v>
      </c>
      <c r="D146" t="s">
        <v>269</v>
      </c>
      <c r="E146">
        <f t="shared" si="10"/>
        <v>613.42431600000009</v>
      </c>
      <c r="F146" t="e">
        <f t="shared" si="12"/>
        <v>#VALUE!</v>
      </c>
      <c r="G146">
        <v>1440</v>
      </c>
      <c r="H146" t="e">
        <f t="shared" si="13"/>
        <v>#VALUE!</v>
      </c>
      <c r="I146">
        <f t="shared" si="11"/>
        <v>7.6456006037584654</v>
      </c>
    </row>
    <row r="147" spans="1:9" x14ac:dyDescent="0.25">
      <c r="A147">
        <v>1000</v>
      </c>
      <c r="B147">
        <v>2091.0866700000001</v>
      </c>
      <c r="C147">
        <v>-15.587859999999999</v>
      </c>
      <c r="D147" t="s">
        <v>270</v>
      </c>
      <c r="E147">
        <f t="shared" si="10"/>
        <v>613.08667000000014</v>
      </c>
      <c r="F147" t="e">
        <f t="shared" si="12"/>
        <v>#VALUE!</v>
      </c>
      <c r="G147">
        <v>1450</v>
      </c>
      <c r="H147" t="e">
        <f t="shared" si="13"/>
        <v>#VALUE!</v>
      </c>
      <c r="I147">
        <f t="shared" si="11"/>
        <v>7.6454391476370764</v>
      </c>
    </row>
    <row r="148" spans="1:9" x14ac:dyDescent="0.25">
      <c r="A148">
        <v>1000</v>
      </c>
      <c r="B148">
        <v>2089.0048830000001</v>
      </c>
      <c r="C148">
        <v>-15.483509</v>
      </c>
      <c r="D148" t="s">
        <v>271</v>
      </c>
      <c r="E148">
        <f t="shared" si="10"/>
        <v>611.00488300000006</v>
      </c>
      <c r="F148" t="e">
        <f t="shared" si="12"/>
        <v>#VALUE!</v>
      </c>
      <c r="G148">
        <v>1460</v>
      </c>
      <c r="H148" t="e">
        <f t="shared" si="13"/>
        <v>#VALUE!</v>
      </c>
      <c r="I148">
        <f t="shared" si="11"/>
        <v>7.6444430990358825</v>
      </c>
    </row>
    <row r="149" spans="1:9" x14ac:dyDescent="0.25">
      <c r="A149">
        <v>1000</v>
      </c>
      <c r="B149">
        <v>2089.7148440000001</v>
      </c>
      <c r="C149">
        <v>-15.504545999999999</v>
      </c>
      <c r="D149" t="s">
        <v>272</v>
      </c>
      <c r="E149">
        <f t="shared" si="10"/>
        <v>611.71484400000008</v>
      </c>
      <c r="F149" t="e">
        <f t="shared" si="12"/>
        <v>#VALUE!</v>
      </c>
      <c r="G149">
        <v>1470</v>
      </c>
      <c r="H149" t="e">
        <f t="shared" si="13"/>
        <v>#VALUE!</v>
      </c>
      <c r="I149">
        <f t="shared" si="11"/>
        <v>7.6447828973727967</v>
      </c>
    </row>
    <row r="150" spans="1:9" x14ac:dyDescent="0.25">
      <c r="A150">
        <v>1000</v>
      </c>
      <c r="B150">
        <v>2089.6518550000001</v>
      </c>
      <c r="C150">
        <v>-15.468195</v>
      </c>
      <c r="D150" t="s">
        <v>273</v>
      </c>
      <c r="E150">
        <f t="shared" si="10"/>
        <v>611.65185500000007</v>
      </c>
      <c r="F150" t="e">
        <f t="shared" si="12"/>
        <v>#VALUE!</v>
      </c>
      <c r="G150">
        <v>1480</v>
      </c>
      <c r="H150" t="e">
        <f t="shared" si="13"/>
        <v>#VALUE!</v>
      </c>
      <c r="I150">
        <f t="shared" si="11"/>
        <v>7.644752754528418</v>
      </c>
    </row>
    <row r="151" spans="1:9" x14ac:dyDescent="0.25">
      <c r="A151">
        <v>1000</v>
      </c>
      <c r="B151">
        <v>2088.2377929999998</v>
      </c>
      <c r="C151">
        <v>-15.423512000000001</v>
      </c>
      <c r="D151" t="s">
        <v>274</v>
      </c>
      <c r="E151">
        <f t="shared" si="10"/>
        <v>610.23779299999978</v>
      </c>
      <c r="F151" t="e">
        <f t="shared" si="12"/>
        <v>#VALUE!</v>
      </c>
      <c r="G151">
        <v>1490</v>
      </c>
      <c r="H151" t="e">
        <f t="shared" si="13"/>
        <v>#VALUE!</v>
      </c>
      <c r="I151">
        <f t="shared" si="11"/>
        <v>7.6440758280544623</v>
      </c>
    </row>
    <row r="152" spans="1:9" x14ac:dyDescent="0.25">
      <c r="A152">
        <v>1000</v>
      </c>
      <c r="B152">
        <v>2088.7153320000002</v>
      </c>
      <c r="C152">
        <v>-15.45448</v>
      </c>
      <c r="D152" t="s">
        <v>275</v>
      </c>
      <c r="E152">
        <f t="shared" si="10"/>
        <v>610.71533200000022</v>
      </c>
      <c r="F152" t="e">
        <f t="shared" si="12"/>
        <v>#VALUE!</v>
      </c>
      <c r="G152">
        <v>1500</v>
      </c>
      <c r="H152" t="e">
        <f t="shared" si="13"/>
        <v>#VALUE!</v>
      </c>
      <c r="I152">
        <f t="shared" si="11"/>
        <v>7.644304482285329</v>
      </c>
    </row>
    <row r="153" spans="1:9" x14ac:dyDescent="0.25">
      <c r="A153">
        <v>1000</v>
      </c>
      <c r="B153">
        <v>2089.2382809999999</v>
      </c>
      <c r="C153">
        <v>-15.446517</v>
      </c>
      <c r="D153" t="s">
        <v>276</v>
      </c>
      <c r="E153">
        <f t="shared" si="10"/>
        <v>611.23828099999992</v>
      </c>
      <c r="F153" t="e">
        <f t="shared" si="12"/>
        <v>#VALUE!</v>
      </c>
      <c r="G153">
        <v>1510</v>
      </c>
      <c r="H153" t="e">
        <f t="shared" si="13"/>
        <v>#VALUE!</v>
      </c>
      <c r="I153">
        <f t="shared" ref="I153:I187" si="14">LN(B153)</f>
        <v>7.6445548196759132</v>
      </c>
    </row>
    <row r="154" spans="1:9" x14ac:dyDescent="0.25">
      <c r="A154">
        <v>1000</v>
      </c>
      <c r="B154">
        <v>2093.0141600000002</v>
      </c>
      <c r="C154">
        <v>-15.573544</v>
      </c>
      <c r="D154" t="s">
        <v>277</v>
      </c>
      <c r="E154">
        <f t="shared" si="10"/>
        <v>615.01416000000017</v>
      </c>
      <c r="F154" t="e">
        <f t="shared" si="12"/>
        <v>#VALUE!</v>
      </c>
      <c r="G154">
        <v>1520</v>
      </c>
      <c r="H154" t="e">
        <f t="shared" si="13"/>
        <v>#VALUE!</v>
      </c>
      <c r="I154">
        <f t="shared" si="14"/>
        <v>7.6463604878316191</v>
      </c>
    </row>
    <row r="155" spans="1:9" x14ac:dyDescent="0.25">
      <c r="A155">
        <v>1000</v>
      </c>
      <c r="B155">
        <v>2088.814453</v>
      </c>
      <c r="C155">
        <v>-15.388870000000001</v>
      </c>
      <c r="D155" t="s">
        <v>278</v>
      </c>
      <c r="E155">
        <f t="shared" si="10"/>
        <v>610.81445299999996</v>
      </c>
      <c r="F155" t="e">
        <f t="shared" si="12"/>
        <v>#VALUE!</v>
      </c>
      <c r="G155">
        <v>1530</v>
      </c>
      <c r="H155" t="e">
        <f t="shared" si="13"/>
        <v>#VALUE!</v>
      </c>
      <c r="I155">
        <f t="shared" si="14"/>
        <v>7.6443519366447799</v>
      </c>
    </row>
    <row r="156" spans="1:9" x14ac:dyDescent="0.25">
      <c r="A156">
        <v>1000</v>
      </c>
      <c r="B156">
        <v>2083.8276369999999</v>
      </c>
      <c r="C156">
        <v>-15.121809000000001</v>
      </c>
      <c r="D156" t="s">
        <v>279</v>
      </c>
      <c r="E156">
        <f t="shared" si="10"/>
        <v>605.82763699999987</v>
      </c>
      <c r="F156" t="e">
        <f t="shared" si="12"/>
        <v>#VALUE!</v>
      </c>
      <c r="G156">
        <v>1540</v>
      </c>
      <c r="H156" t="e">
        <f t="shared" si="13"/>
        <v>#VALUE!</v>
      </c>
      <c r="I156">
        <f t="shared" si="14"/>
        <v>7.6419616916792688</v>
      </c>
    </row>
    <row r="157" spans="1:9" x14ac:dyDescent="0.25">
      <c r="A157">
        <v>1000</v>
      </c>
      <c r="B157">
        <v>2082.5515140000002</v>
      </c>
      <c r="C157">
        <v>-15.070802</v>
      </c>
      <c r="D157" t="s">
        <v>280</v>
      </c>
      <c r="E157">
        <f t="shared" si="10"/>
        <v>604.55151400000022</v>
      </c>
      <c r="F157" t="e">
        <f t="shared" si="12"/>
        <v>#VALUE!</v>
      </c>
      <c r="G157">
        <v>1550</v>
      </c>
      <c r="H157" t="e">
        <f t="shared" si="13"/>
        <v>#VALUE!</v>
      </c>
      <c r="I157">
        <f t="shared" si="14"/>
        <v>7.6413491103496991</v>
      </c>
    </row>
    <row r="158" spans="1:9" x14ac:dyDescent="0.25">
      <c r="A158">
        <v>1000</v>
      </c>
      <c r="B158">
        <v>2083.1704100000002</v>
      </c>
      <c r="C158">
        <v>-15.101018</v>
      </c>
      <c r="D158" t="s">
        <v>281</v>
      </c>
      <c r="E158">
        <f t="shared" si="10"/>
        <v>605.17041000000017</v>
      </c>
      <c r="F158" t="e">
        <f t="shared" si="12"/>
        <v>#VALUE!</v>
      </c>
      <c r="G158">
        <v>1560</v>
      </c>
      <c r="H158" t="e">
        <f t="shared" si="13"/>
        <v>#VALUE!</v>
      </c>
      <c r="I158">
        <f t="shared" si="14"/>
        <v>7.6416462478043075</v>
      </c>
    </row>
    <row r="159" spans="1:9" x14ac:dyDescent="0.25">
      <c r="A159">
        <v>1000</v>
      </c>
      <c r="B159">
        <v>2084.7460940000001</v>
      </c>
      <c r="C159">
        <v>-15.151479</v>
      </c>
      <c r="D159" t="s">
        <v>282</v>
      </c>
      <c r="E159">
        <f t="shared" si="10"/>
        <v>606.74609400000008</v>
      </c>
      <c r="F159" t="e">
        <f t="shared" si="12"/>
        <v>#VALUE!</v>
      </c>
      <c r="G159">
        <v>1570</v>
      </c>
      <c r="H159" t="e">
        <f t="shared" si="13"/>
        <v>#VALUE!</v>
      </c>
      <c r="I159">
        <f t="shared" si="14"/>
        <v>7.6424023493593918</v>
      </c>
    </row>
    <row r="160" spans="1:9" x14ac:dyDescent="0.25">
      <c r="A160">
        <v>1000</v>
      </c>
      <c r="B160">
        <v>2085.398193</v>
      </c>
      <c r="C160">
        <v>-15.173664</v>
      </c>
      <c r="D160" t="s">
        <v>283</v>
      </c>
      <c r="E160">
        <f t="shared" si="10"/>
        <v>607.39819299999999</v>
      </c>
      <c r="F160" t="e">
        <f t="shared" si="12"/>
        <v>#VALUE!</v>
      </c>
      <c r="G160">
        <v>1580</v>
      </c>
      <c r="H160" t="e">
        <f t="shared" si="13"/>
        <v>#VALUE!</v>
      </c>
      <c r="I160">
        <f t="shared" si="14"/>
        <v>7.6427150958546859</v>
      </c>
    </row>
    <row r="161" spans="1:9" x14ac:dyDescent="0.25">
      <c r="A161">
        <v>1000</v>
      </c>
      <c r="B161">
        <v>2084.9379880000001</v>
      </c>
      <c r="C161">
        <v>-15.177775</v>
      </c>
      <c r="D161" t="s">
        <v>284</v>
      </c>
      <c r="E161">
        <f t="shared" si="10"/>
        <v>606.93798800000013</v>
      </c>
      <c r="F161" t="e">
        <f t="shared" si="12"/>
        <v>#VALUE!</v>
      </c>
      <c r="G161">
        <v>1590</v>
      </c>
      <c r="H161" t="e">
        <f t="shared" si="13"/>
        <v>#VALUE!</v>
      </c>
      <c r="I161">
        <f t="shared" si="14"/>
        <v>7.6424943918241741</v>
      </c>
    </row>
    <row r="162" spans="1:9" x14ac:dyDescent="0.25">
      <c r="A162">
        <v>1000</v>
      </c>
      <c r="B162">
        <v>2084.8408199999999</v>
      </c>
      <c r="C162">
        <v>-15.151807</v>
      </c>
      <c r="D162" t="s">
        <v>285</v>
      </c>
      <c r="E162">
        <f t="shared" si="10"/>
        <v>606.84081999999989</v>
      </c>
      <c r="F162" t="e">
        <f t="shared" si="12"/>
        <v>#VALUE!</v>
      </c>
      <c r="G162">
        <v>1600</v>
      </c>
      <c r="H162" t="e">
        <f t="shared" si="13"/>
        <v>#VALUE!</v>
      </c>
      <c r="I162">
        <f t="shared" si="14"/>
        <v>7.6424477859947082</v>
      </c>
    </row>
    <row r="163" spans="1:9" x14ac:dyDescent="0.25">
      <c r="A163">
        <v>1000</v>
      </c>
      <c r="B163">
        <v>2085.0297850000002</v>
      </c>
      <c r="C163">
        <v>-15.179415000000001</v>
      </c>
      <c r="D163" t="s">
        <v>286</v>
      </c>
      <c r="E163">
        <f t="shared" si="10"/>
        <v>607.02978500000017</v>
      </c>
      <c r="F163" t="e">
        <f t="shared" si="12"/>
        <v>#VALUE!</v>
      </c>
      <c r="G163">
        <v>1610</v>
      </c>
      <c r="H163" t="e">
        <f t="shared" si="13"/>
        <v>#VALUE!</v>
      </c>
      <c r="I163">
        <f t="shared" si="14"/>
        <v>7.6425384195025696</v>
      </c>
    </row>
    <row r="164" spans="1:9" x14ac:dyDescent="0.25">
      <c r="A164">
        <v>1000</v>
      </c>
      <c r="B164">
        <v>2085.891846</v>
      </c>
      <c r="C164">
        <v>-15.198062</v>
      </c>
      <c r="D164" t="s">
        <v>287</v>
      </c>
      <c r="E164">
        <f t="shared" si="10"/>
        <v>607.89184599999999</v>
      </c>
      <c r="F164" t="e">
        <f t="shared" si="12"/>
        <v>#VALUE!</v>
      </c>
      <c r="G164">
        <v>1620</v>
      </c>
      <c r="H164" t="e">
        <f t="shared" si="13"/>
        <v>#VALUE!</v>
      </c>
      <c r="I164">
        <f t="shared" si="14"/>
        <v>7.6429517866614578</v>
      </c>
    </row>
    <row r="165" spans="1:9" x14ac:dyDescent="0.25">
      <c r="A165">
        <v>1000</v>
      </c>
      <c r="B165">
        <v>2086.9418949999999</v>
      </c>
      <c r="C165">
        <v>-15.245654</v>
      </c>
      <c r="D165" t="s">
        <v>288</v>
      </c>
      <c r="E165">
        <f t="shared" si="10"/>
        <v>608.94189499999993</v>
      </c>
      <c r="F165" t="e">
        <f t="shared" si="12"/>
        <v>#VALUE!</v>
      </c>
      <c r="G165">
        <v>1630</v>
      </c>
      <c r="H165" t="e">
        <f t="shared" si="13"/>
        <v>#VALUE!</v>
      </c>
      <c r="I165">
        <f t="shared" si="14"/>
        <v>7.6434550652904845</v>
      </c>
    </row>
    <row r="166" spans="1:9" x14ac:dyDescent="0.25">
      <c r="A166">
        <v>1000</v>
      </c>
      <c r="B166">
        <v>2088.0327149999998</v>
      </c>
      <c r="C166">
        <v>-15.28266</v>
      </c>
      <c r="D166" t="s">
        <v>289</v>
      </c>
      <c r="E166">
        <f t="shared" si="10"/>
        <v>610.03271499999983</v>
      </c>
      <c r="F166" t="e">
        <f t="shared" si="12"/>
        <v>#VALUE!</v>
      </c>
      <c r="G166">
        <v>1640</v>
      </c>
      <c r="H166" t="e">
        <f t="shared" si="13"/>
        <v>#VALUE!</v>
      </c>
      <c r="I166">
        <f t="shared" si="14"/>
        <v>7.6439776169832339</v>
      </c>
    </row>
    <row r="167" spans="1:9" x14ac:dyDescent="0.25">
      <c r="A167">
        <v>1000</v>
      </c>
      <c r="B167">
        <v>2088.0366210000002</v>
      </c>
      <c r="C167">
        <v>-15.269</v>
      </c>
      <c r="D167" t="s">
        <v>290</v>
      </c>
      <c r="E167">
        <f t="shared" si="10"/>
        <v>610.0366210000002</v>
      </c>
      <c r="F167" t="e">
        <f t="shared" si="12"/>
        <v>#VALUE!</v>
      </c>
      <c r="G167">
        <v>1650</v>
      </c>
      <c r="H167" t="e">
        <f t="shared" si="13"/>
        <v>#VALUE!</v>
      </c>
      <c r="I167">
        <f t="shared" si="14"/>
        <v>7.6439794876418299</v>
      </c>
    </row>
    <row r="168" spans="1:9" x14ac:dyDescent="0.25">
      <c r="A168">
        <v>1000</v>
      </c>
      <c r="B168">
        <v>2089.4377439999998</v>
      </c>
      <c r="C168">
        <v>-15.315089</v>
      </c>
      <c r="D168" t="s">
        <v>291</v>
      </c>
      <c r="E168">
        <f t="shared" si="10"/>
        <v>611.43774399999984</v>
      </c>
      <c r="F168" t="e">
        <f t="shared" si="12"/>
        <v>#VALUE!</v>
      </c>
      <c r="G168">
        <v>1660</v>
      </c>
      <c r="H168" t="e">
        <f t="shared" si="13"/>
        <v>#VALUE!</v>
      </c>
      <c r="I168">
        <f t="shared" si="14"/>
        <v>7.6446502867563755</v>
      </c>
    </row>
    <row r="169" spans="1:9" x14ac:dyDescent="0.25">
      <c r="A169">
        <v>1000</v>
      </c>
      <c r="B169">
        <v>2088.9780270000001</v>
      </c>
      <c r="C169">
        <v>-15.305623000000001</v>
      </c>
      <c r="D169" t="s">
        <v>292</v>
      </c>
      <c r="E169">
        <f t="shared" si="10"/>
        <v>610.97802700000011</v>
      </c>
      <c r="F169" t="e">
        <f t="shared" si="12"/>
        <v>#VALUE!</v>
      </c>
      <c r="G169">
        <v>1670</v>
      </c>
      <c r="H169" t="e">
        <f t="shared" si="13"/>
        <v>#VALUE!</v>
      </c>
      <c r="I169">
        <f t="shared" si="14"/>
        <v>7.6444302430713762</v>
      </c>
    </row>
    <row r="170" spans="1:9" x14ac:dyDescent="0.25">
      <c r="A170">
        <v>1000</v>
      </c>
      <c r="B170">
        <v>2089.9638669999999</v>
      </c>
      <c r="C170">
        <v>-15.293589000000001</v>
      </c>
      <c r="D170" t="s">
        <v>293</v>
      </c>
      <c r="E170">
        <f t="shared" si="10"/>
        <v>611.96386699999994</v>
      </c>
      <c r="F170" t="e">
        <f t="shared" si="12"/>
        <v>#VALUE!</v>
      </c>
      <c r="G170">
        <v>1680</v>
      </c>
      <c r="H170" t="e">
        <f t="shared" si="13"/>
        <v>#VALUE!</v>
      </c>
      <c r="I170">
        <f t="shared" si="14"/>
        <v>7.6449020562926622</v>
      </c>
    </row>
    <row r="171" spans="1:9" x14ac:dyDescent="0.25">
      <c r="A171">
        <v>1000</v>
      </c>
      <c r="B171">
        <v>2088.8798830000001</v>
      </c>
      <c r="C171">
        <v>-15.279655</v>
      </c>
      <c r="D171" t="s">
        <v>294</v>
      </c>
      <c r="E171">
        <f t="shared" si="10"/>
        <v>610.87988300000006</v>
      </c>
      <c r="F171" t="e">
        <f t="shared" si="12"/>
        <v>#VALUE!</v>
      </c>
      <c r="G171">
        <v>1690</v>
      </c>
      <c r="H171" t="e">
        <f t="shared" si="13"/>
        <v>#VALUE!</v>
      </c>
      <c r="I171">
        <f t="shared" si="14"/>
        <v>7.6443832601427406</v>
      </c>
    </row>
    <row r="172" spans="1:9" x14ac:dyDescent="0.25">
      <c r="A172">
        <v>1000</v>
      </c>
      <c r="B172">
        <v>2086.1704100000002</v>
      </c>
      <c r="C172">
        <v>-15.089392999999999</v>
      </c>
      <c r="D172" t="s">
        <v>295</v>
      </c>
      <c r="E172">
        <f t="shared" si="10"/>
        <v>608.17041000000017</v>
      </c>
      <c r="F172" t="e">
        <f t="shared" si="12"/>
        <v>#VALUE!</v>
      </c>
      <c r="G172">
        <v>1700</v>
      </c>
      <c r="H172" t="e">
        <f t="shared" si="13"/>
        <v>#VALUE!</v>
      </c>
      <c r="I172">
        <f t="shared" si="14"/>
        <v>7.6430853244580295</v>
      </c>
    </row>
    <row r="173" spans="1:9" x14ac:dyDescent="0.25">
      <c r="A173">
        <v>1000</v>
      </c>
      <c r="B173">
        <v>2080.570557</v>
      </c>
      <c r="C173">
        <v>-14.815844999999999</v>
      </c>
      <c r="D173" t="s">
        <v>296</v>
      </c>
      <c r="E173">
        <f t="shared" si="10"/>
        <v>602.57055700000001</v>
      </c>
      <c r="F173" t="e">
        <f t="shared" si="12"/>
        <v>#VALUE!</v>
      </c>
      <c r="G173">
        <v>1710</v>
      </c>
      <c r="H173" t="e">
        <f t="shared" si="13"/>
        <v>#VALUE!</v>
      </c>
      <c r="I173">
        <f t="shared" si="14"/>
        <v>7.6403974413302826</v>
      </c>
    </row>
    <row r="174" spans="1:9" x14ac:dyDescent="0.25">
      <c r="A174">
        <v>1000</v>
      </c>
      <c r="B174">
        <v>2080.5048830000001</v>
      </c>
      <c r="C174">
        <v>-14.807632999999999</v>
      </c>
      <c r="D174" t="s">
        <v>297</v>
      </c>
      <c r="E174">
        <f t="shared" si="10"/>
        <v>602.50488300000006</v>
      </c>
      <c r="F174" t="e">
        <f t="shared" si="12"/>
        <v>#VALUE!</v>
      </c>
      <c r="G174">
        <v>1720</v>
      </c>
      <c r="H174" t="e">
        <f t="shared" si="13"/>
        <v>#VALUE!</v>
      </c>
      <c r="I174">
        <f t="shared" si="14"/>
        <v>7.640365875452205</v>
      </c>
    </row>
    <row r="175" spans="1:9" x14ac:dyDescent="0.25">
      <c r="A175">
        <v>1000</v>
      </c>
      <c r="B175">
        <v>2080.7407229999999</v>
      </c>
      <c r="C175">
        <v>-14.808384999999999</v>
      </c>
      <c r="D175" t="s">
        <v>298</v>
      </c>
      <c r="E175">
        <f t="shared" si="10"/>
        <v>602.74072299999989</v>
      </c>
      <c r="F175" t="e">
        <f t="shared" si="12"/>
        <v>#VALUE!</v>
      </c>
      <c r="G175">
        <v>1730</v>
      </c>
      <c r="H175" t="e">
        <f t="shared" si="13"/>
        <v>#VALUE!</v>
      </c>
      <c r="I175">
        <f t="shared" si="14"/>
        <v>7.6404792261277397</v>
      </c>
    </row>
    <row r="176" spans="1:9" x14ac:dyDescent="0.25">
      <c r="A176">
        <v>1000</v>
      </c>
      <c r="B176">
        <v>2081.4448240000002</v>
      </c>
      <c r="C176">
        <v>-14.853889000000001</v>
      </c>
      <c r="D176" t="s">
        <v>299</v>
      </c>
      <c r="E176">
        <f t="shared" si="10"/>
        <v>603.44482400000015</v>
      </c>
      <c r="F176" t="e">
        <f t="shared" si="12"/>
        <v>#VALUE!</v>
      </c>
      <c r="G176">
        <v>1740</v>
      </c>
      <c r="H176" t="e">
        <f t="shared" si="13"/>
        <v>#VALUE!</v>
      </c>
      <c r="I176">
        <f t="shared" si="14"/>
        <v>7.6408175584768223</v>
      </c>
    </row>
    <row r="177" spans="1:9" x14ac:dyDescent="0.25">
      <c r="A177">
        <v>1000</v>
      </c>
      <c r="B177">
        <v>2082.2304690000001</v>
      </c>
      <c r="C177">
        <v>-14.865622999999999</v>
      </c>
      <c r="D177" t="s">
        <v>300</v>
      </c>
      <c r="E177">
        <f t="shared" si="10"/>
        <v>604.23046900000008</v>
      </c>
      <c r="F177" t="e">
        <f t="shared" si="12"/>
        <v>#VALUE!</v>
      </c>
      <c r="G177">
        <v>1750</v>
      </c>
      <c r="H177" t="e">
        <f t="shared" si="13"/>
        <v>#VALUE!</v>
      </c>
      <c r="I177">
        <f t="shared" si="14"/>
        <v>7.6411949390139862</v>
      </c>
    </row>
    <row r="178" spans="1:9" x14ac:dyDescent="0.25">
      <c r="A178">
        <v>1000</v>
      </c>
      <c r="B178">
        <v>2082.8632809999999</v>
      </c>
      <c r="C178">
        <v>-14.893312</v>
      </c>
      <c r="D178" t="s">
        <v>301</v>
      </c>
      <c r="E178">
        <f t="shared" si="10"/>
        <v>604.86328099999992</v>
      </c>
      <c r="F178" t="e">
        <f t="shared" si="12"/>
        <v>#VALUE!</v>
      </c>
      <c r="G178">
        <v>1760</v>
      </c>
      <c r="H178" t="e">
        <f t="shared" si="13"/>
        <v>#VALUE!</v>
      </c>
      <c r="I178">
        <f t="shared" si="14"/>
        <v>7.6414988034851605</v>
      </c>
    </row>
    <row r="179" spans="1:9" x14ac:dyDescent="0.25">
      <c r="A179">
        <v>1000</v>
      </c>
      <c r="B179">
        <v>2079.2697750000002</v>
      </c>
      <c r="C179">
        <v>-14.748894</v>
      </c>
      <c r="D179" t="s">
        <v>302</v>
      </c>
      <c r="E179">
        <f t="shared" si="10"/>
        <v>601.26977500000021</v>
      </c>
      <c r="F179" t="e">
        <f t="shared" si="12"/>
        <v>#VALUE!</v>
      </c>
      <c r="G179">
        <v>1770</v>
      </c>
      <c r="H179" t="e">
        <f t="shared" si="13"/>
        <v>#VALUE!</v>
      </c>
      <c r="I179">
        <f t="shared" si="14"/>
        <v>7.6397720413444272</v>
      </c>
    </row>
    <row r="180" spans="1:9" x14ac:dyDescent="0.25">
      <c r="A180">
        <v>1000</v>
      </c>
      <c r="B180">
        <v>2081.249268</v>
      </c>
      <c r="C180">
        <v>-14.805885</v>
      </c>
      <c r="D180" t="s">
        <v>303</v>
      </c>
      <c r="E180">
        <f t="shared" si="10"/>
        <v>603.24926800000003</v>
      </c>
      <c r="F180" t="e">
        <f t="shared" si="12"/>
        <v>#VALUE!</v>
      </c>
      <c r="G180">
        <v>1780</v>
      </c>
      <c r="H180" t="e">
        <f t="shared" si="13"/>
        <v>#VALUE!</v>
      </c>
      <c r="I180">
        <f t="shared" si="14"/>
        <v>7.6407236020169806</v>
      </c>
    </row>
    <row r="181" spans="1:9" x14ac:dyDescent="0.25">
      <c r="A181">
        <v>1000</v>
      </c>
      <c r="B181">
        <v>2082.1657709999999</v>
      </c>
      <c r="C181">
        <v>-14.809806</v>
      </c>
      <c r="D181" t="s">
        <v>304</v>
      </c>
      <c r="E181">
        <f t="shared" si="10"/>
        <v>604.16577099999995</v>
      </c>
      <c r="F181" t="e">
        <f t="shared" si="12"/>
        <v>#VALUE!</v>
      </c>
      <c r="G181">
        <v>1790</v>
      </c>
      <c r="H181" t="e">
        <f t="shared" si="13"/>
        <v>#VALUE!</v>
      </c>
      <c r="I181">
        <f t="shared" si="14"/>
        <v>7.6411638670427919</v>
      </c>
    </row>
    <row r="182" spans="1:9" x14ac:dyDescent="0.25">
      <c r="A182">
        <v>1000</v>
      </c>
      <c r="B182">
        <v>2081.0607909999999</v>
      </c>
      <c r="C182">
        <v>-14.790504</v>
      </c>
      <c r="D182" t="s">
        <v>305</v>
      </c>
      <c r="E182">
        <f t="shared" si="10"/>
        <v>603.06079099999988</v>
      </c>
      <c r="F182" t="e">
        <f t="shared" si="12"/>
        <v>#VALUE!</v>
      </c>
      <c r="G182">
        <v>1800</v>
      </c>
      <c r="H182" t="e">
        <f t="shared" si="13"/>
        <v>#VALUE!</v>
      </c>
      <c r="I182">
        <f t="shared" si="14"/>
        <v>7.6406330383648466</v>
      </c>
    </row>
    <row r="183" spans="1:9" x14ac:dyDescent="0.25">
      <c r="A183">
        <v>1000</v>
      </c>
      <c r="B183">
        <v>2082.2258299999999</v>
      </c>
      <c r="C183">
        <v>-14.819532000000001</v>
      </c>
      <c r="D183" t="s">
        <v>306</v>
      </c>
      <c r="E183">
        <f t="shared" si="10"/>
        <v>604.22582999999986</v>
      </c>
      <c r="F183" t="e">
        <f t="shared" si="12"/>
        <v>#VALUE!</v>
      </c>
      <c r="G183">
        <v>1810</v>
      </c>
      <c r="H183" t="e">
        <f t="shared" si="13"/>
        <v>#VALUE!</v>
      </c>
      <c r="I183">
        <f t="shared" si="14"/>
        <v>7.6411927111121098</v>
      </c>
    </row>
    <row r="184" spans="1:9" x14ac:dyDescent="0.25">
      <c r="A184">
        <v>1000</v>
      </c>
      <c r="B184">
        <v>2081.4870609999998</v>
      </c>
      <c r="C184">
        <v>-14.794328999999999</v>
      </c>
      <c r="D184" t="s">
        <v>307</v>
      </c>
      <c r="E184">
        <f t="shared" si="10"/>
        <v>603.48706099999981</v>
      </c>
      <c r="F184" t="e">
        <f t="shared" si="12"/>
        <v>#VALUE!</v>
      </c>
      <c r="G184">
        <v>1820</v>
      </c>
      <c r="H184" t="e">
        <f t="shared" si="13"/>
        <v>#VALUE!</v>
      </c>
      <c r="I184">
        <f t="shared" si="14"/>
        <v>7.6408378504254619</v>
      </c>
    </row>
    <row r="185" spans="1:9" x14ac:dyDescent="0.25">
      <c r="A185">
        <v>1000</v>
      </c>
      <c r="B185">
        <v>2081.0964359999998</v>
      </c>
      <c r="C185">
        <v>-14.769016000000001</v>
      </c>
      <c r="D185" t="s">
        <v>308</v>
      </c>
      <c r="E185">
        <f t="shared" ref="E185:E187" si="15">B185-$P$3</f>
        <v>603.09643599999981</v>
      </c>
      <c r="F185" t="e">
        <f t="shared" si="12"/>
        <v>#VALUE!</v>
      </c>
      <c r="G185">
        <v>1830</v>
      </c>
      <c r="H185" t="e">
        <f t="shared" si="13"/>
        <v>#VALUE!</v>
      </c>
      <c r="I185">
        <f t="shared" si="14"/>
        <v>7.6406501665020388</v>
      </c>
    </row>
    <row r="186" spans="1:9" x14ac:dyDescent="0.25">
      <c r="A186">
        <v>1000</v>
      </c>
      <c r="B186">
        <v>2079.2282709999999</v>
      </c>
      <c r="C186">
        <v>-14.637589</v>
      </c>
      <c r="D186" t="s">
        <v>309</v>
      </c>
      <c r="E186">
        <f t="shared" si="15"/>
        <v>601.22827099999995</v>
      </c>
      <c r="F186" t="e">
        <f t="shared" si="12"/>
        <v>#VALUE!</v>
      </c>
      <c r="G186">
        <v>1840</v>
      </c>
      <c r="H186" t="e">
        <f t="shared" si="13"/>
        <v>#VALUE!</v>
      </c>
      <c r="I186">
        <f t="shared" si="14"/>
        <v>7.6397520802914016</v>
      </c>
    </row>
    <row r="187" spans="1:9" x14ac:dyDescent="0.25">
      <c r="A187">
        <v>1000</v>
      </c>
      <c r="B187">
        <v>2076.3317870000001</v>
      </c>
      <c r="C187">
        <v>-14.508471</v>
      </c>
      <c r="D187" t="s">
        <v>310</v>
      </c>
      <c r="E187">
        <f t="shared" si="15"/>
        <v>598.33178700000008</v>
      </c>
      <c r="F187" t="e">
        <f t="shared" si="12"/>
        <v>#VALUE!</v>
      </c>
      <c r="G187">
        <v>1850</v>
      </c>
      <c r="H187" t="e">
        <f t="shared" si="13"/>
        <v>#VALUE!</v>
      </c>
      <c r="I187">
        <f t="shared" si="14"/>
        <v>7.638358051843424</v>
      </c>
    </row>
  </sheetData>
  <sortState ref="A1:K193">
    <sortCondition ref="I1:I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1"/>
  <sheetViews>
    <sheetView topLeftCell="A29" zoomScale="70" zoomScaleNormal="70" workbookViewId="0">
      <selection activeCell="S40" sqref="S40:U43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606</v>
      </c>
      <c r="G1" t="s">
        <v>602</v>
      </c>
      <c r="H1" t="s">
        <v>608</v>
      </c>
      <c r="I1" t="s">
        <v>603</v>
      </c>
    </row>
    <row r="2" spans="1:18" x14ac:dyDescent="0.25">
      <c r="A2">
        <v>1000</v>
      </c>
      <c r="B2">
        <v>2368.3127439999998</v>
      </c>
      <c r="C2">
        <v>-12.869069</v>
      </c>
      <c r="D2" t="s">
        <v>124</v>
      </c>
      <c r="E2">
        <f t="shared" ref="E2:E65" si="0">B2-$P$3</f>
        <v>884.31274399999984</v>
      </c>
      <c r="F2">
        <f>E2-$R$3</f>
        <v>432.77584399999984</v>
      </c>
      <c r="G2">
        <v>0</v>
      </c>
      <c r="H2">
        <f>LN(F2)</f>
        <v>6.0702199126659631</v>
      </c>
      <c r="I2">
        <f t="shared" ref="I2:I33" si="1">LN(B2)</f>
        <v>7.7699330582292427</v>
      </c>
      <c r="L2" s="1" t="s">
        <v>0</v>
      </c>
      <c r="M2" s="1" t="s">
        <v>1</v>
      </c>
      <c r="O2" s="2"/>
      <c r="P2" t="s">
        <v>604</v>
      </c>
      <c r="R2" t="s">
        <v>605</v>
      </c>
    </row>
    <row r="3" spans="1:18" x14ac:dyDescent="0.25">
      <c r="A3">
        <v>1000</v>
      </c>
      <c r="B3">
        <v>2283.4916990000002</v>
      </c>
      <c r="C3">
        <v>-16.458770999999999</v>
      </c>
      <c r="D3" t="s">
        <v>433</v>
      </c>
      <c r="E3">
        <f t="shared" si="0"/>
        <v>799.49169900000015</v>
      </c>
      <c r="F3">
        <f t="shared" ref="F3:F66" si="2">E3-$R$3</f>
        <v>347.95479900000015</v>
      </c>
      <c r="G3">
        <v>10</v>
      </c>
      <c r="H3">
        <f t="shared" ref="H3:H66" si="3">LN(F3)</f>
        <v>5.8520725834072724</v>
      </c>
      <c r="I3">
        <f t="shared" si="1"/>
        <v>7.7334609974093373</v>
      </c>
      <c r="K3" t="s">
        <v>2</v>
      </c>
      <c r="L3">
        <f>1/(0.00003)</f>
        <v>33333.333333333336</v>
      </c>
      <c r="M3">
        <f>1/(0.00008)</f>
        <v>12499.999999999998</v>
      </c>
      <c r="N3" s="3" t="s">
        <v>3</v>
      </c>
      <c r="O3" s="2"/>
      <c r="P3">
        <v>1484</v>
      </c>
      <c r="R3">
        <v>451.5369</v>
      </c>
    </row>
    <row r="4" spans="1:18" x14ac:dyDescent="0.25">
      <c r="A4">
        <v>1000</v>
      </c>
      <c r="B4">
        <v>2182.5805660000001</v>
      </c>
      <c r="C4">
        <v>-15.140790000000001</v>
      </c>
      <c r="D4" t="s">
        <v>434</v>
      </c>
      <c r="E4">
        <f t="shared" si="0"/>
        <v>698.58056600000009</v>
      </c>
      <c r="F4">
        <f t="shared" si="2"/>
        <v>247.04366600000009</v>
      </c>
      <c r="G4">
        <v>20</v>
      </c>
      <c r="H4">
        <f t="shared" si="3"/>
        <v>5.5095651064283766</v>
      </c>
      <c r="I4">
        <f t="shared" si="1"/>
        <v>7.6882632015799697</v>
      </c>
      <c r="L4">
        <f>L3/60</f>
        <v>555.55555555555554</v>
      </c>
      <c r="M4">
        <f>M3/60</f>
        <v>208.33333333333331</v>
      </c>
      <c r="N4" s="3" t="s">
        <v>4</v>
      </c>
    </row>
    <row r="5" spans="1:18" x14ac:dyDescent="0.25">
      <c r="A5">
        <v>1000</v>
      </c>
      <c r="B5">
        <v>2138.233643</v>
      </c>
      <c r="C5">
        <v>-14.740842000000001</v>
      </c>
      <c r="D5" t="s">
        <v>435</v>
      </c>
      <c r="E5">
        <f t="shared" si="0"/>
        <v>654.23364300000003</v>
      </c>
      <c r="F5">
        <f t="shared" si="2"/>
        <v>202.69674300000003</v>
      </c>
      <c r="G5">
        <v>30</v>
      </c>
      <c r="H5">
        <f t="shared" si="3"/>
        <v>5.311710985247954</v>
      </c>
      <c r="I5">
        <f t="shared" si="1"/>
        <v>7.6677353667180812</v>
      </c>
      <c r="L5">
        <f>L4/60</f>
        <v>9.2592592592592595</v>
      </c>
      <c r="M5">
        <f>M4/60</f>
        <v>3.4722222222222219</v>
      </c>
      <c r="N5" s="3" t="s">
        <v>5</v>
      </c>
    </row>
    <row r="6" spans="1:18" x14ac:dyDescent="0.25">
      <c r="A6">
        <v>1000</v>
      </c>
      <c r="B6">
        <v>2112.7607419999999</v>
      </c>
      <c r="C6">
        <v>-14.353009999999999</v>
      </c>
      <c r="D6" t="s">
        <v>436</v>
      </c>
      <c r="E6">
        <f t="shared" si="0"/>
        <v>628.76074199999994</v>
      </c>
      <c r="F6">
        <f t="shared" si="2"/>
        <v>177.22384199999993</v>
      </c>
      <c r="G6">
        <v>40</v>
      </c>
      <c r="H6">
        <f t="shared" si="3"/>
        <v>5.17741357765287</v>
      </c>
      <c r="I6">
        <f t="shared" si="1"/>
        <v>7.6557507797803801</v>
      </c>
    </row>
    <row r="7" spans="1:18" x14ac:dyDescent="0.25">
      <c r="A7">
        <v>1000</v>
      </c>
      <c r="B7">
        <v>2094.3759770000001</v>
      </c>
      <c r="C7">
        <v>-14.039175999999999</v>
      </c>
      <c r="D7" t="s">
        <v>437</v>
      </c>
      <c r="E7">
        <f t="shared" si="0"/>
        <v>610.37597700000015</v>
      </c>
      <c r="F7">
        <f t="shared" si="2"/>
        <v>158.83907700000015</v>
      </c>
      <c r="G7">
        <v>50</v>
      </c>
      <c r="H7">
        <f t="shared" si="3"/>
        <v>5.0678915953672963</v>
      </c>
      <c r="I7">
        <f t="shared" si="1"/>
        <v>7.6470109249790816</v>
      </c>
    </row>
    <row r="8" spans="1:18" x14ac:dyDescent="0.25">
      <c r="A8">
        <v>1000</v>
      </c>
      <c r="B8">
        <v>2079.821289</v>
      </c>
      <c r="C8">
        <v>-13.76366</v>
      </c>
      <c r="D8" t="s">
        <v>125</v>
      </c>
      <c r="E8">
        <f t="shared" si="0"/>
        <v>595.82128899999998</v>
      </c>
      <c r="F8">
        <f t="shared" si="2"/>
        <v>144.28438899999998</v>
      </c>
      <c r="G8">
        <v>60</v>
      </c>
      <c r="H8">
        <f t="shared" si="3"/>
        <v>4.9717862755892934</v>
      </c>
      <c r="I8">
        <f t="shared" si="1"/>
        <v>7.640037250254136</v>
      </c>
    </row>
    <row r="9" spans="1:18" x14ac:dyDescent="0.25">
      <c r="A9">
        <v>1000</v>
      </c>
      <c r="B9">
        <v>2066.7614749999998</v>
      </c>
      <c r="C9">
        <v>-13.510261</v>
      </c>
      <c r="D9" t="s">
        <v>438</v>
      </c>
      <c r="E9">
        <f t="shared" si="0"/>
        <v>582.76147499999979</v>
      </c>
      <c r="F9">
        <f t="shared" si="2"/>
        <v>131.22457499999979</v>
      </c>
      <c r="G9">
        <v>70</v>
      </c>
      <c r="H9">
        <f t="shared" si="3"/>
        <v>4.8769101684209817</v>
      </c>
      <c r="I9">
        <f t="shared" si="1"/>
        <v>7.6337381563128472</v>
      </c>
    </row>
    <row r="10" spans="1:18" x14ac:dyDescent="0.25">
      <c r="A10">
        <v>1000</v>
      </c>
      <c r="B10">
        <v>2056.6333009999998</v>
      </c>
      <c r="C10">
        <v>-13.315830999999999</v>
      </c>
      <c r="D10" t="s">
        <v>439</v>
      </c>
      <c r="E10">
        <f t="shared" si="0"/>
        <v>572.63330099999985</v>
      </c>
      <c r="F10">
        <f t="shared" si="2"/>
        <v>121.09640099999984</v>
      </c>
      <c r="G10">
        <v>80</v>
      </c>
      <c r="H10">
        <f t="shared" si="3"/>
        <v>4.7965869308771225</v>
      </c>
      <c r="I10">
        <f t="shared" si="1"/>
        <v>7.6288256049230654</v>
      </c>
    </row>
    <row r="11" spans="1:18" x14ac:dyDescent="0.25">
      <c r="A11">
        <v>1000</v>
      </c>
      <c r="B11">
        <v>2047.8258060000001</v>
      </c>
      <c r="C11">
        <v>-13.126607999999999</v>
      </c>
      <c r="D11" t="s">
        <v>440</v>
      </c>
      <c r="E11">
        <f t="shared" si="0"/>
        <v>563.82580600000006</v>
      </c>
      <c r="F11">
        <f t="shared" si="2"/>
        <v>112.28890600000005</v>
      </c>
      <c r="G11">
        <v>90</v>
      </c>
      <c r="H11">
        <f t="shared" si="3"/>
        <v>4.7210750679063</v>
      </c>
      <c r="I11">
        <f t="shared" si="1"/>
        <v>7.6245339268778975</v>
      </c>
    </row>
    <row r="12" spans="1:18" x14ac:dyDescent="0.25">
      <c r="A12">
        <v>1000</v>
      </c>
      <c r="B12">
        <v>2042.456543</v>
      </c>
      <c r="C12">
        <v>-13.014811999999999</v>
      </c>
      <c r="D12" t="s">
        <v>129</v>
      </c>
      <c r="E12">
        <f t="shared" si="0"/>
        <v>558.45654300000001</v>
      </c>
      <c r="F12">
        <f t="shared" si="2"/>
        <v>106.91964300000001</v>
      </c>
      <c r="G12">
        <v>100</v>
      </c>
      <c r="H12">
        <f t="shared" si="3"/>
        <v>4.6720775523201388</v>
      </c>
      <c r="I12">
        <f t="shared" si="1"/>
        <v>7.6219085501308239</v>
      </c>
    </row>
    <row r="13" spans="1:18" x14ac:dyDescent="0.25">
      <c r="A13">
        <v>1000</v>
      </c>
      <c r="B13">
        <v>2036.2486570000001</v>
      </c>
      <c r="C13">
        <v>-12.861077999999999</v>
      </c>
      <c r="D13" t="s">
        <v>441</v>
      </c>
      <c r="E13">
        <f t="shared" si="0"/>
        <v>552.24865700000009</v>
      </c>
      <c r="F13">
        <f t="shared" si="2"/>
        <v>100.71175700000009</v>
      </c>
      <c r="G13">
        <v>110</v>
      </c>
      <c r="H13">
        <f t="shared" si="3"/>
        <v>4.6122625456403314</v>
      </c>
      <c r="I13">
        <f t="shared" si="1"/>
        <v>7.6188645003703037</v>
      </c>
    </row>
    <row r="14" spans="1:18" x14ac:dyDescent="0.25">
      <c r="A14">
        <v>1000</v>
      </c>
      <c r="B14">
        <v>2029.5493160000001</v>
      </c>
      <c r="C14">
        <v>-12.713668999999999</v>
      </c>
      <c r="D14" t="s">
        <v>442</v>
      </c>
      <c r="E14">
        <f t="shared" si="0"/>
        <v>545.54931600000009</v>
      </c>
      <c r="F14">
        <f t="shared" si="2"/>
        <v>94.012416000000087</v>
      </c>
      <c r="G14">
        <v>120</v>
      </c>
      <c r="H14">
        <f t="shared" si="3"/>
        <v>4.5434268586539179</v>
      </c>
      <c r="I14">
        <f t="shared" si="1"/>
        <v>7.6155690355649002</v>
      </c>
    </row>
    <row r="15" spans="1:18" x14ac:dyDescent="0.25">
      <c r="A15">
        <v>1000</v>
      </c>
      <c r="B15">
        <v>2024.7067870000001</v>
      </c>
      <c r="C15">
        <v>-12.589072</v>
      </c>
      <c r="D15" t="s">
        <v>132</v>
      </c>
      <c r="E15">
        <f t="shared" si="0"/>
        <v>540.70678700000008</v>
      </c>
      <c r="F15">
        <f t="shared" si="2"/>
        <v>89.169887000000074</v>
      </c>
      <c r="G15">
        <v>130</v>
      </c>
      <c r="H15">
        <f t="shared" si="3"/>
        <v>4.49054339290364</v>
      </c>
      <c r="I15">
        <f t="shared" si="1"/>
        <v>7.6131801725133981</v>
      </c>
    </row>
    <row r="16" spans="1:18" x14ac:dyDescent="0.25">
      <c r="A16">
        <v>1000</v>
      </c>
      <c r="B16">
        <v>2019.8066409999999</v>
      </c>
      <c r="C16">
        <v>-12.485690999999999</v>
      </c>
      <c r="D16" t="s">
        <v>133</v>
      </c>
      <c r="E16">
        <f t="shared" si="0"/>
        <v>535.8066409999999</v>
      </c>
      <c r="F16">
        <f t="shared" si="2"/>
        <v>84.269740999999897</v>
      </c>
      <c r="G16">
        <v>140</v>
      </c>
      <c r="H16">
        <f t="shared" si="3"/>
        <v>4.4340228563251651</v>
      </c>
      <c r="I16">
        <f t="shared" si="1"/>
        <v>7.6107570635363535</v>
      </c>
    </row>
    <row r="17" spans="1:9" x14ac:dyDescent="0.25">
      <c r="A17">
        <v>1000</v>
      </c>
      <c r="B17">
        <v>2015.9655760000001</v>
      </c>
      <c r="C17">
        <v>-12.366559000000001</v>
      </c>
      <c r="D17" t="s">
        <v>443</v>
      </c>
      <c r="E17">
        <f t="shared" si="0"/>
        <v>531.96557600000006</v>
      </c>
      <c r="F17">
        <f t="shared" si="2"/>
        <v>80.428676000000053</v>
      </c>
      <c r="G17">
        <v>150</v>
      </c>
      <c r="H17">
        <f t="shared" si="3"/>
        <v>4.3873707792611523</v>
      </c>
      <c r="I17">
        <f t="shared" si="1"/>
        <v>7.6088535536486477</v>
      </c>
    </row>
    <row r="18" spans="1:9" x14ac:dyDescent="0.25">
      <c r="A18">
        <v>1000</v>
      </c>
      <c r="B18">
        <v>2011.9746090000001</v>
      </c>
      <c r="C18">
        <v>-12.260322</v>
      </c>
      <c r="D18" t="s">
        <v>135</v>
      </c>
      <c r="E18">
        <f t="shared" si="0"/>
        <v>527.9746090000001</v>
      </c>
      <c r="F18">
        <f t="shared" si="2"/>
        <v>76.437709000000098</v>
      </c>
      <c r="G18">
        <v>160</v>
      </c>
      <c r="H18">
        <f t="shared" si="3"/>
        <v>4.3364761477036708</v>
      </c>
      <c r="I18">
        <f t="shared" si="1"/>
        <v>7.606871911358688</v>
      </c>
    </row>
    <row r="19" spans="1:9" x14ac:dyDescent="0.25">
      <c r="A19">
        <v>1000</v>
      </c>
      <c r="B19">
        <v>2007.7368160000001</v>
      </c>
      <c r="C19">
        <v>-12.177047999999999</v>
      </c>
      <c r="D19" t="s">
        <v>444</v>
      </c>
      <c r="E19">
        <f t="shared" si="0"/>
        <v>523.73681600000009</v>
      </c>
      <c r="F19">
        <f t="shared" si="2"/>
        <v>72.199916000000087</v>
      </c>
      <c r="G19">
        <v>170</v>
      </c>
      <c r="H19">
        <f t="shared" si="3"/>
        <v>4.2794388824632019</v>
      </c>
      <c r="I19">
        <f t="shared" si="1"/>
        <v>7.6047634044924104</v>
      </c>
    </row>
    <row r="20" spans="1:9" x14ac:dyDescent="0.25">
      <c r="A20">
        <v>1000</v>
      </c>
      <c r="B20">
        <v>2004.9632570000001</v>
      </c>
      <c r="C20">
        <v>-12.093133</v>
      </c>
      <c r="D20" t="s">
        <v>445</v>
      </c>
      <c r="E20">
        <f t="shared" si="0"/>
        <v>520.96325700000011</v>
      </c>
      <c r="F20">
        <f t="shared" si="2"/>
        <v>69.42635700000011</v>
      </c>
      <c r="G20">
        <v>180</v>
      </c>
      <c r="H20">
        <f t="shared" si="3"/>
        <v>4.2402665792747953</v>
      </c>
      <c r="I20">
        <f t="shared" si="1"/>
        <v>7.6033810138869669</v>
      </c>
    </row>
    <row r="21" spans="1:9" x14ac:dyDescent="0.25">
      <c r="A21">
        <v>1000</v>
      </c>
      <c r="B21">
        <v>2001.911987</v>
      </c>
      <c r="C21">
        <v>-12.019734</v>
      </c>
      <c r="D21" t="s">
        <v>446</v>
      </c>
      <c r="E21">
        <f t="shared" si="0"/>
        <v>517.91198699999995</v>
      </c>
      <c r="F21">
        <f t="shared" si="2"/>
        <v>66.375086999999951</v>
      </c>
      <c r="G21">
        <v>190</v>
      </c>
      <c r="H21">
        <f t="shared" si="3"/>
        <v>4.1953217902957061</v>
      </c>
      <c r="I21">
        <f t="shared" si="1"/>
        <v>7.6018579963713231</v>
      </c>
    </row>
    <row r="22" spans="1:9" x14ac:dyDescent="0.25">
      <c r="A22">
        <v>1000</v>
      </c>
      <c r="B22">
        <v>1999.062866</v>
      </c>
      <c r="C22">
        <v>-11.931160999999999</v>
      </c>
      <c r="D22" t="s">
        <v>139</v>
      </c>
      <c r="E22">
        <f t="shared" si="0"/>
        <v>515.06286599999999</v>
      </c>
      <c r="F22">
        <f t="shared" si="2"/>
        <v>63.525965999999983</v>
      </c>
      <c r="G22">
        <v>200</v>
      </c>
      <c r="H22">
        <f t="shared" si="3"/>
        <v>4.1514487357021785</v>
      </c>
      <c r="I22">
        <f t="shared" si="1"/>
        <v>7.6004337827302617</v>
      </c>
    </row>
    <row r="23" spans="1:9" x14ac:dyDescent="0.25">
      <c r="A23">
        <v>1000</v>
      </c>
      <c r="B23">
        <v>1995.8386230000001</v>
      </c>
      <c r="C23">
        <v>-11.847956999999999</v>
      </c>
      <c r="D23" t="s">
        <v>140</v>
      </c>
      <c r="E23">
        <f t="shared" si="0"/>
        <v>511.8386230000001</v>
      </c>
      <c r="F23">
        <f t="shared" si="2"/>
        <v>60.301723000000095</v>
      </c>
      <c r="G23">
        <v>210</v>
      </c>
      <c r="H23">
        <f t="shared" si="3"/>
        <v>4.0993606771225961</v>
      </c>
      <c r="I23">
        <f t="shared" si="1"/>
        <v>7.5988196034024549</v>
      </c>
    </row>
    <row r="24" spans="1:9" x14ac:dyDescent="0.25">
      <c r="A24">
        <v>1000</v>
      </c>
      <c r="B24">
        <v>1994.0101320000001</v>
      </c>
      <c r="C24">
        <v>-11.798641999999999</v>
      </c>
      <c r="D24" t="s">
        <v>141</v>
      </c>
      <c r="E24">
        <f t="shared" si="0"/>
        <v>510.01013200000011</v>
      </c>
      <c r="F24">
        <f t="shared" si="2"/>
        <v>58.47323200000011</v>
      </c>
      <c r="G24">
        <v>220</v>
      </c>
      <c r="H24">
        <f t="shared" si="3"/>
        <v>4.0685690768699301</v>
      </c>
      <c r="I24">
        <f t="shared" si="1"/>
        <v>7.5979030317526055</v>
      </c>
    </row>
    <row r="25" spans="1:9" x14ac:dyDescent="0.25">
      <c r="A25">
        <v>1000</v>
      </c>
      <c r="B25">
        <v>1991.5932620000001</v>
      </c>
      <c r="C25">
        <v>-11.735682000000001</v>
      </c>
      <c r="D25" t="s">
        <v>447</v>
      </c>
      <c r="E25">
        <f t="shared" si="0"/>
        <v>507.5932620000001</v>
      </c>
      <c r="F25">
        <f t="shared" si="2"/>
        <v>56.056362000000092</v>
      </c>
      <c r="G25">
        <v>230</v>
      </c>
      <c r="H25">
        <f t="shared" si="3"/>
        <v>4.026357648875269</v>
      </c>
      <c r="I25">
        <f t="shared" si="1"/>
        <v>7.5966902315528246</v>
      </c>
    </row>
    <row r="26" spans="1:9" x14ac:dyDescent="0.25">
      <c r="A26">
        <v>1000</v>
      </c>
      <c r="B26">
        <v>1989.708862</v>
      </c>
      <c r="C26">
        <v>-11.676394999999999</v>
      </c>
      <c r="D26" t="s">
        <v>448</v>
      </c>
      <c r="E26">
        <f t="shared" si="0"/>
        <v>505.70886199999995</v>
      </c>
      <c r="F26">
        <f t="shared" si="2"/>
        <v>54.171961999999951</v>
      </c>
      <c r="G26">
        <v>240</v>
      </c>
      <c r="H26">
        <f t="shared" si="3"/>
        <v>3.9921634683234841</v>
      </c>
      <c r="I26">
        <f t="shared" si="1"/>
        <v>7.5957436065130635</v>
      </c>
    </row>
    <row r="27" spans="1:9" x14ac:dyDescent="0.25">
      <c r="A27">
        <v>1000</v>
      </c>
      <c r="B27">
        <v>1987.1986079999999</v>
      </c>
      <c r="C27">
        <v>-11.602835000000001</v>
      </c>
      <c r="D27" t="s">
        <v>144</v>
      </c>
      <c r="E27">
        <f t="shared" si="0"/>
        <v>503.19860799999992</v>
      </c>
      <c r="F27">
        <f t="shared" si="2"/>
        <v>51.661707999999919</v>
      </c>
      <c r="G27">
        <v>250</v>
      </c>
      <c r="H27">
        <f t="shared" si="3"/>
        <v>3.9447168494517695</v>
      </c>
      <c r="I27">
        <f t="shared" si="1"/>
        <v>7.5944811912558228</v>
      </c>
    </row>
    <row r="28" spans="1:9" x14ac:dyDescent="0.25">
      <c r="A28">
        <v>1000</v>
      </c>
      <c r="B28">
        <v>1984.5703129999999</v>
      </c>
      <c r="C28">
        <v>-11.521895000000001</v>
      </c>
      <c r="D28" t="s">
        <v>449</v>
      </c>
      <c r="E28">
        <f t="shared" si="0"/>
        <v>500.57031299999994</v>
      </c>
      <c r="F28">
        <f t="shared" si="2"/>
        <v>49.033412999999939</v>
      </c>
      <c r="G28">
        <v>260</v>
      </c>
      <c r="H28">
        <f t="shared" si="3"/>
        <v>3.8925019636830323</v>
      </c>
      <c r="I28">
        <f t="shared" si="1"/>
        <v>7.5931577026864083</v>
      </c>
    </row>
    <row r="29" spans="1:9" x14ac:dyDescent="0.25">
      <c r="A29">
        <v>1000</v>
      </c>
      <c r="B29">
        <v>1982.6748050000001</v>
      </c>
      <c r="C29">
        <v>-11.473129</v>
      </c>
      <c r="D29" t="s">
        <v>450</v>
      </c>
      <c r="E29">
        <f t="shared" si="0"/>
        <v>498.67480500000011</v>
      </c>
      <c r="F29">
        <f t="shared" si="2"/>
        <v>47.137905000000103</v>
      </c>
      <c r="G29">
        <v>270</v>
      </c>
      <c r="H29">
        <f t="shared" si="3"/>
        <v>3.8530774544330093</v>
      </c>
      <c r="I29">
        <f t="shared" si="1"/>
        <v>7.5922021236446007</v>
      </c>
    </row>
    <row r="30" spans="1:9" x14ac:dyDescent="0.25">
      <c r="A30">
        <v>1000</v>
      </c>
      <c r="B30">
        <v>1980.8725589999999</v>
      </c>
      <c r="C30">
        <v>-11.420114</v>
      </c>
      <c r="D30" t="s">
        <v>147</v>
      </c>
      <c r="E30">
        <f t="shared" si="0"/>
        <v>496.87255899999991</v>
      </c>
      <c r="F30">
        <f t="shared" si="2"/>
        <v>45.335658999999907</v>
      </c>
      <c r="G30">
        <v>280</v>
      </c>
      <c r="H30">
        <f t="shared" si="3"/>
        <v>3.8140938972226532</v>
      </c>
      <c r="I30">
        <f t="shared" si="1"/>
        <v>7.5912927129785004</v>
      </c>
    </row>
    <row r="31" spans="1:9" x14ac:dyDescent="0.25">
      <c r="A31">
        <v>1000</v>
      </c>
      <c r="B31">
        <v>1979.2642820000001</v>
      </c>
      <c r="C31">
        <v>-11.350349</v>
      </c>
      <c r="D31" t="s">
        <v>451</v>
      </c>
      <c r="E31">
        <f t="shared" si="0"/>
        <v>495.26428200000009</v>
      </c>
      <c r="F31">
        <f t="shared" si="2"/>
        <v>43.727382000000091</v>
      </c>
      <c r="G31">
        <v>290</v>
      </c>
      <c r="H31">
        <f t="shared" si="3"/>
        <v>3.7779744962647692</v>
      </c>
      <c r="I31">
        <f t="shared" si="1"/>
        <v>7.590480479890104</v>
      </c>
    </row>
    <row r="32" spans="1:9" x14ac:dyDescent="0.25">
      <c r="A32">
        <v>1000</v>
      </c>
      <c r="B32">
        <v>1977.715332</v>
      </c>
      <c r="C32">
        <v>-11.301909</v>
      </c>
      <c r="D32" t="s">
        <v>149</v>
      </c>
      <c r="E32">
        <f t="shared" si="0"/>
        <v>493.71533199999999</v>
      </c>
      <c r="F32">
        <f t="shared" si="2"/>
        <v>42.178431999999987</v>
      </c>
      <c r="G32">
        <v>300</v>
      </c>
      <c r="H32">
        <f t="shared" si="3"/>
        <v>3.741909000343536</v>
      </c>
      <c r="I32">
        <f t="shared" si="1"/>
        <v>7.5896975847376318</v>
      </c>
    </row>
    <row r="33" spans="1:21" x14ac:dyDescent="0.25">
      <c r="A33">
        <v>1000</v>
      </c>
      <c r="B33">
        <v>1976.045288</v>
      </c>
      <c r="C33">
        <v>-11.262582</v>
      </c>
      <c r="D33" t="s">
        <v>150</v>
      </c>
      <c r="E33">
        <f t="shared" si="0"/>
        <v>492.04528800000003</v>
      </c>
      <c r="F33">
        <f t="shared" si="2"/>
        <v>40.508388000000025</v>
      </c>
      <c r="G33">
        <v>310</v>
      </c>
      <c r="H33">
        <f t="shared" si="3"/>
        <v>3.70150906377906</v>
      </c>
      <c r="I33">
        <f t="shared" si="1"/>
        <v>7.5888527970735167</v>
      </c>
    </row>
    <row r="34" spans="1:21" x14ac:dyDescent="0.25">
      <c r="A34">
        <v>1000</v>
      </c>
      <c r="B34">
        <v>1974.5078129999999</v>
      </c>
      <c r="C34">
        <v>-11.208035000000001</v>
      </c>
      <c r="D34" t="s">
        <v>151</v>
      </c>
      <c r="E34">
        <f t="shared" si="0"/>
        <v>490.50781299999994</v>
      </c>
      <c r="F34">
        <f t="shared" si="2"/>
        <v>38.970912999999939</v>
      </c>
      <c r="G34">
        <v>320</v>
      </c>
      <c r="H34">
        <f t="shared" si="3"/>
        <v>3.6628155473543411</v>
      </c>
      <c r="I34">
        <f t="shared" ref="I34:I65" si="4">LN(B34)</f>
        <v>7.5880744376700022</v>
      </c>
    </row>
    <row r="35" spans="1:21" x14ac:dyDescent="0.25">
      <c r="A35">
        <v>1000</v>
      </c>
      <c r="B35">
        <v>1972.30249</v>
      </c>
      <c r="C35">
        <v>-11.139296</v>
      </c>
      <c r="D35" t="s">
        <v>152</v>
      </c>
      <c r="E35">
        <f t="shared" si="0"/>
        <v>488.30249000000003</v>
      </c>
      <c r="F35">
        <f t="shared" si="2"/>
        <v>36.765590000000032</v>
      </c>
      <c r="G35">
        <v>330</v>
      </c>
      <c r="H35">
        <f t="shared" si="3"/>
        <v>3.6045623533910378</v>
      </c>
      <c r="I35">
        <f t="shared" si="4"/>
        <v>7.5869569158940839</v>
      </c>
    </row>
    <row r="36" spans="1:21" x14ac:dyDescent="0.25">
      <c r="A36">
        <v>1000</v>
      </c>
      <c r="B36">
        <v>1971.5058590000001</v>
      </c>
      <c r="C36">
        <v>-11.095269</v>
      </c>
      <c r="D36" t="s">
        <v>153</v>
      </c>
      <c r="E36">
        <f t="shared" si="0"/>
        <v>487.5058590000001</v>
      </c>
      <c r="F36">
        <f t="shared" si="2"/>
        <v>35.968959000000098</v>
      </c>
      <c r="G36">
        <v>340</v>
      </c>
      <c r="H36">
        <f t="shared" si="3"/>
        <v>3.5826563165047562</v>
      </c>
      <c r="I36">
        <f t="shared" si="4"/>
        <v>7.5865529251621124</v>
      </c>
    </row>
    <row r="37" spans="1:21" x14ac:dyDescent="0.25">
      <c r="A37">
        <v>1000</v>
      </c>
      <c r="B37">
        <v>1969.982422</v>
      </c>
      <c r="C37">
        <v>-11.055094</v>
      </c>
      <c r="D37" t="s">
        <v>452</v>
      </c>
      <c r="E37">
        <f t="shared" si="0"/>
        <v>485.98242200000004</v>
      </c>
      <c r="F37">
        <f t="shared" si="2"/>
        <v>34.445522000000039</v>
      </c>
      <c r="G37">
        <v>350</v>
      </c>
      <c r="H37">
        <f t="shared" si="3"/>
        <v>3.5393790035246115</v>
      </c>
      <c r="I37">
        <f t="shared" si="4"/>
        <v>7.5857798988495855</v>
      </c>
    </row>
    <row r="38" spans="1:21" x14ac:dyDescent="0.25">
      <c r="A38">
        <v>1000</v>
      </c>
      <c r="B38">
        <v>1968.7028809999999</v>
      </c>
      <c r="C38">
        <v>-11.025178</v>
      </c>
      <c r="D38" t="s">
        <v>155</v>
      </c>
      <c r="E38">
        <f t="shared" si="0"/>
        <v>484.70288099999993</v>
      </c>
      <c r="F38">
        <f t="shared" si="2"/>
        <v>33.165980999999931</v>
      </c>
      <c r="G38">
        <v>360</v>
      </c>
      <c r="H38">
        <f t="shared" si="3"/>
        <v>3.501524681915904</v>
      </c>
      <c r="I38">
        <f t="shared" si="4"/>
        <v>7.5851301688272157</v>
      </c>
    </row>
    <row r="39" spans="1:21" x14ac:dyDescent="0.25">
      <c r="A39">
        <v>1000</v>
      </c>
      <c r="B39">
        <v>1967.1910399999999</v>
      </c>
      <c r="C39">
        <v>-10.987584</v>
      </c>
      <c r="D39" t="s">
        <v>453</v>
      </c>
      <c r="E39">
        <f t="shared" si="0"/>
        <v>483.19103999999993</v>
      </c>
      <c r="F39">
        <f t="shared" si="2"/>
        <v>31.654139999999927</v>
      </c>
      <c r="G39">
        <v>370</v>
      </c>
      <c r="H39">
        <f t="shared" si="3"/>
        <v>3.4548689457230686</v>
      </c>
      <c r="I39">
        <f t="shared" si="4"/>
        <v>7.5843619361945791</v>
      </c>
    </row>
    <row r="40" spans="1:21" x14ac:dyDescent="0.25">
      <c r="A40">
        <v>1000</v>
      </c>
      <c r="B40">
        <v>1965.897095</v>
      </c>
      <c r="C40">
        <v>-10.948256000000001</v>
      </c>
      <c r="D40" t="s">
        <v>454</v>
      </c>
      <c r="E40">
        <f t="shared" si="0"/>
        <v>481.89709500000004</v>
      </c>
      <c r="F40">
        <f t="shared" si="2"/>
        <v>30.360195000000033</v>
      </c>
      <c r="G40">
        <v>380</v>
      </c>
      <c r="H40">
        <f t="shared" si="3"/>
        <v>3.4131323754317044</v>
      </c>
      <c r="I40">
        <f t="shared" si="4"/>
        <v>7.5837039570177742</v>
      </c>
      <c r="T40">
        <v>-5.5999999999999999E-3</v>
      </c>
    </row>
    <row r="41" spans="1:21" x14ac:dyDescent="0.25">
      <c r="A41">
        <v>1000</v>
      </c>
      <c r="B41">
        <v>1964.5135499999999</v>
      </c>
      <c r="C41">
        <v>-10.890036</v>
      </c>
      <c r="D41" t="s">
        <v>158</v>
      </c>
      <c r="E41">
        <f t="shared" si="0"/>
        <v>480.5135499999999</v>
      </c>
      <c r="F41">
        <f t="shared" si="2"/>
        <v>28.976649999999893</v>
      </c>
      <c r="G41">
        <v>390</v>
      </c>
      <c r="H41">
        <f t="shared" si="3"/>
        <v>3.3664903332472655</v>
      </c>
      <c r="I41">
        <f t="shared" si="4"/>
        <v>7.5829999364040983</v>
      </c>
      <c r="S41" t="s">
        <v>2</v>
      </c>
      <c r="T41">
        <f>1/ABS(T40)</f>
        <v>178.57142857142858</v>
      </c>
      <c r="U41" s="3" t="s">
        <v>3</v>
      </c>
    </row>
    <row r="42" spans="1:21" x14ac:dyDescent="0.25">
      <c r="A42">
        <v>1000</v>
      </c>
      <c r="B42">
        <v>1963.3950199999999</v>
      </c>
      <c r="C42">
        <v>-10.837908000000001</v>
      </c>
      <c r="D42" t="s">
        <v>159</v>
      </c>
      <c r="E42">
        <f t="shared" si="0"/>
        <v>479.39501999999993</v>
      </c>
      <c r="F42">
        <f t="shared" si="2"/>
        <v>27.858119999999928</v>
      </c>
      <c r="G42">
        <v>400</v>
      </c>
      <c r="H42">
        <f t="shared" si="3"/>
        <v>3.3271244858163271</v>
      </c>
      <c r="I42">
        <f t="shared" si="4"/>
        <v>7.5824304068387836</v>
      </c>
      <c r="T42">
        <f>T41/60</f>
        <v>2.9761904761904763</v>
      </c>
      <c r="U42" s="3" t="s">
        <v>4</v>
      </c>
    </row>
    <row r="43" spans="1:21" x14ac:dyDescent="0.25">
      <c r="A43">
        <v>1000</v>
      </c>
      <c r="B43">
        <v>1961.989014</v>
      </c>
      <c r="C43">
        <v>-10.807404</v>
      </c>
      <c r="D43" t="s">
        <v>455</v>
      </c>
      <c r="E43">
        <f t="shared" si="0"/>
        <v>477.989014</v>
      </c>
      <c r="F43">
        <f t="shared" si="2"/>
        <v>26.452113999999995</v>
      </c>
      <c r="G43">
        <v>410</v>
      </c>
      <c r="H43">
        <f t="shared" si="3"/>
        <v>3.2753360794961579</v>
      </c>
      <c r="I43">
        <f t="shared" si="4"/>
        <v>7.5817140407212529</v>
      </c>
      <c r="T43">
        <f>T42/60</f>
        <v>4.9603174603174607E-2</v>
      </c>
      <c r="U43" s="3" t="s">
        <v>5</v>
      </c>
    </row>
    <row r="44" spans="1:21" x14ac:dyDescent="0.25">
      <c r="A44">
        <v>1000</v>
      </c>
      <c r="B44">
        <v>1961.065552</v>
      </c>
      <c r="C44">
        <v>-10.757789000000001</v>
      </c>
      <c r="D44" t="s">
        <v>456</v>
      </c>
      <c r="E44">
        <f t="shared" si="0"/>
        <v>477.06555200000003</v>
      </c>
      <c r="F44">
        <f t="shared" si="2"/>
        <v>25.528652000000022</v>
      </c>
      <c r="G44">
        <v>420</v>
      </c>
      <c r="H44">
        <f t="shared" si="3"/>
        <v>3.2398014292326773</v>
      </c>
      <c r="I44">
        <f t="shared" si="4"/>
        <v>7.5812432534805856</v>
      </c>
    </row>
    <row r="45" spans="1:21" x14ac:dyDescent="0.25">
      <c r="A45">
        <v>1000</v>
      </c>
      <c r="B45">
        <v>1959.804077</v>
      </c>
      <c r="C45">
        <v>-10.73488</v>
      </c>
      <c r="D45" t="s">
        <v>457</v>
      </c>
      <c r="E45">
        <f t="shared" si="0"/>
        <v>475.80407700000001</v>
      </c>
      <c r="F45">
        <f t="shared" si="2"/>
        <v>24.267177000000004</v>
      </c>
      <c r="G45">
        <v>430</v>
      </c>
      <c r="H45">
        <f t="shared" si="3"/>
        <v>3.1891246965331792</v>
      </c>
      <c r="I45">
        <f t="shared" si="4"/>
        <v>7.5805997865138721</v>
      </c>
    </row>
    <row r="46" spans="1:21" x14ac:dyDescent="0.25">
      <c r="A46">
        <v>1000</v>
      </c>
      <c r="B46">
        <v>1958.4539789999999</v>
      </c>
      <c r="C46">
        <v>-10.683094000000001</v>
      </c>
      <c r="D46" t="s">
        <v>458</v>
      </c>
      <c r="E46">
        <f t="shared" si="0"/>
        <v>474.45397899999989</v>
      </c>
      <c r="F46">
        <f t="shared" si="2"/>
        <v>22.917078999999887</v>
      </c>
      <c r="G46">
        <v>440</v>
      </c>
      <c r="H46">
        <f t="shared" si="3"/>
        <v>3.1318824404439716</v>
      </c>
      <c r="I46">
        <f t="shared" si="4"/>
        <v>7.5799106547445323</v>
      </c>
    </row>
    <row r="47" spans="1:21" x14ac:dyDescent="0.25">
      <c r="A47">
        <v>1000</v>
      </c>
      <c r="B47">
        <v>1957.6988530000001</v>
      </c>
      <c r="C47">
        <v>-10.675171000000001</v>
      </c>
      <c r="D47" t="s">
        <v>164</v>
      </c>
      <c r="E47">
        <f t="shared" si="0"/>
        <v>473.6988530000001</v>
      </c>
      <c r="F47">
        <f t="shared" si="2"/>
        <v>22.161953000000096</v>
      </c>
      <c r="G47">
        <v>450</v>
      </c>
      <c r="H47">
        <f t="shared" si="3"/>
        <v>3.0983769897646645</v>
      </c>
      <c r="I47">
        <f t="shared" si="4"/>
        <v>7.5795250078907177</v>
      </c>
    </row>
    <row r="48" spans="1:21" x14ac:dyDescent="0.25">
      <c r="A48">
        <v>1000</v>
      </c>
      <c r="B48">
        <v>1957.705078</v>
      </c>
      <c r="C48">
        <v>-10.644067</v>
      </c>
      <c r="D48" t="s">
        <v>459</v>
      </c>
      <c r="E48">
        <f t="shared" si="0"/>
        <v>473.70507799999996</v>
      </c>
      <c r="F48">
        <f t="shared" si="2"/>
        <v>22.168177999999955</v>
      </c>
      <c r="G48">
        <v>460</v>
      </c>
      <c r="H48">
        <f t="shared" si="3"/>
        <v>3.0986578371206432</v>
      </c>
      <c r="I48">
        <f t="shared" si="4"/>
        <v>7.5795281876392746</v>
      </c>
    </row>
    <row r="49" spans="1:9" x14ac:dyDescent="0.25">
      <c r="A49">
        <v>1000</v>
      </c>
      <c r="B49">
        <v>1956.369629</v>
      </c>
      <c r="C49">
        <v>-10.603564</v>
      </c>
      <c r="D49" t="s">
        <v>166</v>
      </c>
      <c r="E49">
        <f t="shared" si="0"/>
        <v>472.36962900000003</v>
      </c>
      <c r="F49">
        <f t="shared" si="2"/>
        <v>20.832729000000029</v>
      </c>
      <c r="G49">
        <v>470</v>
      </c>
      <c r="H49">
        <f t="shared" si="3"/>
        <v>3.0365252596535073</v>
      </c>
      <c r="I49">
        <f t="shared" si="4"/>
        <v>7.5788458046232163</v>
      </c>
    </row>
    <row r="50" spans="1:9" x14ac:dyDescent="0.25">
      <c r="A50">
        <v>1000</v>
      </c>
      <c r="B50">
        <v>1955.348755</v>
      </c>
      <c r="C50">
        <v>-10.585449000000001</v>
      </c>
      <c r="D50" t="s">
        <v>460</v>
      </c>
      <c r="E50">
        <f t="shared" si="0"/>
        <v>471.34875499999998</v>
      </c>
      <c r="F50">
        <f t="shared" si="2"/>
        <v>19.81185499999998</v>
      </c>
      <c r="G50">
        <v>480</v>
      </c>
      <c r="H50">
        <f t="shared" si="3"/>
        <v>2.9862804959025189</v>
      </c>
      <c r="I50">
        <f t="shared" si="4"/>
        <v>7.5783238478139774</v>
      </c>
    </row>
    <row r="51" spans="1:9" x14ac:dyDescent="0.25">
      <c r="A51">
        <v>1000</v>
      </c>
      <c r="B51">
        <v>1954.5032960000001</v>
      </c>
      <c r="C51">
        <v>-10.558744000000001</v>
      </c>
      <c r="D51" t="s">
        <v>461</v>
      </c>
      <c r="E51">
        <f t="shared" si="0"/>
        <v>470.50329600000009</v>
      </c>
      <c r="F51">
        <f t="shared" si="2"/>
        <v>18.966396000000088</v>
      </c>
      <c r="G51">
        <v>490</v>
      </c>
      <c r="H51">
        <f t="shared" si="3"/>
        <v>2.94266878171209</v>
      </c>
      <c r="I51">
        <f t="shared" si="4"/>
        <v>7.5778913715963867</v>
      </c>
    </row>
    <row r="52" spans="1:9" x14ac:dyDescent="0.25">
      <c r="A52">
        <v>1000</v>
      </c>
      <c r="B52">
        <v>1954.2166749999999</v>
      </c>
      <c r="C52">
        <v>-10.535098</v>
      </c>
      <c r="D52" t="s">
        <v>462</v>
      </c>
      <c r="E52">
        <f t="shared" si="0"/>
        <v>470.2166749999999</v>
      </c>
      <c r="F52">
        <f t="shared" si="2"/>
        <v>18.679774999999893</v>
      </c>
      <c r="G52">
        <v>500</v>
      </c>
      <c r="H52">
        <f t="shared" si="3"/>
        <v>2.9274413877602696</v>
      </c>
      <c r="I52">
        <f t="shared" si="4"/>
        <v>7.577744714377328</v>
      </c>
    </row>
    <row r="53" spans="1:9" x14ac:dyDescent="0.25">
      <c r="A53">
        <v>1000</v>
      </c>
      <c r="B53">
        <v>1953.0589600000001</v>
      </c>
      <c r="C53">
        <v>-10.495879</v>
      </c>
      <c r="D53" t="s">
        <v>463</v>
      </c>
      <c r="E53">
        <f t="shared" si="0"/>
        <v>469.05896000000007</v>
      </c>
      <c r="F53">
        <f t="shared" si="2"/>
        <v>17.522060000000067</v>
      </c>
      <c r="G53">
        <v>510</v>
      </c>
      <c r="H53">
        <f t="shared" si="3"/>
        <v>2.8634606585049496</v>
      </c>
      <c r="I53">
        <f t="shared" si="4"/>
        <v>7.5771521198731113</v>
      </c>
    </row>
    <row r="54" spans="1:9" x14ac:dyDescent="0.25">
      <c r="A54">
        <v>1000</v>
      </c>
      <c r="B54">
        <v>1951.732422</v>
      </c>
      <c r="C54">
        <v>-10.457916000000001</v>
      </c>
      <c r="D54" t="s">
        <v>464</v>
      </c>
      <c r="E54">
        <f t="shared" si="0"/>
        <v>467.73242200000004</v>
      </c>
      <c r="F54">
        <f t="shared" si="2"/>
        <v>16.195522000000039</v>
      </c>
      <c r="G54">
        <v>520</v>
      </c>
      <c r="H54">
        <f t="shared" si="3"/>
        <v>2.7847347842742729</v>
      </c>
      <c r="I54">
        <f t="shared" si="4"/>
        <v>7.5764726786834249</v>
      </c>
    </row>
    <row r="55" spans="1:9" x14ac:dyDescent="0.25">
      <c r="A55">
        <v>1000</v>
      </c>
      <c r="B55">
        <v>1951.203491</v>
      </c>
      <c r="C55">
        <v>-10.429584999999999</v>
      </c>
      <c r="D55" t="s">
        <v>172</v>
      </c>
      <c r="E55">
        <f t="shared" si="0"/>
        <v>467.20349099999999</v>
      </c>
      <c r="F55">
        <f t="shared" si="2"/>
        <v>15.666590999999983</v>
      </c>
      <c r="G55">
        <v>530</v>
      </c>
      <c r="H55">
        <f t="shared" si="3"/>
        <v>2.7515304832430503</v>
      </c>
      <c r="I55">
        <f t="shared" si="4"/>
        <v>7.5762016360555018</v>
      </c>
    </row>
    <row r="56" spans="1:9" x14ac:dyDescent="0.25">
      <c r="A56">
        <v>1000</v>
      </c>
      <c r="B56">
        <v>1951.3741460000001</v>
      </c>
      <c r="C56">
        <v>-10.440063</v>
      </c>
      <c r="D56" t="s">
        <v>465</v>
      </c>
      <c r="E56">
        <f t="shared" si="0"/>
        <v>467.37414600000011</v>
      </c>
      <c r="F56">
        <f t="shared" si="2"/>
        <v>15.837246000000107</v>
      </c>
      <c r="G56">
        <v>540</v>
      </c>
      <c r="H56">
        <f t="shared" si="3"/>
        <v>2.762364507633889</v>
      </c>
      <c r="I56">
        <f t="shared" si="4"/>
        <v>7.5762890936366096</v>
      </c>
    </row>
    <row r="57" spans="1:9" x14ac:dyDescent="0.25">
      <c r="A57">
        <v>1000</v>
      </c>
      <c r="B57">
        <v>1949.9697269999999</v>
      </c>
      <c r="C57">
        <v>-10.389396</v>
      </c>
      <c r="D57" t="s">
        <v>466</v>
      </c>
      <c r="E57">
        <f t="shared" si="0"/>
        <v>465.96972699999992</v>
      </c>
      <c r="F57">
        <f t="shared" si="2"/>
        <v>14.432826999999918</v>
      </c>
      <c r="G57">
        <v>550</v>
      </c>
      <c r="H57">
        <f t="shared" si="3"/>
        <v>2.6695052648935733</v>
      </c>
      <c r="I57">
        <f t="shared" si="4"/>
        <v>7.5755691268218994</v>
      </c>
    </row>
    <row r="58" spans="1:9" x14ac:dyDescent="0.25">
      <c r="A58">
        <v>1000</v>
      </c>
      <c r="B58">
        <v>1949.771362</v>
      </c>
      <c r="C58">
        <v>-10.364193</v>
      </c>
      <c r="D58" t="s">
        <v>467</v>
      </c>
      <c r="E58">
        <f t="shared" si="0"/>
        <v>465.77136199999995</v>
      </c>
      <c r="F58">
        <f t="shared" si="2"/>
        <v>14.234461999999951</v>
      </c>
      <c r="G58">
        <v>560</v>
      </c>
      <c r="H58">
        <f t="shared" si="3"/>
        <v>2.655665925846479</v>
      </c>
      <c r="I58">
        <f t="shared" si="4"/>
        <v>7.5754673944270339</v>
      </c>
    </row>
    <row r="59" spans="1:9" x14ac:dyDescent="0.25">
      <c r="A59">
        <v>1000</v>
      </c>
      <c r="B59">
        <v>1949.233154</v>
      </c>
      <c r="C59">
        <v>-10.313157</v>
      </c>
      <c r="D59" t="s">
        <v>468</v>
      </c>
      <c r="E59">
        <f t="shared" si="0"/>
        <v>465.23315400000001</v>
      </c>
      <c r="F59">
        <f t="shared" si="2"/>
        <v>13.69625400000001</v>
      </c>
      <c r="G59">
        <v>570</v>
      </c>
      <c r="H59">
        <f t="shared" si="3"/>
        <v>2.6171223647881678</v>
      </c>
      <c r="I59">
        <f t="shared" si="4"/>
        <v>7.5751913198540448</v>
      </c>
    </row>
    <row r="60" spans="1:9" x14ac:dyDescent="0.25">
      <c r="A60">
        <v>1000</v>
      </c>
      <c r="B60">
        <v>1948.318115</v>
      </c>
      <c r="C60">
        <v>-10.297503000000001</v>
      </c>
      <c r="D60" t="s">
        <v>469</v>
      </c>
      <c r="E60">
        <f t="shared" si="0"/>
        <v>464.31811500000003</v>
      </c>
      <c r="F60">
        <f t="shared" si="2"/>
        <v>12.781215000000032</v>
      </c>
      <c r="G60">
        <v>580</v>
      </c>
      <c r="H60">
        <f t="shared" si="3"/>
        <v>2.54797651485302</v>
      </c>
      <c r="I60">
        <f t="shared" si="4"/>
        <v>7.5747217742580242</v>
      </c>
    </row>
    <row r="61" spans="1:9" x14ac:dyDescent="0.25">
      <c r="A61">
        <v>1000</v>
      </c>
      <c r="B61">
        <v>1948.103638</v>
      </c>
      <c r="C61">
        <v>-10.286958</v>
      </c>
      <c r="D61" t="s">
        <v>178</v>
      </c>
      <c r="E61">
        <f t="shared" si="0"/>
        <v>464.10363800000005</v>
      </c>
      <c r="F61">
        <f t="shared" si="2"/>
        <v>12.566738000000043</v>
      </c>
      <c r="G61">
        <v>590</v>
      </c>
      <c r="H61">
        <f t="shared" si="3"/>
        <v>2.5310534821623212</v>
      </c>
      <c r="I61">
        <f t="shared" si="4"/>
        <v>7.5746116850460172</v>
      </c>
    </row>
    <row r="62" spans="1:9" x14ac:dyDescent="0.25">
      <c r="A62">
        <v>1000</v>
      </c>
      <c r="B62">
        <v>1946.9564210000001</v>
      </c>
      <c r="C62">
        <v>-10.233586000000001</v>
      </c>
      <c r="D62" t="s">
        <v>470</v>
      </c>
      <c r="E62">
        <f t="shared" si="0"/>
        <v>462.95642100000009</v>
      </c>
      <c r="F62">
        <f t="shared" si="2"/>
        <v>11.419521000000088</v>
      </c>
      <c r="G62">
        <v>600</v>
      </c>
      <c r="H62">
        <f t="shared" si="3"/>
        <v>2.4353242593902311</v>
      </c>
      <c r="I62">
        <f t="shared" si="4"/>
        <v>7.5740226224817455</v>
      </c>
    </row>
    <row r="63" spans="1:9" x14ac:dyDescent="0.25">
      <c r="A63">
        <v>1000</v>
      </c>
      <c r="B63">
        <v>1946.3876949999999</v>
      </c>
      <c r="C63">
        <v>-10.212659</v>
      </c>
      <c r="D63" t="s">
        <v>471</v>
      </c>
      <c r="E63">
        <f t="shared" si="0"/>
        <v>462.38769499999989</v>
      </c>
      <c r="F63">
        <f t="shared" si="2"/>
        <v>10.850794999999891</v>
      </c>
      <c r="G63">
        <v>610</v>
      </c>
      <c r="H63">
        <f t="shared" si="3"/>
        <v>2.3842383491916057</v>
      </c>
      <c r="I63">
        <f t="shared" si="4"/>
        <v>7.5737304695216681</v>
      </c>
    </row>
    <row r="64" spans="1:9" x14ac:dyDescent="0.25">
      <c r="A64">
        <v>1000</v>
      </c>
      <c r="B64">
        <v>1946.2536620000001</v>
      </c>
      <c r="C64">
        <v>-10.200678999999999</v>
      </c>
      <c r="D64" t="s">
        <v>472</v>
      </c>
      <c r="E64">
        <f t="shared" si="0"/>
        <v>462.25366200000008</v>
      </c>
      <c r="F64">
        <f t="shared" si="2"/>
        <v>10.716762000000074</v>
      </c>
      <c r="G64">
        <v>620</v>
      </c>
      <c r="H64">
        <f t="shared" si="3"/>
        <v>2.3718090577768911</v>
      </c>
      <c r="I64">
        <f t="shared" si="4"/>
        <v>7.5736616047135543</v>
      </c>
    </row>
    <row r="65" spans="1:9" x14ac:dyDescent="0.25">
      <c r="A65">
        <v>1000</v>
      </c>
      <c r="B65">
        <v>1945.2380370000001</v>
      </c>
      <c r="C65">
        <v>-10.148113</v>
      </c>
      <c r="D65" t="s">
        <v>473</v>
      </c>
      <c r="E65">
        <f t="shared" si="0"/>
        <v>461.23803700000008</v>
      </c>
      <c r="F65">
        <f t="shared" si="2"/>
        <v>9.7011370000000738</v>
      </c>
      <c r="G65">
        <v>630</v>
      </c>
      <c r="H65">
        <f t="shared" si="3"/>
        <v>2.2722430951348738</v>
      </c>
      <c r="I65">
        <f t="shared" si="4"/>
        <v>7.5731396326259253</v>
      </c>
    </row>
    <row r="66" spans="1:9" x14ac:dyDescent="0.25">
      <c r="A66">
        <v>1000</v>
      </c>
      <c r="B66">
        <v>1944.713501</v>
      </c>
      <c r="C66">
        <v>-10.124999000000001</v>
      </c>
      <c r="D66" t="s">
        <v>474</v>
      </c>
      <c r="E66">
        <f t="shared" ref="E66:E129" si="5">B66-$P$3</f>
        <v>460.71350099999995</v>
      </c>
      <c r="F66">
        <f t="shared" si="2"/>
        <v>9.1766009999999483</v>
      </c>
      <c r="G66">
        <v>640</v>
      </c>
      <c r="H66">
        <f t="shared" si="3"/>
        <v>2.216656874630794</v>
      </c>
      <c r="I66">
        <f t="shared" ref="I66:I97" si="6">LN(B66)</f>
        <v>7.5728699449457286</v>
      </c>
    </row>
    <row r="67" spans="1:9" x14ac:dyDescent="0.25">
      <c r="A67">
        <v>1000</v>
      </c>
      <c r="B67">
        <v>1943.844971</v>
      </c>
      <c r="C67">
        <v>-10.079141999999999</v>
      </c>
      <c r="D67" t="s">
        <v>184</v>
      </c>
      <c r="E67">
        <f t="shared" si="5"/>
        <v>459.84497099999999</v>
      </c>
      <c r="F67">
        <f t="shared" ref="F67:F130" si="7">E67-$R$3</f>
        <v>8.308070999999984</v>
      </c>
      <c r="G67">
        <v>650</v>
      </c>
      <c r="H67">
        <f t="shared" ref="H67:H130" si="8">LN(F67)</f>
        <v>2.1172274519571257</v>
      </c>
      <c r="I67">
        <f t="shared" si="6"/>
        <v>7.5724232344124056</v>
      </c>
    </row>
    <row r="68" spans="1:9" x14ac:dyDescent="0.25">
      <c r="A68">
        <v>1000</v>
      </c>
      <c r="B68">
        <v>1943.3050539999999</v>
      </c>
      <c r="C68">
        <v>-10.036125</v>
      </c>
      <c r="D68" t="s">
        <v>185</v>
      </c>
      <c r="E68">
        <f t="shared" si="5"/>
        <v>459.30505399999993</v>
      </c>
      <c r="F68">
        <f t="shared" si="7"/>
        <v>7.7681539999999245</v>
      </c>
      <c r="G68">
        <v>660</v>
      </c>
      <c r="H68">
        <f t="shared" si="8"/>
        <v>2.050032555715263</v>
      </c>
      <c r="I68">
        <f t="shared" si="6"/>
        <v>7.5721454385979916</v>
      </c>
    </row>
    <row r="69" spans="1:9" x14ac:dyDescent="0.25">
      <c r="A69">
        <v>1000</v>
      </c>
      <c r="B69">
        <v>1942.5893550000001</v>
      </c>
      <c r="C69">
        <v>-10.031972</v>
      </c>
      <c r="D69" t="s">
        <v>475</v>
      </c>
      <c r="E69">
        <f t="shared" si="5"/>
        <v>458.58935500000007</v>
      </c>
      <c r="F69">
        <f t="shared" si="7"/>
        <v>7.0524550000000659</v>
      </c>
      <c r="G69">
        <v>670</v>
      </c>
      <c r="H69">
        <f t="shared" si="8"/>
        <v>1.9533757831576086</v>
      </c>
      <c r="I69">
        <f t="shared" si="6"/>
        <v>7.5717770811838347</v>
      </c>
    </row>
    <row r="70" spans="1:9" x14ac:dyDescent="0.25">
      <c r="A70">
        <v>1000</v>
      </c>
      <c r="B70">
        <v>1942.3706050000001</v>
      </c>
      <c r="C70">
        <v>-10.005758</v>
      </c>
      <c r="D70" t="s">
        <v>476</v>
      </c>
      <c r="E70">
        <f t="shared" si="5"/>
        <v>458.37060500000007</v>
      </c>
      <c r="F70">
        <f t="shared" si="7"/>
        <v>6.8337050000000659</v>
      </c>
      <c r="G70">
        <v>680</v>
      </c>
      <c r="H70">
        <f t="shared" si="8"/>
        <v>1.9218669862410691</v>
      </c>
      <c r="I70">
        <f t="shared" si="6"/>
        <v>7.5716644674104714</v>
      </c>
    </row>
    <row r="71" spans="1:9" x14ac:dyDescent="0.25">
      <c r="A71">
        <v>1000</v>
      </c>
      <c r="B71">
        <v>1941.815552</v>
      </c>
      <c r="C71">
        <v>-9.9889969999999995</v>
      </c>
      <c r="D71" t="s">
        <v>188</v>
      </c>
      <c r="E71">
        <f t="shared" si="5"/>
        <v>457.81555200000003</v>
      </c>
      <c r="F71">
        <f t="shared" si="7"/>
        <v>6.2786520000000223</v>
      </c>
      <c r="G71">
        <v>690</v>
      </c>
      <c r="H71">
        <f t="shared" si="8"/>
        <v>1.8371553077580423</v>
      </c>
      <c r="I71">
        <f t="shared" si="6"/>
        <v>7.5713786659677274</v>
      </c>
    </row>
    <row r="72" spans="1:9" x14ac:dyDescent="0.25">
      <c r="A72">
        <v>1000</v>
      </c>
      <c r="B72">
        <v>1941.6362300000001</v>
      </c>
      <c r="C72">
        <v>-9.9467590000000001</v>
      </c>
      <c r="D72" t="s">
        <v>189</v>
      </c>
      <c r="E72">
        <f t="shared" si="5"/>
        <v>457.63623000000007</v>
      </c>
      <c r="F72">
        <f t="shared" si="7"/>
        <v>6.0993300000000659</v>
      </c>
      <c r="G72">
        <v>700</v>
      </c>
      <c r="H72">
        <f t="shared" si="8"/>
        <v>1.8081789290812802</v>
      </c>
      <c r="I72">
        <f t="shared" si="6"/>
        <v>7.5712863141064481</v>
      </c>
    </row>
    <row r="73" spans="1:9" x14ac:dyDescent="0.25">
      <c r="A73">
        <v>1000</v>
      </c>
      <c r="B73">
        <v>1941.1260990000001</v>
      </c>
      <c r="C73">
        <v>-9.9488350000000008</v>
      </c>
      <c r="D73" t="s">
        <v>190</v>
      </c>
      <c r="E73">
        <f t="shared" si="5"/>
        <v>457.12609900000007</v>
      </c>
      <c r="F73">
        <f t="shared" si="7"/>
        <v>5.5891990000000646</v>
      </c>
      <c r="G73">
        <v>710</v>
      </c>
      <c r="H73">
        <f t="shared" si="8"/>
        <v>1.7208359853076696</v>
      </c>
      <c r="I73">
        <f t="shared" si="6"/>
        <v>7.5710235470557201</v>
      </c>
    </row>
    <row r="74" spans="1:9" x14ac:dyDescent="0.25">
      <c r="A74">
        <v>1000</v>
      </c>
      <c r="B74">
        <v>1940.5195309999999</v>
      </c>
      <c r="C74">
        <v>-9.9115020000000005</v>
      </c>
      <c r="D74" t="s">
        <v>477</v>
      </c>
      <c r="E74">
        <f t="shared" si="5"/>
        <v>456.51953099999992</v>
      </c>
      <c r="F74">
        <f t="shared" si="7"/>
        <v>4.9826309999999125</v>
      </c>
      <c r="G74">
        <v>720</v>
      </c>
      <c r="H74">
        <f t="shared" si="8"/>
        <v>1.6059580647812433</v>
      </c>
      <c r="I74">
        <f t="shared" si="6"/>
        <v>7.5707110156900281</v>
      </c>
    </row>
    <row r="75" spans="1:9" x14ac:dyDescent="0.25">
      <c r="A75">
        <v>1000</v>
      </c>
      <c r="B75">
        <v>1940.080078</v>
      </c>
      <c r="C75">
        <v>-9.8728700000000007</v>
      </c>
      <c r="D75" t="s">
        <v>478</v>
      </c>
      <c r="E75">
        <f t="shared" si="5"/>
        <v>456.08007799999996</v>
      </c>
      <c r="F75">
        <f t="shared" si="7"/>
        <v>4.5431779999999549</v>
      </c>
      <c r="G75">
        <v>730</v>
      </c>
      <c r="H75">
        <f t="shared" si="8"/>
        <v>1.5136267671675201</v>
      </c>
      <c r="I75">
        <f t="shared" si="6"/>
        <v>7.5704845285250766</v>
      </c>
    </row>
    <row r="76" spans="1:9" x14ac:dyDescent="0.25">
      <c r="A76">
        <v>1000</v>
      </c>
      <c r="B76">
        <v>1939.7810059999999</v>
      </c>
      <c r="C76">
        <v>-9.8506990000000005</v>
      </c>
      <c r="D76" t="s">
        <v>479</v>
      </c>
      <c r="E76">
        <f t="shared" si="5"/>
        <v>455.78100599999993</v>
      </c>
      <c r="F76">
        <f t="shared" si="7"/>
        <v>4.2441059999999311</v>
      </c>
      <c r="G76">
        <v>740</v>
      </c>
      <c r="H76">
        <f t="shared" si="8"/>
        <v>1.4455311968771378</v>
      </c>
      <c r="I76">
        <f t="shared" si="6"/>
        <v>7.570330362180397</v>
      </c>
    </row>
    <row r="77" spans="1:9" x14ac:dyDescent="0.25">
      <c r="A77">
        <v>1000</v>
      </c>
      <c r="B77">
        <v>1938.9685059999999</v>
      </c>
      <c r="C77">
        <v>-9.8236249999999998</v>
      </c>
      <c r="D77" t="s">
        <v>194</v>
      </c>
      <c r="E77">
        <f t="shared" si="5"/>
        <v>454.96850599999993</v>
      </c>
      <c r="F77">
        <f t="shared" si="7"/>
        <v>3.4316059999999311</v>
      </c>
      <c r="G77">
        <v>750</v>
      </c>
      <c r="H77">
        <f t="shared" si="8"/>
        <v>1.2330283731706555</v>
      </c>
      <c r="I77">
        <f t="shared" si="6"/>
        <v>7.5699114127177562</v>
      </c>
    </row>
    <row r="78" spans="1:9" x14ac:dyDescent="0.25">
      <c r="A78">
        <v>1000</v>
      </c>
      <c r="B78">
        <v>1938.7667240000001</v>
      </c>
      <c r="C78">
        <v>-9.8130100000000002</v>
      </c>
      <c r="D78" t="s">
        <v>195</v>
      </c>
      <c r="E78">
        <f t="shared" si="5"/>
        <v>454.76672400000007</v>
      </c>
      <c r="F78">
        <f t="shared" si="7"/>
        <v>3.2298240000000646</v>
      </c>
      <c r="G78">
        <v>760</v>
      </c>
      <c r="H78">
        <f t="shared" si="8"/>
        <v>1.17242764658591</v>
      </c>
      <c r="I78">
        <f t="shared" si="6"/>
        <v>7.569807340630204</v>
      </c>
    </row>
    <row r="79" spans="1:9" x14ac:dyDescent="0.25">
      <c r="A79">
        <v>1000</v>
      </c>
      <c r="B79">
        <v>1938.1130370000001</v>
      </c>
      <c r="C79">
        <v>-9.7872330000000005</v>
      </c>
      <c r="D79" t="s">
        <v>480</v>
      </c>
      <c r="E79">
        <f t="shared" si="5"/>
        <v>454.11303700000008</v>
      </c>
      <c r="F79">
        <f t="shared" si="7"/>
        <v>2.5761370000000738</v>
      </c>
      <c r="G79">
        <v>770</v>
      </c>
      <c r="H79">
        <f t="shared" si="8"/>
        <v>0.94629099005777173</v>
      </c>
      <c r="I79">
        <f t="shared" si="6"/>
        <v>7.5694701173751673</v>
      </c>
    </row>
    <row r="80" spans="1:9" x14ac:dyDescent="0.25">
      <c r="A80">
        <v>1000</v>
      </c>
      <c r="B80">
        <v>1937.948486</v>
      </c>
      <c r="C80">
        <v>-9.756278</v>
      </c>
      <c r="D80" t="s">
        <v>197</v>
      </c>
      <c r="E80">
        <f t="shared" si="5"/>
        <v>453.948486</v>
      </c>
      <c r="F80">
        <f t="shared" si="7"/>
        <v>2.4115859999999998</v>
      </c>
      <c r="G80">
        <v>780</v>
      </c>
      <c r="H80">
        <f t="shared" si="8"/>
        <v>0.88028462234175608</v>
      </c>
      <c r="I80">
        <f t="shared" si="6"/>
        <v>7.569385211086078</v>
      </c>
    </row>
    <row r="81" spans="1:9" x14ac:dyDescent="0.25">
      <c r="A81">
        <v>1000</v>
      </c>
      <c r="B81">
        <v>1937.4343260000001</v>
      </c>
      <c r="C81">
        <v>-9.7469490000000008</v>
      </c>
      <c r="D81" t="s">
        <v>481</v>
      </c>
      <c r="E81">
        <f t="shared" si="5"/>
        <v>453.43432600000006</v>
      </c>
      <c r="F81">
        <f t="shared" si="7"/>
        <v>1.8974260000000527</v>
      </c>
      <c r="G81">
        <v>790</v>
      </c>
      <c r="H81">
        <f t="shared" si="8"/>
        <v>0.64049823084473034</v>
      </c>
      <c r="I81">
        <f t="shared" si="6"/>
        <v>7.5691198643949464</v>
      </c>
    </row>
    <row r="82" spans="1:9" x14ac:dyDescent="0.25">
      <c r="A82">
        <v>1000</v>
      </c>
      <c r="B82">
        <v>1936.8342290000001</v>
      </c>
      <c r="C82">
        <v>-9.7234390000000008</v>
      </c>
      <c r="D82" t="s">
        <v>482</v>
      </c>
      <c r="E82">
        <f t="shared" si="5"/>
        <v>452.83422900000005</v>
      </c>
      <c r="F82">
        <f t="shared" si="7"/>
        <v>1.2973290000000475</v>
      </c>
      <c r="G82">
        <v>800</v>
      </c>
      <c r="H82">
        <f t="shared" si="8"/>
        <v>0.26030753546511226</v>
      </c>
      <c r="I82">
        <f t="shared" si="6"/>
        <v>7.5688100784334003</v>
      </c>
    </row>
    <row r="83" spans="1:9" x14ac:dyDescent="0.25">
      <c r="A83">
        <v>1000</v>
      </c>
      <c r="B83">
        <v>1936.0622559999999</v>
      </c>
      <c r="C83">
        <v>-9.6942740000000001</v>
      </c>
      <c r="D83" t="s">
        <v>483</v>
      </c>
      <c r="E83">
        <f t="shared" si="5"/>
        <v>452.06225599999993</v>
      </c>
      <c r="F83">
        <f t="shared" si="7"/>
        <v>0.5253559999999311</v>
      </c>
      <c r="G83">
        <v>810</v>
      </c>
      <c r="H83">
        <f t="shared" si="8"/>
        <v>-0.64367915095524564</v>
      </c>
      <c r="I83">
        <f t="shared" si="6"/>
        <v>7.5684114243442897</v>
      </c>
    </row>
    <row r="84" spans="1:9" x14ac:dyDescent="0.25">
      <c r="A84">
        <v>1000</v>
      </c>
      <c r="B84">
        <v>1935.977905</v>
      </c>
      <c r="C84">
        <v>-9.6617359999999994</v>
      </c>
      <c r="D84" t="s">
        <v>484</v>
      </c>
      <c r="E84">
        <f t="shared" si="5"/>
        <v>451.97790499999996</v>
      </c>
      <c r="F84">
        <f t="shared" si="7"/>
        <v>0.44100499999996146</v>
      </c>
      <c r="G84">
        <v>820</v>
      </c>
      <c r="H84">
        <f t="shared" si="8"/>
        <v>-0.81869906573117091</v>
      </c>
      <c r="I84">
        <f t="shared" si="6"/>
        <v>7.5683678550647855</v>
      </c>
    </row>
    <row r="85" spans="1:9" x14ac:dyDescent="0.25">
      <c r="A85">
        <v>1000</v>
      </c>
      <c r="B85">
        <v>1935.337158</v>
      </c>
      <c r="C85">
        <v>-9.6333070000000003</v>
      </c>
      <c r="D85" t="s">
        <v>485</v>
      </c>
      <c r="E85">
        <f t="shared" si="5"/>
        <v>451.33715800000004</v>
      </c>
      <c r="F85">
        <f t="shared" si="7"/>
        <v>-0.1997419999999579</v>
      </c>
      <c r="G85">
        <v>830</v>
      </c>
      <c r="H85" t="e">
        <f t="shared" si="8"/>
        <v>#NUM!</v>
      </c>
      <c r="I85">
        <f t="shared" si="6"/>
        <v>7.5680368321459976</v>
      </c>
    </row>
    <row r="86" spans="1:9" x14ac:dyDescent="0.25">
      <c r="A86">
        <v>1000</v>
      </c>
      <c r="B86">
        <v>1934.9232179999999</v>
      </c>
      <c r="C86">
        <v>-9.6216550000000005</v>
      </c>
      <c r="D86" t="s">
        <v>486</v>
      </c>
      <c r="E86">
        <f t="shared" si="5"/>
        <v>450.92321799999991</v>
      </c>
      <c r="F86">
        <f t="shared" si="7"/>
        <v>-0.61368200000009665</v>
      </c>
      <c r="G86">
        <v>840</v>
      </c>
      <c r="H86" t="e">
        <f t="shared" si="8"/>
        <v>#NUM!</v>
      </c>
      <c r="I86">
        <f t="shared" si="6"/>
        <v>7.5678229240564301</v>
      </c>
    </row>
    <row r="87" spans="1:9" x14ac:dyDescent="0.25">
      <c r="A87">
        <v>1000</v>
      </c>
      <c r="B87">
        <v>1934.708862</v>
      </c>
      <c r="C87">
        <v>-9.5978180000000002</v>
      </c>
      <c r="D87" t="s">
        <v>487</v>
      </c>
      <c r="E87">
        <f t="shared" si="5"/>
        <v>450.70886199999995</v>
      </c>
      <c r="F87">
        <f t="shared" si="7"/>
        <v>-0.82803800000004912</v>
      </c>
      <c r="G87">
        <v>850</v>
      </c>
      <c r="H87" t="e">
        <f t="shared" si="8"/>
        <v>#NUM!</v>
      </c>
      <c r="I87">
        <f t="shared" si="6"/>
        <v>7.5677121352290753</v>
      </c>
    </row>
    <row r="88" spans="1:9" x14ac:dyDescent="0.25">
      <c r="A88">
        <v>1000</v>
      </c>
      <c r="B88">
        <v>1934.624268</v>
      </c>
      <c r="C88">
        <v>-9.5836109999999994</v>
      </c>
      <c r="D88" t="s">
        <v>205</v>
      </c>
      <c r="E88">
        <f t="shared" si="5"/>
        <v>450.62426800000003</v>
      </c>
      <c r="F88">
        <f t="shared" si="7"/>
        <v>-0.91263199999997369</v>
      </c>
      <c r="G88">
        <v>860</v>
      </c>
      <c r="H88" t="e">
        <f t="shared" si="8"/>
        <v>#NUM!</v>
      </c>
      <c r="I88">
        <f t="shared" si="6"/>
        <v>7.5676684098649512</v>
      </c>
    </row>
    <row r="89" spans="1:9" x14ac:dyDescent="0.25">
      <c r="A89">
        <v>1000</v>
      </c>
      <c r="B89">
        <v>1934.0924070000001</v>
      </c>
      <c r="C89">
        <v>-9.5642139999999998</v>
      </c>
      <c r="D89" t="s">
        <v>488</v>
      </c>
      <c r="E89">
        <f t="shared" si="5"/>
        <v>450.09240700000009</v>
      </c>
      <c r="F89">
        <f t="shared" si="7"/>
        <v>-1.444492999999909</v>
      </c>
      <c r="G89">
        <v>870</v>
      </c>
      <c r="H89" t="e">
        <f t="shared" si="8"/>
        <v>#NUM!</v>
      </c>
      <c r="I89">
        <f t="shared" si="6"/>
        <v>7.5673934551199906</v>
      </c>
    </row>
    <row r="90" spans="1:9" x14ac:dyDescent="0.25">
      <c r="A90">
        <v>1000</v>
      </c>
      <c r="B90">
        <v>1934.260376</v>
      </c>
      <c r="C90">
        <v>-9.5445700000000002</v>
      </c>
      <c r="D90" t="s">
        <v>489</v>
      </c>
      <c r="E90">
        <f t="shared" si="5"/>
        <v>450.26037599999995</v>
      </c>
      <c r="F90">
        <f t="shared" si="7"/>
        <v>-1.2765240000000517</v>
      </c>
      <c r="G90">
        <v>880</v>
      </c>
      <c r="H90" t="e">
        <f t="shared" si="8"/>
        <v>#NUM!</v>
      </c>
      <c r="I90">
        <f t="shared" si="6"/>
        <v>7.5674802977682845</v>
      </c>
    </row>
    <row r="91" spans="1:9" x14ac:dyDescent="0.25">
      <c r="A91">
        <v>1000</v>
      </c>
      <c r="B91">
        <v>1933.060669</v>
      </c>
      <c r="C91">
        <v>-9.4949829999999995</v>
      </c>
      <c r="D91" t="s">
        <v>490</v>
      </c>
      <c r="E91">
        <f t="shared" si="5"/>
        <v>449.06066899999996</v>
      </c>
      <c r="F91">
        <f t="shared" si="7"/>
        <v>-2.4762310000000411</v>
      </c>
      <c r="G91">
        <v>890</v>
      </c>
      <c r="H91" t="e">
        <f t="shared" si="8"/>
        <v>#NUM!</v>
      </c>
      <c r="I91">
        <f t="shared" si="6"/>
        <v>7.5668598646444112</v>
      </c>
    </row>
    <row r="92" spans="1:9" x14ac:dyDescent="0.25">
      <c r="A92">
        <v>1000</v>
      </c>
      <c r="B92">
        <v>1933.540039</v>
      </c>
      <c r="C92">
        <v>-9.5018820000000002</v>
      </c>
      <c r="D92" t="s">
        <v>491</v>
      </c>
      <c r="E92">
        <f t="shared" si="5"/>
        <v>449.54003899999998</v>
      </c>
      <c r="F92">
        <f t="shared" si="7"/>
        <v>-1.996861000000024</v>
      </c>
      <c r="G92">
        <v>900</v>
      </c>
      <c r="H92" t="e">
        <f t="shared" si="8"/>
        <v>#NUM!</v>
      </c>
      <c r="I92">
        <f t="shared" si="6"/>
        <v>7.5671078188753533</v>
      </c>
    </row>
    <row r="93" spans="1:9" x14ac:dyDescent="0.25">
      <c r="A93">
        <v>1000</v>
      </c>
      <c r="B93">
        <v>1932.7501219999999</v>
      </c>
      <c r="C93">
        <v>-9.4765960000000007</v>
      </c>
      <c r="D93" t="s">
        <v>492</v>
      </c>
      <c r="E93">
        <f t="shared" si="5"/>
        <v>448.75012199999992</v>
      </c>
      <c r="F93">
        <f t="shared" si="7"/>
        <v>-2.7867780000000835</v>
      </c>
      <c r="G93">
        <v>910</v>
      </c>
      <c r="H93" t="e">
        <f t="shared" si="8"/>
        <v>#NUM!</v>
      </c>
      <c r="I93">
        <f t="shared" si="6"/>
        <v>7.5666992013230763</v>
      </c>
    </row>
    <row r="94" spans="1:9" x14ac:dyDescent="0.25">
      <c r="A94">
        <v>1000</v>
      </c>
      <c r="B94">
        <v>1932.4539789999999</v>
      </c>
      <c r="C94">
        <v>-9.4429909999999992</v>
      </c>
      <c r="D94" t="s">
        <v>493</v>
      </c>
      <c r="E94">
        <f t="shared" si="5"/>
        <v>448.45397899999989</v>
      </c>
      <c r="F94">
        <f t="shared" si="7"/>
        <v>-3.0829210000001126</v>
      </c>
      <c r="G94">
        <v>920</v>
      </c>
      <c r="H94" t="e">
        <f t="shared" si="8"/>
        <v>#NUM!</v>
      </c>
      <c r="I94">
        <f t="shared" si="6"/>
        <v>7.5665459659477419</v>
      </c>
    </row>
    <row r="95" spans="1:9" x14ac:dyDescent="0.25">
      <c r="A95">
        <v>1000</v>
      </c>
      <c r="B95">
        <v>1932.5892329999999</v>
      </c>
      <c r="C95">
        <v>-9.4391390000000008</v>
      </c>
      <c r="D95" t="s">
        <v>212</v>
      </c>
      <c r="E95">
        <f t="shared" si="5"/>
        <v>448.58923299999992</v>
      </c>
      <c r="F95">
        <f t="shared" si="7"/>
        <v>-2.9476670000000809</v>
      </c>
      <c r="G95">
        <v>930</v>
      </c>
      <c r="H95" t="e">
        <f t="shared" si="8"/>
        <v>#NUM!</v>
      </c>
      <c r="I95">
        <f t="shared" si="6"/>
        <v>7.5666159542985243</v>
      </c>
    </row>
    <row r="96" spans="1:9" x14ac:dyDescent="0.25">
      <c r="A96">
        <v>1000</v>
      </c>
      <c r="B96">
        <v>1931.7150879999999</v>
      </c>
      <c r="C96">
        <v>-9.4135120000000008</v>
      </c>
      <c r="D96" t="s">
        <v>494</v>
      </c>
      <c r="E96">
        <f t="shared" si="5"/>
        <v>447.71508799999992</v>
      </c>
      <c r="F96">
        <f t="shared" si="7"/>
        <v>-3.8218120000000795</v>
      </c>
      <c r="G96">
        <v>940</v>
      </c>
      <c r="H96" t="e">
        <f t="shared" si="8"/>
        <v>#NUM!</v>
      </c>
      <c r="I96">
        <f t="shared" si="6"/>
        <v>7.5661635339184006</v>
      </c>
    </row>
    <row r="97" spans="1:9" x14ac:dyDescent="0.25">
      <c r="A97">
        <v>1000</v>
      </c>
      <c r="B97">
        <v>1932.1687010000001</v>
      </c>
      <c r="C97">
        <v>-9.3864520000000002</v>
      </c>
      <c r="D97" t="s">
        <v>495</v>
      </c>
      <c r="E97">
        <f t="shared" si="5"/>
        <v>448.16870100000006</v>
      </c>
      <c r="F97">
        <f t="shared" si="7"/>
        <v>-3.3681989999999473</v>
      </c>
      <c r="G97">
        <v>950</v>
      </c>
      <c r="H97" t="e">
        <f t="shared" si="8"/>
        <v>#NUM!</v>
      </c>
      <c r="I97">
        <f t="shared" si="6"/>
        <v>7.5663983303185285</v>
      </c>
    </row>
    <row r="98" spans="1:9" x14ac:dyDescent="0.25">
      <c r="A98">
        <v>1000</v>
      </c>
      <c r="B98">
        <v>1931.304932</v>
      </c>
      <c r="C98">
        <v>-9.3721630000000005</v>
      </c>
      <c r="D98" t="s">
        <v>215</v>
      </c>
      <c r="E98">
        <f t="shared" si="5"/>
        <v>447.30493200000001</v>
      </c>
      <c r="F98">
        <f t="shared" si="7"/>
        <v>-4.2319679999999948</v>
      </c>
      <c r="G98">
        <v>960</v>
      </c>
      <c r="H98" t="e">
        <f t="shared" si="8"/>
        <v>#NUM!</v>
      </c>
      <c r="I98">
        <f t="shared" ref="I98:I129" si="9">LN(B98)</f>
        <v>7.5659511839955851</v>
      </c>
    </row>
    <row r="99" spans="1:9" x14ac:dyDescent="0.25">
      <c r="A99">
        <v>1000</v>
      </c>
      <c r="B99">
        <v>1931.6385499999999</v>
      </c>
      <c r="C99">
        <v>-9.3511930000000003</v>
      </c>
      <c r="D99" t="s">
        <v>216</v>
      </c>
      <c r="E99">
        <f t="shared" si="5"/>
        <v>447.6385499999999</v>
      </c>
      <c r="F99">
        <f t="shared" si="7"/>
        <v>-3.8983500000001072</v>
      </c>
      <c r="G99">
        <v>970</v>
      </c>
      <c r="H99" t="e">
        <f t="shared" si="8"/>
        <v>#NUM!</v>
      </c>
      <c r="I99">
        <f t="shared" si="9"/>
        <v>7.5661239113483845</v>
      </c>
    </row>
    <row r="100" spans="1:9" x14ac:dyDescent="0.25">
      <c r="A100">
        <v>1000</v>
      </c>
      <c r="B100">
        <v>1930.7117920000001</v>
      </c>
      <c r="C100">
        <v>-9.3232719999999993</v>
      </c>
      <c r="D100" t="s">
        <v>496</v>
      </c>
      <c r="E100">
        <f t="shared" si="5"/>
        <v>446.71179200000006</v>
      </c>
      <c r="F100">
        <f t="shared" si="7"/>
        <v>-4.8251079999999433</v>
      </c>
      <c r="G100">
        <v>980</v>
      </c>
      <c r="H100" t="e">
        <f t="shared" si="8"/>
        <v>#NUM!</v>
      </c>
      <c r="I100">
        <f t="shared" si="9"/>
        <v>7.5656440180524767</v>
      </c>
    </row>
    <row r="101" spans="1:9" x14ac:dyDescent="0.25">
      <c r="A101">
        <v>1000</v>
      </c>
      <c r="B101">
        <v>1930.6298830000001</v>
      </c>
      <c r="C101">
        <v>-9.3090519999999994</v>
      </c>
      <c r="D101" t="s">
        <v>497</v>
      </c>
      <c r="E101">
        <f t="shared" si="5"/>
        <v>446.62988300000006</v>
      </c>
      <c r="F101">
        <f t="shared" si="7"/>
        <v>-4.9070169999999393</v>
      </c>
      <c r="G101">
        <v>990</v>
      </c>
      <c r="H101" t="e">
        <f t="shared" si="8"/>
        <v>#NUM!</v>
      </c>
      <c r="I101">
        <f t="shared" si="9"/>
        <v>7.565601592902409</v>
      </c>
    </row>
    <row r="102" spans="1:9" x14ac:dyDescent="0.25">
      <c r="A102">
        <v>1000</v>
      </c>
      <c r="B102">
        <v>1930.638428</v>
      </c>
      <c r="C102">
        <v>-9.2906370000000003</v>
      </c>
      <c r="D102" t="s">
        <v>498</v>
      </c>
      <c r="E102">
        <f t="shared" si="5"/>
        <v>446.63842799999998</v>
      </c>
      <c r="F102">
        <f t="shared" si="7"/>
        <v>-4.8984720000000266</v>
      </c>
      <c r="G102">
        <v>1000</v>
      </c>
      <c r="H102" t="e">
        <f t="shared" si="8"/>
        <v>#NUM!</v>
      </c>
      <c r="I102">
        <f t="shared" si="9"/>
        <v>7.5656060189092607</v>
      </c>
    </row>
    <row r="103" spans="1:9" x14ac:dyDescent="0.25">
      <c r="A103">
        <v>1000</v>
      </c>
      <c r="B103">
        <v>1930.5786129999999</v>
      </c>
      <c r="C103">
        <v>-9.2852010000000007</v>
      </c>
      <c r="D103" t="s">
        <v>220</v>
      </c>
      <c r="E103">
        <f t="shared" si="5"/>
        <v>446.5786129999999</v>
      </c>
      <c r="F103">
        <f t="shared" si="7"/>
        <v>-4.958287000000098</v>
      </c>
      <c r="G103">
        <v>1010</v>
      </c>
      <c r="H103" t="e">
        <f t="shared" si="8"/>
        <v>#NUM!</v>
      </c>
      <c r="I103">
        <f t="shared" si="9"/>
        <v>7.5655750364499115</v>
      </c>
    </row>
    <row r="104" spans="1:9" x14ac:dyDescent="0.25">
      <c r="A104">
        <v>1000</v>
      </c>
      <c r="B104">
        <v>1930.1160890000001</v>
      </c>
      <c r="C104">
        <v>-9.2712389999999996</v>
      </c>
      <c r="D104" t="s">
        <v>499</v>
      </c>
      <c r="E104">
        <f t="shared" si="5"/>
        <v>446.1160890000001</v>
      </c>
      <c r="F104">
        <f t="shared" si="7"/>
        <v>-5.420810999999901</v>
      </c>
      <c r="G104">
        <v>1020</v>
      </c>
      <c r="H104" t="e">
        <f t="shared" si="8"/>
        <v>#NUM!</v>
      </c>
      <c r="I104">
        <f t="shared" si="9"/>
        <v>7.5653354298309408</v>
      </c>
    </row>
    <row r="105" spans="1:9" x14ac:dyDescent="0.25">
      <c r="A105">
        <v>1000</v>
      </c>
      <c r="B105">
        <v>1929.9628909999999</v>
      </c>
      <c r="C105">
        <v>-9.2541089999999997</v>
      </c>
      <c r="D105" t="s">
        <v>222</v>
      </c>
      <c r="E105">
        <f t="shared" si="5"/>
        <v>445.9628909999999</v>
      </c>
      <c r="F105">
        <f t="shared" si="7"/>
        <v>-5.5740090000001032</v>
      </c>
      <c r="G105">
        <v>1030</v>
      </c>
      <c r="H105" t="e">
        <f t="shared" si="8"/>
        <v>#NUM!</v>
      </c>
      <c r="I105">
        <f t="shared" si="9"/>
        <v>7.5652560542529415</v>
      </c>
    </row>
    <row r="106" spans="1:9" x14ac:dyDescent="0.25">
      <c r="A106">
        <v>1000</v>
      </c>
      <c r="B106">
        <v>1929.844482</v>
      </c>
      <c r="C106">
        <v>-9.2304770000000005</v>
      </c>
      <c r="D106" t="s">
        <v>500</v>
      </c>
      <c r="E106">
        <f t="shared" si="5"/>
        <v>445.84448199999997</v>
      </c>
      <c r="F106">
        <f t="shared" si="7"/>
        <v>-5.692418000000032</v>
      </c>
      <c r="G106">
        <v>1040</v>
      </c>
      <c r="H106" t="e">
        <f t="shared" si="8"/>
        <v>#NUM!</v>
      </c>
      <c r="I106">
        <f t="shared" si="9"/>
        <v>7.5651946993776358</v>
      </c>
    </row>
    <row r="107" spans="1:9" x14ac:dyDescent="0.25">
      <c r="A107">
        <v>1000</v>
      </c>
      <c r="B107">
        <v>1929.768311</v>
      </c>
      <c r="C107">
        <v>-9.2024179999999998</v>
      </c>
      <c r="D107" t="s">
        <v>501</v>
      </c>
      <c r="E107">
        <f t="shared" si="5"/>
        <v>445.76831100000004</v>
      </c>
      <c r="F107">
        <f t="shared" si="7"/>
        <v>-5.7685889999999631</v>
      </c>
      <c r="G107">
        <v>1050</v>
      </c>
      <c r="H107" t="e">
        <f t="shared" si="8"/>
        <v>#NUM!</v>
      </c>
      <c r="I107">
        <f t="shared" si="9"/>
        <v>7.5651552285788304</v>
      </c>
    </row>
    <row r="108" spans="1:9" x14ac:dyDescent="0.25">
      <c r="A108">
        <v>1000</v>
      </c>
      <c r="B108">
        <v>1929.1788329999999</v>
      </c>
      <c r="C108">
        <v>-9.1832399999999996</v>
      </c>
      <c r="D108" t="s">
        <v>502</v>
      </c>
      <c r="E108">
        <f t="shared" si="5"/>
        <v>445.17883299999994</v>
      </c>
      <c r="F108">
        <f t="shared" si="7"/>
        <v>-6.3580670000000623</v>
      </c>
      <c r="G108">
        <v>1060</v>
      </c>
      <c r="H108" t="e">
        <f t="shared" si="8"/>
        <v>#NUM!</v>
      </c>
      <c r="I108">
        <f t="shared" si="9"/>
        <v>7.5648497162291717</v>
      </c>
    </row>
    <row r="109" spans="1:9" x14ac:dyDescent="0.25">
      <c r="A109">
        <v>1000</v>
      </c>
      <c r="B109">
        <v>1928.856567</v>
      </c>
      <c r="C109">
        <v>-9.1560550000000003</v>
      </c>
      <c r="D109" t="s">
        <v>503</v>
      </c>
      <c r="E109">
        <f t="shared" si="5"/>
        <v>444.85656700000004</v>
      </c>
      <c r="F109">
        <f t="shared" si="7"/>
        <v>-6.6803329999999619</v>
      </c>
      <c r="G109">
        <v>1070</v>
      </c>
      <c r="H109" t="e">
        <f t="shared" si="8"/>
        <v>#NUM!</v>
      </c>
      <c r="I109">
        <f t="shared" si="9"/>
        <v>7.5646826539980951</v>
      </c>
    </row>
    <row r="110" spans="1:9" x14ac:dyDescent="0.25">
      <c r="A110">
        <v>1000</v>
      </c>
      <c r="B110">
        <v>1929.4654539999999</v>
      </c>
      <c r="C110">
        <v>-9.1681310000000007</v>
      </c>
      <c r="D110" t="s">
        <v>227</v>
      </c>
      <c r="E110">
        <f t="shared" si="5"/>
        <v>445.46545399999991</v>
      </c>
      <c r="F110">
        <f t="shared" si="7"/>
        <v>-6.071446000000094</v>
      </c>
      <c r="G110">
        <v>1080</v>
      </c>
      <c r="H110" t="e">
        <f t="shared" si="8"/>
        <v>#NUM!</v>
      </c>
      <c r="I110">
        <f t="shared" si="9"/>
        <v>7.5649982766971542</v>
      </c>
    </row>
    <row r="111" spans="1:9" x14ac:dyDescent="0.25">
      <c r="A111">
        <v>1000</v>
      </c>
      <c r="B111">
        <v>1928.8314210000001</v>
      </c>
      <c r="C111">
        <v>-9.1282160000000001</v>
      </c>
      <c r="D111" t="s">
        <v>504</v>
      </c>
      <c r="E111">
        <f t="shared" si="5"/>
        <v>444.83142100000009</v>
      </c>
      <c r="F111">
        <f t="shared" si="7"/>
        <v>-6.7054789999999116</v>
      </c>
      <c r="G111">
        <v>1090</v>
      </c>
      <c r="H111" t="e">
        <f t="shared" si="8"/>
        <v>#NUM!</v>
      </c>
      <c r="I111">
        <f t="shared" si="9"/>
        <v>7.5646696171739256</v>
      </c>
    </row>
    <row r="112" spans="1:9" x14ac:dyDescent="0.25">
      <c r="A112">
        <v>1000</v>
      </c>
      <c r="B112">
        <v>1929.020874</v>
      </c>
      <c r="C112">
        <v>-9.1219180000000009</v>
      </c>
      <c r="D112" t="s">
        <v>505</v>
      </c>
      <c r="E112">
        <f t="shared" si="5"/>
        <v>445.02087400000005</v>
      </c>
      <c r="F112">
        <f t="shared" si="7"/>
        <v>-6.5160259999999539</v>
      </c>
      <c r="G112">
        <v>1100</v>
      </c>
      <c r="H112" t="e">
        <f t="shared" si="8"/>
        <v>#NUM!</v>
      </c>
      <c r="I112">
        <f t="shared" si="9"/>
        <v>7.5647678339980367</v>
      </c>
    </row>
    <row r="113" spans="1:9" x14ac:dyDescent="0.25">
      <c r="A113">
        <v>1000</v>
      </c>
      <c r="B113">
        <v>1928.770264</v>
      </c>
      <c r="C113">
        <v>-9.0976569999999999</v>
      </c>
      <c r="D113" t="s">
        <v>506</v>
      </c>
      <c r="E113">
        <f t="shared" si="5"/>
        <v>444.770264</v>
      </c>
      <c r="F113">
        <f t="shared" si="7"/>
        <v>-6.7666360000000054</v>
      </c>
      <c r="G113">
        <v>1110</v>
      </c>
      <c r="H113" t="e">
        <f t="shared" si="8"/>
        <v>#NUM!</v>
      </c>
      <c r="I113">
        <f t="shared" si="9"/>
        <v>7.5646379099086349</v>
      </c>
    </row>
    <row r="114" spans="1:9" x14ac:dyDescent="0.25">
      <c r="A114">
        <v>1000</v>
      </c>
      <c r="B114">
        <v>1928.880615</v>
      </c>
      <c r="C114">
        <v>-9.0771390000000007</v>
      </c>
      <c r="D114" t="s">
        <v>507</v>
      </c>
      <c r="E114">
        <f t="shared" si="5"/>
        <v>444.88061500000003</v>
      </c>
      <c r="F114">
        <f t="shared" si="7"/>
        <v>-6.6562849999999685</v>
      </c>
      <c r="G114">
        <v>1120</v>
      </c>
      <c r="H114" t="e">
        <f t="shared" si="8"/>
        <v>#NUM!</v>
      </c>
      <c r="I114">
        <f t="shared" si="9"/>
        <v>7.5646951214103968</v>
      </c>
    </row>
    <row r="115" spans="1:9" x14ac:dyDescent="0.25">
      <c r="A115">
        <v>1000</v>
      </c>
      <c r="B115">
        <v>1928.5113530000001</v>
      </c>
      <c r="C115">
        <v>-9.0430299999999999</v>
      </c>
      <c r="D115" t="s">
        <v>508</v>
      </c>
      <c r="E115">
        <f t="shared" si="5"/>
        <v>444.5113530000001</v>
      </c>
      <c r="F115">
        <f t="shared" si="7"/>
        <v>-7.0255469999999036</v>
      </c>
      <c r="G115">
        <v>1130</v>
      </c>
      <c r="H115" t="e">
        <f t="shared" si="8"/>
        <v>#NUM!</v>
      </c>
      <c r="I115">
        <f t="shared" si="9"/>
        <v>7.564503664589731</v>
      </c>
    </row>
    <row r="116" spans="1:9" x14ac:dyDescent="0.25">
      <c r="A116">
        <v>1000</v>
      </c>
      <c r="B116">
        <v>1928.177856</v>
      </c>
      <c r="C116">
        <v>-9.0183319999999991</v>
      </c>
      <c r="D116" t="s">
        <v>233</v>
      </c>
      <c r="E116">
        <f t="shared" si="5"/>
        <v>444.17785600000002</v>
      </c>
      <c r="F116">
        <f t="shared" si="7"/>
        <v>-7.359043999999983</v>
      </c>
      <c r="G116">
        <v>1140</v>
      </c>
      <c r="H116" t="e">
        <f t="shared" si="8"/>
        <v>#NUM!</v>
      </c>
      <c r="I116">
        <f t="shared" si="9"/>
        <v>7.5643307198784724</v>
      </c>
    </row>
    <row r="117" spans="1:9" x14ac:dyDescent="0.25">
      <c r="A117">
        <v>1000</v>
      </c>
      <c r="B117">
        <v>1928.6226810000001</v>
      </c>
      <c r="C117">
        <v>-9.0225109999999997</v>
      </c>
      <c r="D117" t="s">
        <v>509</v>
      </c>
      <c r="E117">
        <f t="shared" si="5"/>
        <v>444.62268100000006</v>
      </c>
      <c r="F117">
        <f t="shared" si="7"/>
        <v>-6.9142189999999459</v>
      </c>
      <c r="G117">
        <v>1150</v>
      </c>
      <c r="H117" t="e">
        <f t="shared" si="8"/>
        <v>#NUM!</v>
      </c>
      <c r="I117">
        <f t="shared" si="9"/>
        <v>7.5645613903514226</v>
      </c>
    </row>
    <row r="118" spans="1:9" x14ac:dyDescent="0.25">
      <c r="A118">
        <v>1000</v>
      </c>
      <c r="B118">
        <v>1928.255615</v>
      </c>
      <c r="C118">
        <v>-9.0043430000000004</v>
      </c>
      <c r="D118" t="s">
        <v>510</v>
      </c>
      <c r="E118">
        <f t="shared" si="5"/>
        <v>444.25561500000003</v>
      </c>
      <c r="F118">
        <f t="shared" si="7"/>
        <v>-7.2812849999999685</v>
      </c>
      <c r="G118">
        <v>1160</v>
      </c>
      <c r="H118" t="e">
        <f t="shared" si="8"/>
        <v>#NUM!</v>
      </c>
      <c r="I118">
        <f t="shared" si="9"/>
        <v>7.564371046776678</v>
      </c>
    </row>
    <row r="119" spans="1:9" x14ac:dyDescent="0.25">
      <c r="A119">
        <v>1000</v>
      </c>
      <c r="B119">
        <v>1928.5145259999999</v>
      </c>
      <c r="C119">
        <v>-8.9850270000000005</v>
      </c>
      <c r="D119" t="s">
        <v>236</v>
      </c>
      <c r="E119">
        <f t="shared" si="5"/>
        <v>444.51452599999993</v>
      </c>
      <c r="F119">
        <f t="shared" si="7"/>
        <v>-7.0223740000000703</v>
      </c>
      <c r="G119">
        <v>1170</v>
      </c>
      <c r="H119" t="e">
        <f t="shared" si="8"/>
        <v>#NUM!</v>
      </c>
      <c r="I119">
        <f t="shared" si="9"/>
        <v>7.5645053098988884</v>
      </c>
    </row>
    <row r="120" spans="1:9" x14ac:dyDescent="0.25">
      <c r="A120">
        <v>1000</v>
      </c>
      <c r="B120">
        <v>1927.962158</v>
      </c>
      <c r="C120">
        <v>-8.9593179999999997</v>
      </c>
      <c r="D120" t="s">
        <v>237</v>
      </c>
      <c r="E120">
        <f t="shared" si="5"/>
        <v>443.96215800000004</v>
      </c>
      <c r="F120">
        <f t="shared" si="7"/>
        <v>-7.5747419999999579</v>
      </c>
      <c r="G120">
        <v>1180</v>
      </c>
      <c r="H120" t="e">
        <f t="shared" si="8"/>
        <v>#NUM!</v>
      </c>
      <c r="I120">
        <f t="shared" si="9"/>
        <v>7.564218847384506</v>
      </c>
    </row>
    <row r="121" spans="1:9" x14ac:dyDescent="0.25">
      <c r="A121">
        <v>1000</v>
      </c>
      <c r="B121">
        <v>1928.196899</v>
      </c>
      <c r="C121">
        <v>-8.9578570000000006</v>
      </c>
      <c r="D121" t="s">
        <v>238</v>
      </c>
      <c r="E121">
        <f t="shared" si="5"/>
        <v>444.19689900000003</v>
      </c>
      <c r="F121">
        <f t="shared" si="7"/>
        <v>-7.3400009999999725</v>
      </c>
      <c r="G121">
        <v>1190</v>
      </c>
      <c r="H121" t="e">
        <f t="shared" si="8"/>
        <v>#NUM!</v>
      </c>
      <c r="I121">
        <f t="shared" si="9"/>
        <v>7.5643405959933263</v>
      </c>
    </row>
    <row r="122" spans="1:9" x14ac:dyDescent="0.25">
      <c r="A122">
        <v>1000</v>
      </c>
      <c r="B122">
        <v>1927.7771</v>
      </c>
      <c r="C122">
        <v>-8.9235830000000007</v>
      </c>
      <c r="D122" t="s">
        <v>511</v>
      </c>
      <c r="E122">
        <f t="shared" si="5"/>
        <v>443.77710000000002</v>
      </c>
      <c r="F122">
        <f t="shared" si="7"/>
        <v>-7.7597999999999843</v>
      </c>
      <c r="G122">
        <v>1200</v>
      </c>
      <c r="H122" t="e">
        <f t="shared" si="8"/>
        <v>#NUM!</v>
      </c>
      <c r="I122">
        <f t="shared" si="9"/>
        <v>7.56412285645371</v>
      </c>
    </row>
    <row r="123" spans="1:9" x14ac:dyDescent="0.25">
      <c r="A123">
        <v>1000</v>
      </c>
      <c r="B123">
        <v>1928.0462649999999</v>
      </c>
      <c r="C123">
        <v>-8.915578</v>
      </c>
      <c r="D123" t="s">
        <v>512</v>
      </c>
      <c r="E123">
        <f t="shared" si="5"/>
        <v>444.04626499999995</v>
      </c>
      <c r="F123">
        <f t="shared" si="7"/>
        <v>-7.4906350000000543</v>
      </c>
      <c r="G123">
        <v>1210</v>
      </c>
      <c r="H123" t="e">
        <f t="shared" si="8"/>
        <v>#NUM!</v>
      </c>
      <c r="I123">
        <f t="shared" si="9"/>
        <v>7.5642624712518769</v>
      </c>
    </row>
    <row r="124" spans="1:9" x14ac:dyDescent="0.25">
      <c r="A124">
        <v>1000</v>
      </c>
      <c r="B124">
        <v>1928.0126949999999</v>
      </c>
      <c r="C124">
        <v>-8.9061380000000003</v>
      </c>
      <c r="D124" t="s">
        <v>513</v>
      </c>
      <c r="E124">
        <f t="shared" si="5"/>
        <v>444.01269499999989</v>
      </c>
      <c r="F124">
        <f t="shared" si="7"/>
        <v>-7.5242050000001086</v>
      </c>
      <c r="G124">
        <v>1220</v>
      </c>
      <c r="H124" t="e">
        <f t="shared" si="8"/>
        <v>#NUM!</v>
      </c>
      <c r="I124">
        <f t="shared" si="9"/>
        <v>7.5642450596923814</v>
      </c>
    </row>
    <row r="125" spans="1:9" x14ac:dyDescent="0.25">
      <c r="A125">
        <v>1000</v>
      </c>
      <c r="B125">
        <v>1927.5592039999999</v>
      </c>
      <c r="C125">
        <v>-8.8783809999999992</v>
      </c>
      <c r="D125" t="s">
        <v>242</v>
      </c>
      <c r="E125">
        <f t="shared" si="5"/>
        <v>443.55920399999991</v>
      </c>
      <c r="F125">
        <f t="shared" si="7"/>
        <v>-7.977696000000094</v>
      </c>
      <c r="G125">
        <v>1230</v>
      </c>
      <c r="H125" t="e">
        <f t="shared" si="8"/>
        <v>#NUM!</v>
      </c>
      <c r="I125">
        <f t="shared" si="9"/>
        <v>7.5640098204002761</v>
      </c>
    </row>
    <row r="126" spans="1:9" x14ac:dyDescent="0.25">
      <c r="A126">
        <v>1000</v>
      </c>
      <c r="B126">
        <v>1927.569702</v>
      </c>
      <c r="C126">
        <v>-8.873723</v>
      </c>
      <c r="D126" t="s">
        <v>243</v>
      </c>
      <c r="E126">
        <f t="shared" si="5"/>
        <v>443.56970200000001</v>
      </c>
      <c r="F126">
        <f t="shared" si="7"/>
        <v>-7.9671979999999962</v>
      </c>
      <c r="G126">
        <v>1240</v>
      </c>
      <c r="H126" t="e">
        <f t="shared" si="8"/>
        <v>#NUM!</v>
      </c>
      <c r="I126">
        <f t="shared" si="9"/>
        <v>7.5640152666513645</v>
      </c>
    </row>
    <row r="127" spans="1:9" x14ac:dyDescent="0.25">
      <c r="A127">
        <v>1000</v>
      </c>
      <c r="B127">
        <v>1927.887817</v>
      </c>
      <c r="C127">
        <v>-8.8727250000000009</v>
      </c>
      <c r="D127" t="s">
        <v>244</v>
      </c>
      <c r="E127">
        <f t="shared" si="5"/>
        <v>443.88781700000004</v>
      </c>
      <c r="F127">
        <f t="shared" si="7"/>
        <v>-7.6490829999999619</v>
      </c>
      <c r="G127">
        <v>1250</v>
      </c>
      <c r="H127" t="e">
        <f t="shared" si="8"/>
        <v>#NUM!</v>
      </c>
      <c r="I127">
        <f t="shared" si="9"/>
        <v>7.5641802872742883</v>
      </c>
    </row>
    <row r="128" spans="1:9" x14ac:dyDescent="0.25">
      <c r="A128">
        <v>1000</v>
      </c>
      <c r="B128">
        <v>1927.4638669999999</v>
      </c>
      <c r="C128">
        <v>-8.8522350000000003</v>
      </c>
      <c r="D128" t="s">
        <v>514</v>
      </c>
      <c r="E128">
        <f t="shared" si="5"/>
        <v>443.46386699999994</v>
      </c>
      <c r="F128">
        <f t="shared" si="7"/>
        <v>-8.0730330000000663</v>
      </c>
      <c r="G128">
        <v>1260</v>
      </c>
      <c r="H128" t="e">
        <f t="shared" si="8"/>
        <v>#NUM!</v>
      </c>
      <c r="I128">
        <f t="shared" si="9"/>
        <v>7.5639603592176767</v>
      </c>
    </row>
    <row r="129" spans="1:9" x14ac:dyDescent="0.25">
      <c r="A129">
        <v>1000</v>
      </c>
      <c r="B129">
        <v>1927.298462</v>
      </c>
      <c r="C129">
        <v>-8.828424</v>
      </c>
      <c r="D129" t="s">
        <v>246</v>
      </c>
      <c r="E129">
        <f t="shared" si="5"/>
        <v>443.29846199999997</v>
      </c>
      <c r="F129">
        <f t="shared" si="7"/>
        <v>-8.2384380000000306</v>
      </c>
      <c r="G129">
        <v>1270</v>
      </c>
      <c r="H129" t="e">
        <f t="shared" si="8"/>
        <v>#NUM!</v>
      </c>
      <c r="I129">
        <f t="shared" si="9"/>
        <v>7.5638745406971122</v>
      </c>
    </row>
    <row r="130" spans="1:9" x14ac:dyDescent="0.25">
      <c r="A130">
        <v>1000</v>
      </c>
      <c r="B130">
        <v>1927.785034</v>
      </c>
      <c r="C130">
        <v>-8.8192310000000003</v>
      </c>
      <c r="D130" t="s">
        <v>247</v>
      </c>
      <c r="E130">
        <f t="shared" ref="E130:E191" si="10">B130-$P$3</f>
        <v>443.785034</v>
      </c>
      <c r="F130">
        <f t="shared" si="7"/>
        <v>-7.7518660000000068</v>
      </c>
      <c r="G130">
        <v>1280</v>
      </c>
      <c r="H130" t="e">
        <f t="shared" si="8"/>
        <v>#NUM!</v>
      </c>
      <c r="I130">
        <f t="shared" ref="I130:I161" si="11">LN(B130)</f>
        <v>7.5641269720662843</v>
      </c>
    </row>
    <row r="131" spans="1:9" x14ac:dyDescent="0.25">
      <c r="A131">
        <v>1000</v>
      </c>
      <c r="B131">
        <v>1927.342529</v>
      </c>
      <c r="C131">
        <v>-8.8028250000000003</v>
      </c>
      <c r="D131" t="s">
        <v>515</v>
      </c>
      <c r="E131">
        <f t="shared" si="10"/>
        <v>443.34252900000001</v>
      </c>
      <c r="F131">
        <f t="shared" ref="F131:F191" si="12">E131-$R$3</f>
        <v>-8.1943709999999896</v>
      </c>
      <c r="G131">
        <v>1290</v>
      </c>
      <c r="H131" t="e">
        <f t="shared" ref="H131:H191" si="13">LN(F131)</f>
        <v>#NUM!</v>
      </c>
      <c r="I131">
        <f t="shared" si="11"/>
        <v>7.5638974050832406</v>
      </c>
    </row>
    <row r="132" spans="1:9" x14ac:dyDescent="0.25">
      <c r="A132">
        <v>1000</v>
      </c>
      <c r="B132">
        <v>1927.890259</v>
      </c>
      <c r="C132">
        <v>-8.7874569999999999</v>
      </c>
      <c r="D132" t="s">
        <v>516</v>
      </c>
      <c r="E132">
        <f t="shared" si="10"/>
        <v>443.89025900000001</v>
      </c>
      <c r="F132">
        <f t="shared" si="12"/>
        <v>-7.6466409999999883</v>
      </c>
      <c r="G132">
        <v>1300</v>
      </c>
      <c r="H132" t="e">
        <f t="shared" si="13"/>
        <v>#NUM!</v>
      </c>
      <c r="I132">
        <f t="shared" si="11"/>
        <v>7.5641815539446995</v>
      </c>
    </row>
    <row r="133" spans="1:9" x14ac:dyDescent="0.25">
      <c r="A133">
        <v>1000</v>
      </c>
      <c r="B133">
        <v>1927.3602289999999</v>
      </c>
      <c r="C133">
        <v>-8.7843689999999999</v>
      </c>
      <c r="D133" t="s">
        <v>250</v>
      </c>
      <c r="E133">
        <f t="shared" si="10"/>
        <v>443.36022899999989</v>
      </c>
      <c r="F133">
        <f t="shared" si="12"/>
        <v>-8.1766710000001126</v>
      </c>
      <c r="G133">
        <v>1310</v>
      </c>
      <c r="H133" t="e">
        <f t="shared" si="13"/>
        <v>#NUM!</v>
      </c>
      <c r="I133">
        <f t="shared" si="11"/>
        <v>7.563906588670724</v>
      </c>
    </row>
    <row r="134" spans="1:9" x14ac:dyDescent="0.25">
      <c r="A134">
        <v>1000</v>
      </c>
      <c r="B134">
        <v>1927.450439</v>
      </c>
      <c r="C134">
        <v>-8.7550279999999994</v>
      </c>
      <c r="D134" t="s">
        <v>517</v>
      </c>
      <c r="E134">
        <f t="shared" si="10"/>
        <v>443.45043899999996</v>
      </c>
      <c r="F134">
        <f t="shared" si="12"/>
        <v>-8.0864610000000425</v>
      </c>
      <c r="G134">
        <v>1320</v>
      </c>
      <c r="H134" t="e">
        <f t="shared" si="13"/>
        <v>#NUM!</v>
      </c>
      <c r="I134">
        <f t="shared" si="11"/>
        <v>7.5639533925258471</v>
      </c>
    </row>
    <row r="135" spans="1:9" x14ac:dyDescent="0.25">
      <c r="A135">
        <v>1000</v>
      </c>
      <c r="B135">
        <v>1927.6170649999999</v>
      </c>
      <c r="C135">
        <v>-8.7399330000000006</v>
      </c>
      <c r="D135" t="s">
        <v>518</v>
      </c>
      <c r="E135">
        <f t="shared" si="10"/>
        <v>443.61706499999991</v>
      </c>
      <c r="F135">
        <f t="shared" si="12"/>
        <v>-7.9198350000000914</v>
      </c>
      <c r="G135">
        <v>1330</v>
      </c>
      <c r="H135" t="e">
        <f t="shared" si="13"/>
        <v>#NUM!</v>
      </c>
      <c r="I135">
        <f t="shared" si="11"/>
        <v>7.5640398377047866</v>
      </c>
    </row>
    <row r="136" spans="1:9" x14ac:dyDescent="0.25">
      <c r="A136">
        <v>1000</v>
      </c>
      <c r="B136">
        <v>1927.0706789999999</v>
      </c>
      <c r="C136">
        <v>-8.7164370000000009</v>
      </c>
      <c r="D136" t="s">
        <v>519</v>
      </c>
      <c r="E136">
        <f t="shared" si="10"/>
        <v>443.07067899999993</v>
      </c>
      <c r="F136">
        <f t="shared" si="12"/>
        <v>-8.4662210000000755</v>
      </c>
      <c r="G136">
        <v>1340</v>
      </c>
      <c r="H136" t="e">
        <f t="shared" si="13"/>
        <v>#NUM!</v>
      </c>
      <c r="I136">
        <f t="shared" si="11"/>
        <v>7.563756345998093</v>
      </c>
    </row>
    <row r="137" spans="1:9" x14ac:dyDescent="0.25">
      <c r="A137">
        <v>1000</v>
      </c>
      <c r="B137">
        <v>1927.512207</v>
      </c>
      <c r="C137">
        <v>-8.7184720000000002</v>
      </c>
      <c r="D137" t="s">
        <v>520</v>
      </c>
      <c r="E137">
        <f t="shared" si="10"/>
        <v>443.51220699999999</v>
      </c>
      <c r="F137">
        <f t="shared" si="12"/>
        <v>-8.0246930000000134</v>
      </c>
      <c r="G137">
        <v>1350</v>
      </c>
      <c r="H137" t="e">
        <f t="shared" si="13"/>
        <v>#NUM!</v>
      </c>
      <c r="I137">
        <f t="shared" si="11"/>
        <v>7.5639854384913603</v>
      </c>
    </row>
    <row r="138" spans="1:9" x14ac:dyDescent="0.25">
      <c r="A138">
        <v>1000</v>
      </c>
      <c r="B138">
        <v>1927.6572269999999</v>
      </c>
      <c r="C138">
        <v>-8.7052490000000002</v>
      </c>
      <c r="D138" t="s">
        <v>521</v>
      </c>
      <c r="E138">
        <f t="shared" si="10"/>
        <v>443.65722699999992</v>
      </c>
      <c r="F138">
        <f t="shared" si="12"/>
        <v>-7.8796730000000821</v>
      </c>
      <c r="G138">
        <v>1360</v>
      </c>
      <c r="H138" t="e">
        <f t="shared" si="13"/>
        <v>#NUM!</v>
      </c>
      <c r="I138">
        <f t="shared" si="11"/>
        <v>7.5640606725388135</v>
      </c>
    </row>
    <row r="139" spans="1:9" x14ac:dyDescent="0.25">
      <c r="A139">
        <v>1000</v>
      </c>
      <c r="B139">
        <v>1927.3291019999999</v>
      </c>
      <c r="C139">
        <v>-8.6804959999999998</v>
      </c>
      <c r="D139" t="s">
        <v>522</v>
      </c>
      <c r="E139">
        <f t="shared" si="10"/>
        <v>443.32910199999992</v>
      </c>
      <c r="F139">
        <f t="shared" si="12"/>
        <v>-8.2077980000000821</v>
      </c>
      <c r="G139">
        <v>1370</v>
      </c>
      <c r="H139" t="e">
        <f t="shared" si="13"/>
        <v>#NUM!</v>
      </c>
      <c r="I139">
        <f t="shared" si="11"/>
        <v>7.5638904384716659</v>
      </c>
    </row>
    <row r="140" spans="1:9" x14ac:dyDescent="0.25">
      <c r="A140">
        <v>1000</v>
      </c>
      <c r="B140">
        <v>1927.58728</v>
      </c>
      <c r="C140">
        <v>-8.6772320000000001</v>
      </c>
      <c r="D140" t="s">
        <v>523</v>
      </c>
      <c r="E140">
        <f t="shared" si="10"/>
        <v>443.58727999999996</v>
      </c>
      <c r="F140">
        <f t="shared" si="12"/>
        <v>-7.9496200000000385</v>
      </c>
      <c r="G140">
        <v>1380</v>
      </c>
      <c r="H140" t="e">
        <f t="shared" si="13"/>
        <v>#NUM!</v>
      </c>
      <c r="I140">
        <f t="shared" si="11"/>
        <v>7.5640243858649692</v>
      </c>
    </row>
    <row r="141" spans="1:9" x14ac:dyDescent="0.25">
      <c r="A141">
        <v>1000</v>
      </c>
      <c r="B141">
        <v>1927.227783</v>
      </c>
      <c r="C141">
        <v>-8.6613450000000007</v>
      </c>
      <c r="D141" t="s">
        <v>524</v>
      </c>
      <c r="E141">
        <f t="shared" si="10"/>
        <v>443.22778300000004</v>
      </c>
      <c r="F141">
        <f t="shared" si="12"/>
        <v>-8.3091169999999579</v>
      </c>
      <c r="G141">
        <v>1390</v>
      </c>
      <c r="H141" t="e">
        <f t="shared" si="13"/>
        <v>#NUM!</v>
      </c>
      <c r="I141">
        <f t="shared" si="11"/>
        <v>7.5638378674483056</v>
      </c>
    </row>
    <row r="142" spans="1:9" x14ac:dyDescent="0.25">
      <c r="A142">
        <v>1000</v>
      </c>
      <c r="B142">
        <v>1927.6329350000001</v>
      </c>
      <c r="C142">
        <v>-8.6676830000000002</v>
      </c>
      <c r="D142" t="s">
        <v>525</v>
      </c>
      <c r="E142">
        <f t="shared" si="10"/>
        <v>443.63293500000009</v>
      </c>
      <c r="F142">
        <f t="shared" si="12"/>
        <v>-7.9039649999999142</v>
      </c>
      <c r="G142">
        <v>1400</v>
      </c>
      <c r="H142" t="e">
        <f t="shared" si="13"/>
        <v>#NUM!</v>
      </c>
      <c r="I142">
        <f t="shared" si="11"/>
        <v>7.564048070633909</v>
      </c>
    </row>
    <row r="143" spans="1:9" x14ac:dyDescent="0.25">
      <c r="A143">
        <v>1000</v>
      </c>
      <c r="B143">
        <v>1927.5738530000001</v>
      </c>
      <c r="C143">
        <v>-8.6510169999999995</v>
      </c>
      <c r="D143" t="s">
        <v>526</v>
      </c>
      <c r="E143">
        <f t="shared" si="10"/>
        <v>443.5738530000001</v>
      </c>
      <c r="F143">
        <f t="shared" si="12"/>
        <v>-7.9630469999999036</v>
      </c>
      <c r="G143">
        <v>1410</v>
      </c>
      <c r="H143" t="e">
        <f t="shared" si="13"/>
        <v>#NUM!</v>
      </c>
      <c r="I143">
        <f t="shared" si="11"/>
        <v>7.5640174201379677</v>
      </c>
    </row>
    <row r="144" spans="1:9" x14ac:dyDescent="0.25">
      <c r="A144">
        <v>1000</v>
      </c>
      <c r="B144">
        <v>1927.44812</v>
      </c>
      <c r="C144">
        <v>-8.6457719999999991</v>
      </c>
      <c r="D144" t="s">
        <v>527</v>
      </c>
      <c r="E144">
        <f t="shared" si="10"/>
        <v>443.44812000000002</v>
      </c>
      <c r="F144">
        <f t="shared" si="12"/>
        <v>-8.0887799999999856</v>
      </c>
      <c r="G144">
        <v>1420</v>
      </c>
      <c r="H144" t="e">
        <f t="shared" si="13"/>
        <v>#NUM!</v>
      </c>
      <c r="I144">
        <f t="shared" si="11"/>
        <v>7.5639521893813466</v>
      </c>
    </row>
    <row r="145" spans="1:9" x14ac:dyDescent="0.25">
      <c r="A145">
        <v>1000</v>
      </c>
      <c r="B145">
        <v>1927.2285159999999</v>
      </c>
      <c r="C145">
        <v>-8.6058839999999996</v>
      </c>
      <c r="D145" t="s">
        <v>528</v>
      </c>
      <c r="E145">
        <f t="shared" si="10"/>
        <v>443.2285159999999</v>
      </c>
      <c r="F145">
        <f t="shared" si="12"/>
        <v>-8.3083840000001032</v>
      </c>
      <c r="G145">
        <v>1430</v>
      </c>
      <c r="H145" t="e">
        <f t="shared" si="13"/>
        <v>#NUM!</v>
      </c>
      <c r="I145">
        <f t="shared" si="11"/>
        <v>7.5638382477872907</v>
      </c>
    </row>
    <row r="146" spans="1:9" x14ac:dyDescent="0.25">
      <c r="A146">
        <v>1000</v>
      </c>
      <c r="B146">
        <v>1927.555664</v>
      </c>
      <c r="C146">
        <v>-8.6140249999999998</v>
      </c>
      <c r="D146" t="s">
        <v>263</v>
      </c>
      <c r="E146">
        <f t="shared" si="10"/>
        <v>443.55566399999998</v>
      </c>
      <c r="F146">
        <f t="shared" si="12"/>
        <v>-7.981236000000024</v>
      </c>
      <c r="G146">
        <v>1440</v>
      </c>
      <c r="H146" t="e">
        <f t="shared" si="13"/>
        <v>#NUM!</v>
      </c>
      <c r="I146">
        <f t="shared" si="11"/>
        <v>7.5640079838791232</v>
      </c>
    </row>
    <row r="147" spans="1:9" x14ac:dyDescent="0.25">
      <c r="A147">
        <v>1000</v>
      </c>
      <c r="B147">
        <v>1927.0649410000001</v>
      </c>
      <c r="C147">
        <v>-8.6066760000000002</v>
      </c>
      <c r="D147" t="s">
        <v>529</v>
      </c>
      <c r="E147">
        <f t="shared" si="10"/>
        <v>443.06494100000009</v>
      </c>
      <c r="F147">
        <f t="shared" si="12"/>
        <v>-8.471958999999913</v>
      </c>
      <c r="G147">
        <v>1450</v>
      </c>
      <c r="H147" t="e">
        <f t="shared" si="13"/>
        <v>#NUM!</v>
      </c>
      <c r="I147">
        <f t="shared" si="11"/>
        <v>7.5637533684173501</v>
      </c>
    </row>
    <row r="148" spans="1:9" x14ac:dyDescent="0.25">
      <c r="A148">
        <v>1000</v>
      </c>
      <c r="B148">
        <v>1927.6635739999999</v>
      </c>
      <c r="C148">
        <v>-8.5822929999999999</v>
      </c>
      <c r="D148" t="s">
        <v>530</v>
      </c>
      <c r="E148">
        <f t="shared" si="10"/>
        <v>443.66357399999993</v>
      </c>
      <c r="F148">
        <f t="shared" si="12"/>
        <v>-7.8733260000000769</v>
      </c>
      <c r="G148">
        <v>1460</v>
      </c>
      <c r="H148" t="e">
        <f t="shared" si="13"/>
        <v>#NUM!</v>
      </c>
      <c r="I148">
        <f t="shared" si="11"/>
        <v>7.564063965131222</v>
      </c>
    </row>
    <row r="149" spans="1:9" x14ac:dyDescent="0.25">
      <c r="A149">
        <v>1000</v>
      </c>
      <c r="B149">
        <v>1927.2823490000001</v>
      </c>
      <c r="C149">
        <v>-8.5414200000000005</v>
      </c>
      <c r="D149" t="s">
        <v>531</v>
      </c>
      <c r="E149">
        <f t="shared" si="10"/>
        <v>443.28234900000007</v>
      </c>
      <c r="F149">
        <f t="shared" si="12"/>
        <v>-8.2545509999999354</v>
      </c>
      <c r="G149">
        <v>1470</v>
      </c>
      <c r="H149" t="e">
        <f t="shared" si="13"/>
        <v>#NUM!</v>
      </c>
      <c r="I149">
        <f t="shared" si="11"/>
        <v>7.5638661802549318</v>
      </c>
    </row>
    <row r="150" spans="1:9" x14ac:dyDescent="0.25">
      <c r="A150">
        <v>1000</v>
      </c>
      <c r="B150">
        <v>1927.498047</v>
      </c>
      <c r="C150">
        <v>-8.5562009999999997</v>
      </c>
      <c r="D150" t="s">
        <v>267</v>
      </c>
      <c r="E150">
        <f t="shared" si="10"/>
        <v>443.49804700000004</v>
      </c>
      <c r="F150">
        <f t="shared" si="12"/>
        <v>-8.0388529999999605</v>
      </c>
      <c r="G150">
        <v>1480</v>
      </c>
      <c r="H150" t="e">
        <f t="shared" si="13"/>
        <v>#NUM!</v>
      </c>
      <c r="I150">
        <f t="shared" si="11"/>
        <v>7.5639780922073996</v>
      </c>
    </row>
    <row r="151" spans="1:9" x14ac:dyDescent="0.25">
      <c r="A151">
        <v>1000</v>
      </c>
      <c r="B151">
        <v>1927.575928</v>
      </c>
      <c r="C151">
        <v>-8.5561600000000002</v>
      </c>
      <c r="D151" t="s">
        <v>532</v>
      </c>
      <c r="E151">
        <f t="shared" si="10"/>
        <v>443.57592799999998</v>
      </c>
      <c r="F151">
        <f t="shared" si="12"/>
        <v>-7.9609720000000266</v>
      </c>
      <c r="G151">
        <v>1490</v>
      </c>
      <c r="H151" t="e">
        <f t="shared" si="13"/>
        <v>#NUM!</v>
      </c>
      <c r="I151">
        <f t="shared" si="11"/>
        <v>7.5640184966201369</v>
      </c>
    </row>
    <row r="152" spans="1:9" x14ac:dyDescent="0.25">
      <c r="A152">
        <v>1000</v>
      </c>
      <c r="B152">
        <v>1927.446289</v>
      </c>
      <c r="C152">
        <v>-8.5258199999999995</v>
      </c>
      <c r="D152" t="s">
        <v>269</v>
      </c>
      <c r="E152">
        <f t="shared" si="10"/>
        <v>443.44628899999998</v>
      </c>
      <c r="F152">
        <f t="shared" si="12"/>
        <v>-8.090611000000024</v>
      </c>
      <c r="G152">
        <v>1500</v>
      </c>
      <c r="H152" t="e">
        <f t="shared" si="13"/>
        <v>#NUM!</v>
      </c>
      <c r="I152">
        <f t="shared" si="11"/>
        <v>7.5639512394201773</v>
      </c>
    </row>
    <row r="153" spans="1:9" x14ac:dyDescent="0.25">
      <c r="A153">
        <v>1000</v>
      </c>
      <c r="B153">
        <v>1927.5886230000001</v>
      </c>
      <c r="C153">
        <v>-8.5286749999999998</v>
      </c>
      <c r="D153" t="s">
        <v>533</v>
      </c>
      <c r="E153">
        <f t="shared" si="10"/>
        <v>443.5886230000001</v>
      </c>
      <c r="F153">
        <f t="shared" si="12"/>
        <v>-7.948276999999905</v>
      </c>
      <c r="G153">
        <v>1510</v>
      </c>
      <c r="H153" t="e">
        <f t="shared" si="13"/>
        <v>#NUM!</v>
      </c>
      <c r="I153">
        <f t="shared" si="11"/>
        <v>7.5640250825906357</v>
      </c>
    </row>
    <row r="154" spans="1:9" x14ac:dyDescent="0.25">
      <c r="A154">
        <v>1000</v>
      </c>
      <c r="B154">
        <v>1927.309448</v>
      </c>
      <c r="C154">
        <v>-8.5110119999999991</v>
      </c>
      <c r="D154" t="s">
        <v>534</v>
      </c>
      <c r="E154">
        <f t="shared" si="10"/>
        <v>443.30944799999997</v>
      </c>
      <c r="F154">
        <f t="shared" si="12"/>
        <v>-8.227452000000028</v>
      </c>
      <c r="G154">
        <v>1520</v>
      </c>
      <c r="H154" t="e">
        <f t="shared" si="13"/>
        <v>#NUM!</v>
      </c>
      <c r="I154">
        <f t="shared" si="11"/>
        <v>7.5638802408877703</v>
      </c>
    </row>
    <row r="155" spans="1:9" x14ac:dyDescent="0.25">
      <c r="A155">
        <v>1000</v>
      </c>
      <c r="B155">
        <v>1927.5373540000001</v>
      </c>
      <c r="C155">
        <v>-8.4982939999999996</v>
      </c>
      <c r="D155" t="s">
        <v>272</v>
      </c>
      <c r="E155">
        <f t="shared" si="10"/>
        <v>443.53735400000005</v>
      </c>
      <c r="F155">
        <f t="shared" si="12"/>
        <v>-7.9995459999999525</v>
      </c>
      <c r="G155">
        <v>1530</v>
      </c>
      <c r="H155" t="e">
        <f t="shared" si="13"/>
        <v>#NUM!</v>
      </c>
      <c r="I155">
        <f t="shared" si="11"/>
        <v>7.563998484756838</v>
      </c>
    </row>
    <row r="156" spans="1:9" x14ac:dyDescent="0.25">
      <c r="A156">
        <v>1000</v>
      </c>
      <c r="B156">
        <v>1927.4738769999999</v>
      </c>
      <c r="C156">
        <v>-8.495412</v>
      </c>
      <c r="D156" t="s">
        <v>535</v>
      </c>
      <c r="E156">
        <f t="shared" si="10"/>
        <v>443.4738769999999</v>
      </c>
      <c r="F156">
        <f t="shared" si="12"/>
        <v>-8.0630230000001006</v>
      </c>
      <c r="G156">
        <v>1540</v>
      </c>
      <c r="H156" t="e">
        <f t="shared" si="13"/>
        <v>#NUM!</v>
      </c>
      <c r="I156">
        <f t="shared" si="11"/>
        <v>7.5639655525570584</v>
      </c>
    </row>
    <row r="157" spans="1:9" x14ac:dyDescent="0.25">
      <c r="A157">
        <v>1000</v>
      </c>
      <c r="B157">
        <v>1927.3442379999999</v>
      </c>
      <c r="C157">
        <v>-8.4650580000000009</v>
      </c>
      <c r="D157" t="s">
        <v>274</v>
      </c>
      <c r="E157">
        <f t="shared" si="10"/>
        <v>443.3442379999999</v>
      </c>
      <c r="F157">
        <f t="shared" si="12"/>
        <v>-8.192662000000098</v>
      </c>
      <c r="G157">
        <v>1550</v>
      </c>
      <c r="H157" t="e">
        <f t="shared" si="13"/>
        <v>#NUM!</v>
      </c>
      <c r="I157">
        <f t="shared" si="11"/>
        <v>7.5638982917960149</v>
      </c>
    </row>
    <row r="158" spans="1:9" x14ac:dyDescent="0.25">
      <c r="A158">
        <v>1000</v>
      </c>
      <c r="B158">
        <v>1927.343018</v>
      </c>
      <c r="C158">
        <v>-8.4645399999999995</v>
      </c>
      <c r="D158" t="s">
        <v>536</v>
      </c>
      <c r="E158">
        <f t="shared" si="10"/>
        <v>443.34301800000003</v>
      </c>
      <c r="F158">
        <f t="shared" si="12"/>
        <v>-8.1938819999999737</v>
      </c>
      <c r="G158">
        <v>1560</v>
      </c>
      <c r="H158" t="e">
        <f t="shared" si="13"/>
        <v>#NUM!</v>
      </c>
      <c r="I158">
        <f t="shared" si="11"/>
        <v>7.5638976588004345</v>
      </c>
    </row>
    <row r="159" spans="1:9" x14ac:dyDescent="0.25">
      <c r="A159">
        <v>1000</v>
      </c>
      <c r="B159">
        <v>1927.640991</v>
      </c>
      <c r="C159">
        <v>-8.4409890000000001</v>
      </c>
      <c r="D159" t="s">
        <v>537</v>
      </c>
      <c r="E159">
        <f t="shared" si="10"/>
        <v>443.64099099999999</v>
      </c>
      <c r="F159">
        <f t="shared" si="12"/>
        <v>-7.8959090000000174</v>
      </c>
      <c r="G159">
        <v>1570</v>
      </c>
      <c r="H159" t="e">
        <f t="shared" si="13"/>
        <v>#NUM!</v>
      </c>
      <c r="I159">
        <f t="shared" si="11"/>
        <v>7.564052249844079</v>
      </c>
    </row>
    <row r="160" spans="1:9" x14ac:dyDescent="0.25">
      <c r="A160">
        <v>1000</v>
      </c>
      <c r="B160">
        <v>1927.9537350000001</v>
      </c>
      <c r="C160">
        <v>-8.4515209999999996</v>
      </c>
      <c r="D160" t="s">
        <v>277</v>
      </c>
      <c r="E160">
        <f t="shared" si="10"/>
        <v>443.95373500000005</v>
      </c>
      <c r="F160">
        <f t="shared" si="12"/>
        <v>-7.5831649999999513</v>
      </c>
      <c r="G160">
        <v>1580</v>
      </c>
      <c r="H160" t="e">
        <f t="shared" si="13"/>
        <v>#NUM!</v>
      </c>
      <c r="I160">
        <f t="shared" si="11"/>
        <v>7.5642144785132786</v>
      </c>
    </row>
    <row r="161" spans="1:9" x14ac:dyDescent="0.25">
      <c r="A161">
        <v>1000</v>
      </c>
      <c r="B161">
        <v>1927.7380370000001</v>
      </c>
      <c r="C161">
        <v>-8.4367680000000007</v>
      </c>
      <c r="D161" t="s">
        <v>538</v>
      </c>
      <c r="E161">
        <f t="shared" si="10"/>
        <v>443.73803700000008</v>
      </c>
      <c r="F161">
        <f t="shared" si="12"/>
        <v>-7.7988629999999262</v>
      </c>
      <c r="G161">
        <v>1590</v>
      </c>
      <c r="H161" t="e">
        <f t="shared" si="13"/>
        <v>#NUM!</v>
      </c>
      <c r="I161">
        <f t="shared" si="11"/>
        <v>7.5641025930136179</v>
      </c>
    </row>
    <row r="162" spans="1:9" x14ac:dyDescent="0.25">
      <c r="A162">
        <v>1000</v>
      </c>
      <c r="B162">
        <v>1928.1716309999999</v>
      </c>
      <c r="C162">
        <v>-8.4274789999999999</v>
      </c>
      <c r="D162" t="s">
        <v>279</v>
      </c>
      <c r="E162">
        <f t="shared" si="10"/>
        <v>444.17163099999993</v>
      </c>
      <c r="F162">
        <f t="shared" si="12"/>
        <v>-7.3652690000000689</v>
      </c>
      <c r="G162">
        <v>1600</v>
      </c>
      <c r="H162" t="e">
        <f t="shared" si="13"/>
        <v>#NUM!</v>
      </c>
      <c r="I162">
        <f t="shared" ref="I162:I187" si="14">LN(B162)</f>
        <v>7.5643274914366412</v>
      </c>
    </row>
    <row r="163" spans="1:9" x14ac:dyDescent="0.25">
      <c r="A163">
        <v>1000</v>
      </c>
      <c r="B163">
        <v>1928.3551030000001</v>
      </c>
      <c r="C163">
        <v>-8.4100210000000004</v>
      </c>
      <c r="D163" t="s">
        <v>280</v>
      </c>
      <c r="E163">
        <f t="shared" si="10"/>
        <v>444.3551030000001</v>
      </c>
      <c r="F163">
        <f t="shared" si="12"/>
        <v>-7.1817969999999036</v>
      </c>
      <c r="G163">
        <v>1610</v>
      </c>
      <c r="H163" t="e">
        <f t="shared" si="13"/>
        <v>#NUM!</v>
      </c>
      <c r="I163">
        <f t="shared" si="14"/>
        <v>7.5644226402650006</v>
      </c>
    </row>
    <row r="164" spans="1:9" x14ac:dyDescent="0.25">
      <c r="A164">
        <v>1000</v>
      </c>
      <c r="B164">
        <v>1927.6842039999999</v>
      </c>
      <c r="C164">
        <v>-8.3789709999999999</v>
      </c>
      <c r="D164" t="s">
        <v>281</v>
      </c>
      <c r="E164">
        <f t="shared" si="10"/>
        <v>443.68420399999991</v>
      </c>
      <c r="F164">
        <f t="shared" si="12"/>
        <v>-7.852696000000094</v>
      </c>
      <c r="G164">
        <v>1620</v>
      </c>
      <c r="H164" t="e">
        <f t="shared" si="13"/>
        <v>#NUM!</v>
      </c>
      <c r="I164">
        <f t="shared" si="14"/>
        <v>7.5640746671488799</v>
      </c>
    </row>
    <row r="165" spans="1:9" x14ac:dyDescent="0.25">
      <c r="A165">
        <v>1000</v>
      </c>
      <c r="B165">
        <v>1927.2807620000001</v>
      </c>
      <c r="C165">
        <v>-8.35609</v>
      </c>
      <c r="D165" t="s">
        <v>282</v>
      </c>
      <c r="E165">
        <f t="shared" si="10"/>
        <v>443.2807620000001</v>
      </c>
      <c r="F165">
        <f t="shared" si="12"/>
        <v>-8.2561379999999076</v>
      </c>
      <c r="G165">
        <v>1630</v>
      </c>
      <c r="H165" t="e">
        <f t="shared" si="13"/>
        <v>#NUM!</v>
      </c>
      <c r="I165">
        <f t="shared" si="14"/>
        <v>7.5638653568153078</v>
      </c>
    </row>
    <row r="166" spans="1:9" x14ac:dyDescent="0.25">
      <c r="A166">
        <v>1000</v>
      </c>
      <c r="B166">
        <v>1927.874634</v>
      </c>
      <c r="C166">
        <v>-8.345421</v>
      </c>
      <c r="D166" t="s">
        <v>283</v>
      </c>
      <c r="E166">
        <f t="shared" si="10"/>
        <v>443.87463400000001</v>
      </c>
      <c r="F166">
        <f t="shared" si="12"/>
        <v>-7.6622659999999883</v>
      </c>
      <c r="G166">
        <v>1640</v>
      </c>
      <c r="H166" t="e">
        <f t="shared" si="13"/>
        <v>#NUM!</v>
      </c>
      <c r="I166">
        <f t="shared" si="14"/>
        <v>7.5641734491974271</v>
      </c>
    </row>
    <row r="167" spans="1:9" x14ac:dyDescent="0.25">
      <c r="A167">
        <v>1000</v>
      </c>
      <c r="B167">
        <v>1927.6475829999999</v>
      </c>
      <c r="C167">
        <v>-8.3212150000000005</v>
      </c>
      <c r="D167" t="s">
        <v>539</v>
      </c>
      <c r="E167">
        <f t="shared" si="10"/>
        <v>443.64758299999994</v>
      </c>
      <c r="F167">
        <f t="shared" si="12"/>
        <v>-7.8893170000000623</v>
      </c>
      <c r="G167">
        <v>1650</v>
      </c>
      <c r="H167" t="e">
        <f t="shared" si="13"/>
        <v>#NUM!</v>
      </c>
      <c r="I167">
        <f t="shared" si="14"/>
        <v>7.5640556695621486</v>
      </c>
    </row>
    <row r="168" spans="1:9" x14ac:dyDescent="0.25">
      <c r="A168">
        <v>1000</v>
      </c>
      <c r="B168">
        <v>1927.420044</v>
      </c>
      <c r="C168">
        <v>-8.3334130000000002</v>
      </c>
      <c r="D168" t="s">
        <v>540</v>
      </c>
      <c r="E168">
        <f t="shared" si="10"/>
        <v>443.42004399999996</v>
      </c>
      <c r="F168">
        <f t="shared" si="12"/>
        <v>-8.1168560000000411</v>
      </c>
      <c r="G168">
        <v>1660</v>
      </c>
      <c r="H168" t="e">
        <f t="shared" si="13"/>
        <v>#NUM!</v>
      </c>
      <c r="I168">
        <f t="shared" si="14"/>
        <v>7.5639376228650326</v>
      </c>
    </row>
    <row r="169" spans="1:9" x14ac:dyDescent="0.25">
      <c r="A169">
        <v>1000</v>
      </c>
      <c r="B169">
        <v>1928.088379</v>
      </c>
      <c r="C169">
        <v>-8.298197</v>
      </c>
      <c r="D169" t="s">
        <v>541</v>
      </c>
      <c r="E169">
        <f t="shared" si="10"/>
        <v>444.08837900000003</v>
      </c>
      <c r="F169">
        <f t="shared" si="12"/>
        <v>-7.4485209999999711</v>
      </c>
      <c r="G169">
        <v>1670</v>
      </c>
      <c r="H169" t="e">
        <f t="shared" si="13"/>
        <v>#NUM!</v>
      </c>
      <c r="I169">
        <f t="shared" si="14"/>
        <v>7.5642843138501732</v>
      </c>
    </row>
    <row r="170" spans="1:9" x14ac:dyDescent="0.25">
      <c r="A170">
        <v>1000</v>
      </c>
      <c r="B170">
        <v>1928.8648679999999</v>
      </c>
      <c r="C170">
        <v>-8.3089069999999996</v>
      </c>
      <c r="D170" t="s">
        <v>542</v>
      </c>
      <c r="E170">
        <f t="shared" si="10"/>
        <v>444.86486799999989</v>
      </c>
      <c r="F170">
        <f t="shared" si="12"/>
        <v>-6.6720320000001152</v>
      </c>
      <c r="G170">
        <v>1680</v>
      </c>
      <c r="H170" t="e">
        <f t="shared" si="13"/>
        <v>#NUM!</v>
      </c>
      <c r="I170">
        <f t="shared" si="14"/>
        <v>7.5646869575747733</v>
      </c>
    </row>
    <row r="171" spans="1:9" x14ac:dyDescent="0.25">
      <c r="A171">
        <v>1000</v>
      </c>
      <c r="B171">
        <v>1928.534302</v>
      </c>
      <c r="C171">
        <v>-8.3002599999999997</v>
      </c>
      <c r="D171" t="s">
        <v>543</v>
      </c>
      <c r="E171">
        <f t="shared" si="10"/>
        <v>444.53430200000003</v>
      </c>
      <c r="F171">
        <f t="shared" si="12"/>
        <v>-7.0025979999999777</v>
      </c>
      <c r="G171">
        <v>1690</v>
      </c>
      <c r="H171" t="e">
        <f t="shared" si="13"/>
        <v>#NUM!</v>
      </c>
      <c r="I171">
        <f t="shared" si="14"/>
        <v>7.5645155643710931</v>
      </c>
    </row>
    <row r="172" spans="1:9" x14ac:dyDescent="0.25">
      <c r="A172">
        <v>1000</v>
      </c>
      <c r="B172">
        <v>1928.7288820000001</v>
      </c>
      <c r="C172">
        <v>-8.2942090000000004</v>
      </c>
      <c r="D172" t="s">
        <v>544</v>
      </c>
      <c r="E172">
        <f t="shared" si="10"/>
        <v>444.72888200000011</v>
      </c>
      <c r="F172">
        <f t="shared" si="12"/>
        <v>-6.8080179999998904</v>
      </c>
      <c r="G172">
        <v>1700</v>
      </c>
      <c r="H172" t="e">
        <f t="shared" si="13"/>
        <v>#NUM!</v>
      </c>
      <c r="I172">
        <f t="shared" si="14"/>
        <v>7.5646164545571573</v>
      </c>
    </row>
    <row r="173" spans="1:9" x14ac:dyDescent="0.25">
      <c r="A173">
        <v>1000</v>
      </c>
      <c r="B173">
        <v>1928.638794</v>
      </c>
      <c r="C173">
        <v>-8.2823239999999991</v>
      </c>
      <c r="D173" t="s">
        <v>545</v>
      </c>
      <c r="E173">
        <f t="shared" si="10"/>
        <v>444.63879399999996</v>
      </c>
      <c r="F173">
        <f t="shared" si="12"/>
        <v>-6.8981060000000411</v>
      </c>
      <c r="G173">
        <v>1710</v>
      </c>
      <c r="H173" t="e">
        <f t="shared" si="13"/>
        <v>#NUM!</v>
      </c>
      <c r="I173">
        <f t="shared" si="14"/>
        <v>7.564569744983384</v>
      </c>
    </row>
    <row r="174" spans="1:9" x14ac:dyDescent="0.25">
      <c r="A174">
        <v>1000</v>
      </c>
      <c r="B174">
        <v>1928.9997559999999</v>
      </c>
      <c r="C174">
        <v>-8.2611910000000002</v>
      </c>
      <c r="D174" t="s">
        <v>546</v>
      </c>
      <c r="E174">
        <f t="shared" si="10"/>
        <v>444.99975599999993</v>
      </c>
      <c r="F174">
        <f t="shared" si="12"/>
        <v>-6.5371440000000689</v>
      </c>
      <c r="G174">
        <v>1720</v>
      </c>
      <c r="H174" t="e">
        <f t="shared" si="13"/>
        <v>#NUM!</v>
      </c>
      <c r="I174">
        <f t="shared" si="14"/>
        <v>7.5647568864153119</v>
      </c>
    </row>
    <row r="175" spans="1:9" x14ac:dyDescent="0.25">
      <c r="A175">
        <v>1000</v>
      </c>
      <c r="B175">
        <v>1929.400269</v>
      </c>
      <c r="C175">
        <v>-8.2585270000000008</v>
      </c>
      <c r="D175" t="s">
        <v>547</v>
      </c>
      <c r="E175">
        <f t="shared" si="10"/>
        <v>445.40026899999998</v>
      </c>
      <c r="F175">
        <f t="shared" si="12"/>
        <v>-6.1366310000000226</v>
      </c>
      <c r="G175">
        <v>1730</v>
      </c>
      <c r="H175" t="e">
        <f t="shared" si="13"/>
        <v>#NUM!</v>
      </c>
      <c r="I175">
        <f t="shared" si="14"/>
        <v>7.5649644921580252</v>
      </c>
    </row>
    <row r="176" spans="1:9" x14ac:dyDescent="0.25">
      <c r="A176">
        <v>1000</v>
      </c>
      <c r="B176">
        <v>1928.6171879999999</v>
      </c>
      <c r="C176">
        <v>-8.2335700000000003</v>
      </c>
      <c r="D176" t="s">
        <v>293</v>
      </c>
      <c r="E176">
        <f t="shared" si="10"/>
        <v>444.61718799999994</v>
      </c>
      <c r="F176">
        <f t="shared" si="12"/>
        <v>-6.9197120000000609</v>
      </c>
      <c r="G176">
        <v>1740</v>
      </c>
      <c r="H176" t="e">
        <f t="shared" si="13"/>
        <v>#NUM!</v>
      </c>
      <c r="I176">
        <f t="shared" si="14"/>
        <v>7.5645585422008352</v>
      </c>
    </row>
    <row r="177" spans="1:9" x14ac:dyDescent="0.25">
      <c r="A177">
        <v>1000</v>
      </c>
      <c r="B177">
        <v>1929.0435789999999</v>
      </c>
      <c r="C177">
        <v>-8.2403999999999993</v>
      </c>
      <c r="D177" t="s">
        <v>548</v>
      </c>
      <c r="E177">
        <f t="shared" si="10"/>
        <v>445.04357899999991</v>
      </c>
      <c r="F177">
        <f t="shared" si="12"/>
        <v>-6.493321000000094</v>
      </c>
      <c r="G177">
        <v>1750</v>
      </c>
      <c r="H177" t="e">
        <f t="shared" si="13"/>
        <v>#NUM!</v>
      </c>
      <c r="I177">
        <f t="shared" si="14"/>
        <v>7.5647796041487307</v>
      </c>
    </row>
    <row r="178" spans="1:9" x14ac:dyDescent="0.25">
      <c r="A178">
        <v>1000</v>
      </c>
      <c r="B178">
        <v>1929.500366</v>
      </c>
      <c r="C178">
        <v>-8.2154969999999992</v>
      </c>
      <c r="D178" t="s">
        <v>549</v>
      </c>
      <c r="E178">
        <f t="shared" si="10"/>
        <v>445.50036599999999</v>
      </c>
      <c r="F178">
        <f t="shared" si="12"/>
        <v>-6.0365340000000174</v>
      </c>
      <c r="G178">
        <v>1760</v>
      </c>
      <c r="H178" t="e">
        <f t="shared" si="13"/>
        <v>#NUM!</v>
      </c>
      <c r="I178">
        <f t="shared" si="14"/>
        <v>7.5650163706641029</v>
      </c>
    </row>
    <row r="179" spans="1:9" x14ac:dyDescent="0.25">
      <c r="A179">
        <v>1000</v>
      </c>
      <c r="B179">
        <v>1929.3583980000001</v>
      </c>
      <c r="C179">
        <v>-8.2145399999999995</v>
      </c>
      <c r="D179" t="s">
        <v>550</v>
      </c>
      <c r="E179">
        <f t="shared" si="10"/>
        <v>445.35839800000008</v>
      </c>
      <c r="F179">
        <f t="shared" si="12"/>
        <v>-6.1785019999999236</v>
      </c>
      <c r="G179">
        <v>1770</v>
      </c>
      <c r="H179" t="e">
        <f t="shared" si="13"/>
        <v>#NUM!</v>
      </c>
      <c r="I179">
        <f t="shared" si="14"/>
        <v>7.5649427903603153</v>
      </c>
    </row>
    <row r="180" spans="1:9" x14ac:dyDescent="0.25">
      <c r="A180">
        <v>1000</v>
      </c>
      <c r="B180">
        <v>1929.3583980000001</v>
      </c>
      <c r="C180">
        <v>-8.2145399999999995</v>
      </c>
      <c r="D180" t="s">
        <v>551</v>
      </c>
      <c r="E180">
        <f t="shared" si="10"/>
        <v>445.35839800000008</v>
      </c>
      <c r="F180">
        <f t="shared" si="12"/>
        <v>-6.1785019999999236</v>
      </c>
      <c r="G180">
        <v>1780</v>
      </c>
      <c r="H180" t="e">
        <f t="shared" si="13"/>
        <v>#NUM!</v>
      </c>
      <c r="I180">
        <f t="shared" si="14"/>
        <v>7.5649427903603153</v>
      </c>
    </row>
    <row r="181" spans="1:9" x14ac:dyDescent="0.25">
      <c r="A181">
        <v>1000</v>
      </c>
      <c r="B181">
        <v>1929.8580320000001</v>
      </c>
      <c r="C181">
        <v>-8.2076700000000002</v>
      </c>
      <c r="D181" t="s">
        <v>552</v>
      </c>
      <c r="E181">
        <f t="shared" si="10"/>
        <v>445.85803200000009</v>
      </c>
      <c r="F181">
        <f t="shared" si="12"/>
        <v>-5.678867999999909</v>
      </c>
      <c r="G181">
        <v>1790</v>
      </c>
      <c r="H181" t="e">
        <f t="shared" si="13"/>
        <v>#NUM!</v>
      </c>
      <c r="I181">
        <f t="shared" si="14"/>
        <v>7.5652017206441453</v>
      </c>
    </row>
    <row r="182" spans="1:9" x14ac:dyDescent="0.25">
      <c r="A182">
        <v>1000</v>
      </c>
      <c r="B182">
        <v>1929.864624</v>
      </c>
      <c r="C182">
        <v>-8.1939539999999997</v>
      </c>
      <c r="D182" t="s">
        <v>553</v>
      </c>
      <c r="E182">
        <f t="shared" si="10"/>
        <v>445.86462400000005</v>
      </c>
      <c r="F182">
        <f t="shared" si="12"/>
        <v>-5.6722759999999539</v>
      </c>
      <c r="G182">
        <v>1800</v>
      </c>
      <c r="H182" t="e">
        <f t="shared" si="13"/>
        <v>#NUM!</v>
      </c>
      <c r="I182">
        <f t="shared" si="14"/>
        <v>7.5652051364336144</v>
      </c>
    </row>
    <row r="183" spans="1:9" x14ac:dyDescent="0.25">
      <c r="A183">
        <v>1000</v>
      </c>
      <c r="B183">
        <v>1929.529419</v>
      </c>
      <c r="C183">
        <v>-8.1602689999999996</v>
      </c>
      <c r="D183" t="s">
        <v>554</v>
      </c>
      <c r="E183">
        <f t="shared" si="10"/>
        <v>445.52941899999996</v>
      </c>
      <c r="F183">
        <f t="shared" si="12"/>
        <v>-6.0074810000000411</v>
      </c>
      <c r="G183">
        <v>1810</v>
      </c>
      <c r="H183" t="e">
        <f t="shared" si="13"/>
        <v>#NUM!</v>
      </c>
      <c r="I183">
        <f t="shared" si="14"/>
        <v>7.5650314278166091</v>
      </c>
    </row>
    <row r="184" spans="1:9" x14ac:dyDescent="0.25">
      <c r="A184">
        <v>1000</v>
      </c>
      <c r="B184">
        <v>1930.35376</v>
      </c>
      <c r="C184">
        <v>-8.1757179999999998</v>
      </c>
      <c r="D184" t="s">
        <v>555</v>
      </c>
      <c r="E184">
        <f t="shared" si="10"/>
        <v>446.35375999999997</v>
      </c>
      <c r="F184">
        <f t="shared" si="12"/>
        <v>-5.1831400000000372</v>
      </c>
      <c r="G184">
        <v>1820</v>
      </c>
      <c r="H184" t="e">
        <f t="shared" si="13"/>
        <v>#NUM!</v>
      </c>
      <c r="I184">
        <f t="shared" si="14"/>
        <v>7.5654585604391809</v>
      </c>
    </row>
    <row r="185" spans="1:9" x14ac:dyDescent="0.25">
      <c r="A185">
        <v>1000</v>
      </c>
      <c r="B185">
        <v>1930.661987</v>
      </c>
      <c r="C185">
        <v>-8.1635740000000006</v>
      </c>
      <c r="D185" t="s">
        <v>556</v>
      </c>
      <c r="E185">
        <f t="shared" si="10"/>
        <v>446.66198699999995</v>
      </c>
      <c r="F185">
        <f t="shared" si="12"/>
        <v>-4.8749130000000491</v>
      </c>
      <c r="G185">
        <v>1830</v>
      </c>
      <c r="H185" t="e">
        <f t="shared" si="13"/>
        <v>#NUM!</v>
      </c>
      <c r="I185">
        <f t="shared" si="14"/>
        <v>7.5656182215340078</v>
      </c>
    </row>
    <row r="186" spans="1:9" x14ac:dyDescent="0.25">
      <c r="A186">
        <v>1000</v>
      </c>
      <c r="B186">
        <v>1930.3779300000001</v>
      </c>
      <c r="C186">
        <v>-8.1596949999999993</v>
      </c>
      <c r="D186" t="s">
        <v>557</v>
      </c>
      <c r="E186">
        <f t="shared" si="10"/>
        <v>446.37793000000011</v>
      </c>
      <c r="F186">
        <f t="shared" si="12"/>
        <v>-5.158969999999897</v>
      </c>
      <c r="G186">
        <v>1840</v>
      </c>
      <c r="H186" t="e">
        <f t="shared" si="13"/>
        <v>#NUM!</v>
      </c>
      <c r="I186">
        <f t="shared" si="14"/>
        <v>7.5654710813818111</v>
      </c>
    </row>
    <row r="187" spans="1:9" x14ac:dyDescent="0.25">
      <c r="A187">
        <v>1000</v>
      </c>
      <c r="B187">
        <v>1930.0893550000001</v>
      </c>
      <c r="C187">
        <v>-8.1307340000000003</v>
      </c>
      <c r="D187" t="s">
        <v>558</v>
      </c>
      <c r="E187">
        <f t="shared" si="10"/>
        <v>446.08935500000007</v>
      </c>
      <c r="F187">
        <f t="shared" si="12"/>
        <v>-5.4475449999999341</v>
      </c>
      <c r="G187">
        <v>1850</v>
      </c>
      <c r="H187" t="e">
        <f t="shared" si="13"/>
        <v>#NUM!</v>
      </c>
      <c r="I187">
        <f t="shared" si="14"/>
        <v>7.5653215787546761</v>
      </c>
    </row>
    <row r="188" spans="1:9" x14ac:dyDescent="0.25">
      <c r="A188">
        <v>1000</v>
      </c>
      <c r="B188">
        <v>1930.61499</v>
      </c>
      <c r="C188">
        <v>-8.1333439999999992</v>
      </c>
      <c r="D188" t="s">
        <v>559</v>
      </c>
      <c r="E188">
        <f t="shared" si="10"/>
        <v>446.61499000000003</v>
      </c>
      <c r="F188">
        <f t="shared" si="12"/>
        <v>-4.9219099999999685</v>
      </c>
      <c r="G188">
        <v>1860</v>
      </c>
      <c r="H188" t="e">
        <f t="shared" si="13"/>
        <v>#NUM!</v>
      </c>
      <c r="I188">
        <f t="shared" ref="I188:I191" si="15">LN(B188)</f>
        <v>7.5655938788099393</v>
      </c>
    </row>
    <row r="189" spans="1:9" x14ac:dyDescent="0.25">
      <c r="A189">
        <v>1000</v>
      </c>
      <c r="B189">
        <v>1930.7211910000001</v>
      </c>
      <c r="C189">
        <v>-8.1154349999999997</v>
      </c>
      <c r="D189" t="s">
        <v>560</v>
      </c>
      <c r="E189">
        <f t="shared" si="10"/>
        <v>446.72119100000009</v>
      </c>
      <c r="F189">
        <f t="shared" si="12"/>
        <v>-4.815708999999913</v>
      </c>
      <c r="G189">
        <v>1870</v>
      </c>
      <c r="H189" t="e">
        <f t="shared" si="13"/>
        <v>#NUM!</v>
      </c>
      <c r="I189">
        <f t="shared" si="15"/>
        <v>7.5656488861934186</v>
      </c>
    </row>
    <row r="190" spans="1:9" x14ac:dyDescent="0.25">
      <c r="A190">
        <v>1000</v>
      </c>
      <c r="B190">
        <v>1930.4217530000001</v>
      </c>
      <c r="C190">
        <v>-8.1026349999999994</v>
      </c>
      <c r="D190" t="s">
        <v>561</v>
      </c>
      <c r="E190">
        <f t="shared" si="10"/>
        <v>446.42175300000008</v>
      </c>
      <c r="F190">
        <f t="shared" si="12"/>
        <v>-5.1151469999999222</v>
      </c>
      <c r="G190">
        <v>1880</v>
      </c>
      <c r="H190" t="e">
        <f t="shared" si="13"/>
        <v>#NUM!</v>
      </c>
      <c r="I190">
        <f t="shared" si="15"/>
        <v>7.5654937828963158</v>
      </c>
    </row>
    <row r="191" spans="1:9" x14ac:dyDescent="0.25">
      <c r="A191">
        <v>1000</v>
      </c>
      <c r="B191">
        <v>1930.8051760000001</v>
      </c>
      <c r="C191">
        <v>-8.1022800000000004</v>
      </c>
      <c r="D191" t="s">
        <v>562</v>
      </c>
      <c r="E191">
        <f t="shared" si="10"/>
        <v>446.80517600000007</v>
      </c>
      <c r="F191">
        <f t="shared" si="12"/>
        <v>-4.7317239999999288</v>
      </c>
      <c r="G191">
        <v>1890</v>
      </c>
      <c r="H191" t="e">
        <f t="shared" si="13"/>
        <v>#NUM!</v>
      </c>
      <c r="I191">
        <f t="shared" si="15"/>
        <v>7.5656923845368365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opLeftCell="A17" zoomScale="70" zoomScaleNormal="70" workbookViewId="0">
      <selection activeCell="R39" sqref="R39:T42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6.7109375" bestFit="1" customWidth="1"/>
    <col min="18" max="18" width="9.42578125" bestFit="1" customWidth="1"/>
  </cols>
  <sheetData>
    <row r="1" spans="1:18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606</v>
      </c>
      <c r="G1" t="s">
        <v>602</v>
      </c>
      <c r="H1" t="s">
        <v>608</v>
      </c>
      <c r="I1" t="s">
        <v>603</v>
      </c>
    </row>
    <row r="2" spans="1:18" x14ac:dyDescent="0.25">
      <c r="A2">
        <v>1000</v>
      </c>
      <c r="B2">
        <v>5058.9858400000003</v>
      </c>
      <c r="C2">
        <v>-24.491081000000001</v>
      </c>
      <c r="D2" t="s">
        <v>311</v>
      </c>
      <c r="E2">
        <f>B2-$P$3</f>
        <v>3580.9858400000003</v>
      </c>
      <c r="F2">
        <f>E2-$R$3</f>
        <v>2210.9858400000003</v>
      </c>
      <c r="G2">
        <v>0</v>
      </c>
      <c r="H2">
        <f>LN(F2)</f>
        <v>7.7011937764950122</v>
      </c>
      <c r="I2">
        <f t="shared" ref="I2:I27" si="0">LN(B2)</f>
        <v>8.5289213153158894</v>
      </c>
      <c r="L2" s="1" t="s">
        <v>0</v>
      </c>
      <c r="M2" s="1"/>
      <c r="P2" t="s">
        <v>604</v>
      </c>
      <c r="R2" t="s">
        <v>605</v>
      </c>
    </row>
    <row r="3" spans="1:18" x14ac:dyDescent="0.25">
      <c r="A3">
        <v>1000</v>
      </c>
      <c r="B3">
        <v>4750.5229490000002</v>
      </c>
      <c r="C3">
        <v>-24.751200000000001</v>
      </c>
      <c r="D3" t="s">
        <v>312</v>
      </c>
      <c r="E3">
        <f t="shared" ref="E3:E48" si="1">B3-$P$3</f>
        <v>3272.5229490000002</v>
      </c>
      <c r="F3">
        <f>E3-$R$3</f>
        <v>1902.5229490000002</v>
      </c>
      <c r="G3">
        <v>10</v>
      </c>
      <c r="H3">
        <f t="shared" ref="H3:H50" si="2">LN(F3)</f>
        <v>7.5509361522123664</v>
      </c>
      <c r="I3">
        <f t="shared" si="0"/>
        <v>8.4660099854950452</v>
      </c>
      <c r="K3" t="s">
        <v>2</v>
      </c>
      <c r="L3">
        <f>1/(0.001)</f>
        <v>1000</v>
      </c>
      <c r="M3" s="3" t="s">
        <v>3</v>
      </c>
      <c r="P3">
        <v>1478</v>
      </c>
      <c r="R3">
        <v>1370</v>
      </c>
    </row>
    <row r="4" spans="1:18" x14ac:dyDescent="0.25">
      <c r="A4">
        <v>1000</v>
      </c>
      <c r="B4">
        <v>4098.8295900000003</v>
      </c>
      <c r="C4">
        <v>-23.593197</v>
      </c>
      <c r="D4" t="s">
        <v>313</v>
      </c>
      <c r="E4">
        <f t="shared" si="1"/>
        <v>2620.8295900000003</v>
      </c>
      <c r="F4">
        <f>E4-$R$3</f>
        <v>1250.8295900000003</v>
      </c>
      <c r="G4">
        <v>20</v>
      </c>
      <c r="H4">
        <f t="shared" si="2"/>
        <v>7.1315622821634772</v>
      </c>
      <c r="I4">
        <f t="shared" si="0"/>
        <v>8.3184567460856087</v>
      </c>
      <c r="L4">
        <f>L3/60</f>
        <v>16.666666666666668</v>
      </c>
      <c r="M4" s="3" t="s">
        <v>4</v>
      </c>
      <c r="N4" s="3"/>
    </row>
    <row r="5" spans="1:18" x14ac:dyDescent="0.25">
      <c r="A5">
        <v>1000</v>
      </c>
      <c r="B5">
        <v>4050.9204100000002</v>
      </c>
      <c r="C5">
        <v>-24.515326999999999</v>
      </c>
      <c r="D5" t="s">
        <v>314</v>
      </c>
      <c r="E5">
        <f t="shared" si="1"/>
        <v>2572.9204100000002</v>
      </c>
      <c r="F5">
        <f>E5-$R$3</f>
        <v>1202.9204100000002</v>
      </c>
      <c r="G5">
        <v>30</v>
      </c>
      <c r="H5">
        <f t="shared" si="2"/>
        <v>7.0925075541850386</v>
      </c>
      <c r="I5">
        <f t="shared" si="0"/>
        <v>8.3066993960089448</v>
      </c>
      <c r="L5">
        <f>L4/60</f>
        <v>0.27777777777777779</v>
      </c>
      <c r="M5" s="3" t="s">
        <v>5</v>
      </c>
      <c r="N5" s="3"/>
    </row>
    <row r="6" spans="1:18" x14ac:dyDescent="0.25">
      <c r="A6">
        <v>1000</v>
      </c>
      <c r="B6">
        <v>3968.2373050000001</v>
      </c>
      <c r="C6">
        <v>-25.006444999999999</v>
      </c>
      <c r="D6" t="s">
        <v>315</v>
      </c>
      <c r="E6">
        <f t="shared" si="1"/>
        <v>2490.2373050000001</v>
      </c>
      <c r="F6">
        <f>E6-$R$3</f>
        <v>1120.2373050000001</v>
      </c>
      <c r="G6">
        <v>40</v>
      </c>
      <c r="H6">
        <f t="shared" si="2"/>
        <v>7.0212958213101428</v>
      </c>
      <c r="I6">
        <f t="shared" si="0"/>
        <v>8.286077271304034</v>
      </c>
    </row>
    <row r="7" spans="1:18" x14ac:dyDescent="0.25">
      <c r="A7">
        <v>1000</v>
      </c>
      <c r="B7">
        <v>3872.1645509999998</v>
      </c>
      <c r="C7">
        <v>-25.273150999999999</v>
      </c>
      <c r="D7" t="s">
        <v>316</v>
      </c>
      <c r="E7">
        <f t="shared" si="1"/>
        <v>2394.1645509999998</v>
      </c>
      <c r="F7">
        <f>E7-$R$3</f>
        <v>1024.1645509999998</v>
      </c>
      <c r="G7">
        <v>50</v>
      </c>
      <c r="H7">
        <f t="shared" si="2"/>
        <v>6.9316324870254391</v>
      </c>
      <c r="I7">
        <f t="shared" si="0"/>
        <v>8.2615689451690866</v>
      </c>
    </row>
    <row r="8" spans="1:18" x14ac:dyDescent="0.25">
      <c r="A8">
        <v>1000</v>
      </c>
      <c r="B8">
        <v>3787.46875</v>
      </c>
      <c r="C8">
        <v>-25.459436</v>
      </c>
      <c r="D8" t="s">
        <v>317</v>
      </c>
      <c r="E8">
        <f t="shared" si="1"/>
        <v>2309.46875</v>
      </c>
      <c r="F8">
        <f>E8-$R$3</f>
        <v>939.46875</v>
      </c>
      <c r="G8">
        <v>60</v>
      </c>
      <c r="H8">
        <f t="shared" si="2"/>
        <v>6.8453145559267119</v>
      </c>
      <c r="I8">
        <f t="shared" si="0"/>
        <v>8.239453198958504</v>
      </c>
    </row>
    <row r="9" spans="1:18" x14ac:dyDescent="0.25">
      <c r="A9">
        <v>1000</v>
      </c>
      <c r="B9">
        <v>3713.4372560000002</v>
      </c>
      <c r="C9">
        <v>-25.664192</v>
      </c>
      <c r="D9" t="s">
        <v>318</v>
      </c>
      <c r="E9">
        <f t="shared" si="1"/>
        <v>2235.4372560000002</v>
      </c>
      <c r="F9">
        <f>E9-$R$3</f>
        <v>865.43725600000016</v>
      </c>
      <c r="G9">
        <v>70</v>
      </c>
      <c r="H9">
        <f t="shared" si="2"/>
        <v>6.7632348774765667</v>
      </c>
      <c r="I9">
        <f t="shared" si="0"/>
        <v>8.2197132107770301</v>
      </c>
    </row>
    <row r="10" spans="1:18" x14ac:dyDescent="0.25">
      <c r="A10">
        <v>1000</v>
      </c>
      <c r="B10">
        <v>3647.6430660000001</v>
      </c>
      <c r="C10">
        <v>-25.761496000000001</v>
      </c>
      <c r="D10" t="s">
        <v>319</v>
      </c>
      <c r="E10">
        <f t="shared" si="1"/>
        <v>2169.6430660000001</v>
      </c>
      <c r="F10">
        <f>E10-$R$3</f>
        <v>799.64306600000009</v>
      </c>
      <c r="G10">
        <v>80</v>
      </c>
      <c r="H10">
        <f t="shared" si="2"/>
        <v>6.6841654606055929</v>
      </c>
      <c r="I10">
        <f t="shared" si="0"/>
        <v>8.2018365026572102</v>
      </c>
    </row>
    <row r="11" spans="1:18" x14ac:dyDescent="0.25">
      <c r="A11">
        <v>1000</v>
      </c>
      <c r="B11">
        <v>3579.4934079999998</v>
      </c>
      <c r="C11">
        <v>-25.794772999999999</v>
      </c>
      <c r="D11" t="s">
        <v>320</v>
      </c>
      <c r="E11">
        <f t="shared" si="1"/>
        <v>2101.4934079999998</v>
      </c>
      <c r="F11">
        <f>E11-$R$3</f>
        <v>731.49340799999982</v>
      </c>
      <c r="G11">
        <v>90</v>
      </c>
      <c r="H11">
        <f t="shared" si="2"/>
        <v>6.5950882087996145</v>
      </c>
      <c r="I11">
        <f t="shared" si="0"/>
        <v>8.1829765632365561</v>
      </c>
    </row>
    <row r="12" spans="1:18" x14ac:dyDescent="0.25">
      <c r="A12">
        <v>1000</v>
      </c>
      <c r="B12">
        <v>3522.2829590000001</v>
      </c>
      <c r="C12">
        <v>-25.855698</v>
      </c>
      <c r="D12" t="s">
        <v>321</v>
      </c>
      <c r="E12">
        <f t="shared" si="1"/>
        <v>2044.2829590000001</v>
      </c>
      <c r="F12">
        <f>E12-$R$3</f>
        <v>674.28295900000012</v>
      </c>
      <c r="G12">
        <v>100</v>
      </c>
      <c r="H12">
        <f t="shared" si="2"/>
        <v>6.5136498432871255</v>
      </c>
      <c r="I12">
        <f t="shared" si="0"/>
        <v>8.1668646262606046</v>
      </c>
    </row>
    <row r="13" spans="1:18" x14ac:dyDescent="0.25">
      <c r="A13">
        <v>1000</v>
      </c>
      <c r="B13">
        <v>3453.3159179999998</v>
      </c>
      <c r="C13">
        <v>-25.680382000000002</v>
      </c>
      <c r="D13" t="s">
        <v>322</v>
      </c>
      <c r="E13">
        <f t="shared" si="1"/>
        <v>1975.3159179999998</v>
      </c>
      <c r="F13">
        <f>E13-$R$3</f>
        <v>605.31591799999978</v>
      </c>
      <c r="G13">
        <v>110</v>
      </c>
      <c r="H13">
        <f t="shared" si="2"/>
        <v>6.4057505002554809</v>
      </c>
      <c r="I13">
        <f t="shared" si="0"/>
        <v>8.1470901840824546</v>
      </c>
    </row>
    <row r="14" spans="1:18" x14ac:dyDescent="0.25">
      <c r="A14">
        <v>1000</v>
      </c>
      <c r="B14">
        <v>3384.0903320000002</v>
      </c>
      <c r="C14">
        <v>-25.410124</v>
      </c>
      <c r="D14" t="s">
        <v>323</v>
      </c>
      <c r="E14">
        <f t="shared" si="1"/>
        <v>1906.0903320000002</v>
      </c>
      <c r="F14">
        <f>E14-$R$3</f>
        <v>536.09033200000022</v>
      </c>
      <c r="G14">
        <v>120</v>
      </c>
      <c r="H14">
        <f t="shared" si="2"/>
        <v>6.2843026767219889</v>
      </c>
      <c r="I14">
        <f t="shared" si="0"/>
        <v>8.1268404142232669</v>
      </c>
    </row>
    <row r="15" spans="1:18" x14ac:dyDescent="0.25">
      <c r="A15">
        <v>1000</v>
      </c>
      <c r="B15">
        <v>3352.8103030000002</v>
      </c>
      <c r="C15">
        <v>-25.651447000000001</v>
      </c>
      <c r="D15" t="s">
        <v>324</v>
      </c>
      <c r="E15">
        <f t="shared" si="1"/>
        <v>1874.8103030000002</v>
      </c>
      <c r="F15">
        <f>E15-$R$3</f>
        <v>504.8103030000002</v>
      </c>
      <c r="G15">
        <v>130</v>
      </c>
      <c r="H15">
        <f t="shared" si="2"/>
        <v>6.224182721082113</v>
      </c>
      <c r="I15">
        <f t="shared" si="0"/>
        <v>8.1175541695600888</v>
      </c>
    </row>
    <row r="16" spans="1:18" x14ac:dyDescent="0.25">
      <c r="A16">
        <v>1000</v>
      </c>
      <c r="B16">
        <v>3322.803711</v>
      </c>
      <c r="C16">
        <v>-25.806287999999999</v>
      </c>
      <c r="D16" t="s">
        <v>325</v>
      </c>
      <c r="E16">
        <f t="shared" si="1"/>
        <v>1844.803711</v>
      </c>
      <c r="F16">
        <f>E16-$R$3</f>
        <v>474.80371100000002</v>
      </c>
      <c r="G16">
        <v>140</v>
      </c>
      <c r="H16">
        <f t="shared" si="2"/>
        <v>6.1629014786274627</v>
      </c>
      <c r="I16">
        <f t="shared" si="0"/>
        <v>8.1085641967934734</v>
      </c>
    </row>
    <row r="17" spans="1:9" x14ac:dyDescent="0.25">
      <c r="A17">
        <v>1000</v>
      </c>
      <c r="B17">
        <v>3288.6042480000001</v>
      </c>
      <c r="C17">
        <v>-25.848198</v>
      </c>
      <c r="D17" t="s">
        <v>326</v>
      </c>
      <c r="E17">
        <f t="shared" si="1"/>
        <v>1810.6042480000001</v>
      </c>
      <c r="F17">
        <f>E17-$R$3</f>
        <v>440.6042480000001</v>
      </c>
      <c r="G17">
        <v>150</v>
      </c>
      <c r="H17">
        <f t="shared" si="2"/>
        <v>6.0881470757198581</v>
      </c>
      <c r="I17">
        <f t="shared" si="0"/>
        <v>8.0982185130143769</v>
      </c>
    </row>
    <row r="18" spans="1:9" x14ac:dyDescent="0.25">
      <c r="A18">
        <v>1000</v>
      </c>
      <c r="B18">
        <v>3249.7846679999998</v>
      </c>
      <c r="C18">
        <v>-25.8416</v>
      </c>
      <c r="D18" t="s">
        <v>327</v>
      </c>
      <c r="E18">
        <f t="shared" si="1"/>
        <v>1771.7846679999998</v>
      </c>
      <c r="F18">
        <f>E18-$R$3</f>
        <v>401.78466799999978</v>
      </c>
      <c r="G18">
        <v>160</v>
      </c>
      <c r="H18">
        <f t="shared" si="2"/>
        <v>5.9959162933650818</v>
      </c>
      <c r="I18">
        <f t="shared" si="0"/>
        <v>8.0863440171287575</v>
      </c>
    </row>
    <row r="19" spans="1:9" x14ac:dyDescent="0.25">
      <c r="A19">
        <v>1000</v>
      </c>
      <c r="B19">
        <v>3217.8920899999998</v>
      </c>
      <c r="C19">
        <v>-25.818664999999999</v>
      </c>
      <c r="D19" t="s">
        <v>328</v>
      </c>
      <c r="E19">
        <f t="shared" si="1"/>
        <v>1739.8920899999998</v>
      </c>
      <c r="F19">
        <f>E19-$R$3</f>
        <v>369.89208999999983</v>
      </c>
      <c r="G19">
        <v>170</v>
      </c>
      <c r="H19">
        <f t="shared" si="2"/>
        <v>5.9132113144518827</v>
      </c>
      <c r="I19">
        <f t="shared" si="0"/>
        <v>8.0764817937396103</v>
      </c>
    </row>
    <row r="20" spans="1:9" x14ac:dyDescent="0.25">
      <c r="A20">
        <v>1000</v>
      </c>
      <c r="B20">
        <v>3187.0490719999998</v>
      </c>
      <c r="C20">
        <v>-25.795660000000002</v>
      </c>
      <c r="D20" t="s">
        <v>329</v>
      </c>
      <c r="E20">
        <f t="shared" si="1"/>
        <v>1709.0490719999998</v>
      </c>
      <c r="F20">
        <f>E20-$R$3</f>
        <v>339.0490719999998</v>
      </c>
      <c r="G20">
        <v>180</v>
      </c>
      <c r="H20">
        <f t="shared" si="2"/>
        <v>5.8261448520666743</v>
      </c>
      <c r="I20">
        <f t="shared" si="0"/>
        <v>8.0668507118513517</v>
      </c>
    </row>
    <row r="21" spans="1:9" x14ac:dyDescent="0.25">
      <c r="A21">
        <v>1000</v>
      </c>
      <c r="B21">
        <v>3154.0046390000002</v>
      </c>
      <c r="C21">
        <v>-25.723151999999999</v>
      </c>
      <c r="D21" t="s">
        <v>330</v>
      </c>
      <c r="E21">
        <f t="shared" si="1"/>
        <v>1676.0046390000002</v>
      </c>
      <c r="F21">
        <f>E21-$R$3</f>
        <v>306.00463900000022</v>
      </c>
      <c r="G21">
        <v>190</v>
      </c>
      <c r="H21">
        <f t="shared" si="2"/>
        <v>5.7236002619681869</v>
      </c>
      <c r="I21">
        <f t="shared" si="0"/>
        <v>8.0564282383525931</v>
      </c>
    </row>
    <row r="22" spans="1:9" x14ac:dyDescent="0.25">
      <c r="A22">
        <v>1000</v>
      </c>
      <c r="B22">
        <v>3128.139893</v>
      </c>
      <c r="C22">
        <v>-25.729407999999999</v>
      </c>
      <c r="D22" t="s">
        <v>331</v>
      </c>
      <c r="E22">
        <f t="shared" si="1"/>
        <v>1650.139893</v>
      </c>
      <c r="F22">
        <f>E22-$R$3</f>
        <v>280.13989300000003</v>
      </c>
      <c r="G22">
        <v>200</v>
      </c>
      <c r="H22">
        <f t="shared" si="2"/>
        <v>5.6352890962589468</v>
      </c>
      <c r="I22">
        <f t="shared" si="0"/>
        <v>8.0481938234912533</v>
      </c>
    </row>
    <row r="23" spans="1:9" x14ac:dyDescent="0.25">
      <c r="A23">
        <v>1000</v>
      </c>
      <c r="B23">
        <v>3104.5996089999999</v>
      </c>
      <c r="C23">
        <v>-25.760266999999999</v>
      </c>
      <c r="D23" t="s">
        <v>332</v>
      </c>
      <c r="E23">
        <f t="shared" si="1"/>
        <v>1626.5996089999999</v>
      </c>
      <c r="F23">
        <f>E23-$R$3</f>
        <v>256.59960899999987</v>
      </c>
      <c r="G23">
        <v>210</v>
      </c>
      <c r="H23">
        <f t="shared" si="2"/>
        <v>5.5475169284079664</v>
      </c>
      <c r="I23">
        <f t="shared" si="0"/>
        <v>8.0406400356501848</v>
      </c>
    </row>
    <row r="24" spans="1:9" x14ac:dyDescent="0.25">
      <c r="A24">
        <v>1000</v>
      </c>
      <c r="B24">
        <v>3079.1218260000001</v>
      </c>
      <c r="C24">
        <v>-25.752987000000001</v>
      </c>
      <c r="D24" t="s">
        <v>333</v>
      </c>
      <c r="E24">
        <f t="shared" si="1"/>
        <v>1601.1218260000001</v>
      </c>
      <c r="F24">
        <f>E24-$R$3</f>
        <v>231.12182600000006</v>
      </c>
      <c r="G24">
        <v>220</v>
      </c>
      <c r="H24">
        <f t="shared" si="2"/>
        <v>5.4429449567844372</v>
      </c>
      <c r="I24">
        <f t="shared" si="0"/>
        <v>8.0323997138842067</v>
      </c>
    </row>
    <row r="25" spans="1:9" x14ac:dyDescent="0.25">
      <c r="A25">
        <v>1000</v>
      </c>
      <c r="B25">
        <v>3054.071289</v>
      </c>
      <c r="C25">
        <v>-25.706607999999999</v>
      </c>
      <c r="D25" t="s">
        <v>334</v>
      </c>
      <c r="E25">
        <f t="shared" si="1"/>
        <v>1576.071289</v>
      </c>
      <c r="F25">
        <f>E25-$R$3</f>
        <v>206.07128899999998</v>
      </c>
      <c r="G25">
        <v>230</v>
      </c>
      <c r="H25">
        <f t="shared" si="2"/>
        <v>5.3282221720303511</v>
      </c>
      <c r="I25">
        <f t="shared" si="0"/>
        <v>8.0242308283352148</v>
      </c>
    </row>
    <row r="26" spans="1:9" x14ac:dyDescent="0.25">
      <c r="A26">
        <v>1000</v>
      </c>
      <c r="B26">
        <v>3032.5671390000002</v>
      </c>
      <c r="C26">
        <v>-25.662047999999999</v>
      </c>
      <c r="D26" t="s">
        <v>335</v>
      </c>
      <c r="E26">
        <f t="shared" si="1"/>
        <v>1554.5671390000002</v>
      </c>
      <c r="F26">
        <f>E26-$R$3</f>
        <v>184.56713900000022</v>
      </c>
      <c r="G26">
        <v>240</v>
      </c>
      <c r="H26">
        <f t="shared" si="2"/>
        <v>5.2180132943050914</v>
      </c>
      <c r="I26">
        <f t="shared" si="0"/>
        <v>8.0171647803917541</v>
      </c>
    </row>
    <row r="27" spans="1:9" x14ac:dyDescent="0.25">
      <c r="A27">
        <v>1000</v>
      </c>
      <c r="B27">
        <v>3004.4956050000001</v>
      </c>
      <c r="C27">
        <v>-25.497440000000001</v>
      </c>
      <c r="D27" t="s">
        <v>336</v>
      </c>
      <c r="E27">
        <f t="shared" si="1"/>
        <v>1526.4956050000001</v>
      </c>
      <c r="F27">
        <f>E27-$R$3</f>
        <v>156.49560500000007</v>
      </c>
      <c r="G27">
        <v>250</v>
      </c>
      <c r="H27">
        <f t="shared" si="2"/>
        <v>5.0530279265187792</v>
      </c>
      <c r="I27">
        <f t="shared" si="0"/>
        <v>8.0078649809671223</v>
      </c>
    </row>
    <row r="28" spans="1:9" x14ac:dyDescent="0.25">
      <c r="A28">
        <v>1000</v>
      </c>
      <c r="B28">
        <v>2984.0676269999999</v>
      </c>
      <c r="C28">
        <v>-25.460436000000001</v>
      </c>
      <c r="D28" t="s">
        <v>337</v>
      </c>
      <c r="E28">
        <f t="shared" si="1"/>
        <v>1506.0676269999999</v>
      </c>
      <c r="F28">
        <f>E28-$R$3</f>
        <v>136.0676269999999</v>
      </c>
      <c r="G28">
        <v>260</v>
      </c>
      <c r="H28">
        <f t="shared" si="2"/>
        <v>4.9131520194975247</v>
      </c>
      <c r="I28">
        <f t="shared" ref="I28:I48" si="3">LN(B28)</f>
        <v>8.0010426242705979</v>
      </c>
    </row>
    <row r="29" spans="1:9" x14ac:dyDescent="0.25">
      <c r="A29">
        <v>1000</v>
      </c>
      <c r="B29">
        <v>2967.8625489999999</v>
      </c>
      <c r="C29">
        <v>-25.462918999999999</v>
      </c>
      <c r="D29" t="s">
        <v>338</v>
      </c>
      <c r="E29">
        <f t="shared" si="1"/>
        <v>1489.8625489999999</v>
      </c>
      <c r="F29">
        <f>E29-$R$3</f>
        <v>119.86254899999994</v>
      </c>
      <c r="G29">
        <v>270</v>
      </c>
      <c r="H29">
        <f t="shared" si="2"/>
        <v>4.7863456612814677</v>
      </c>
      <c r="I29">
        <f t="shared" si="3"/>
        <v>7.9955972922310572</v>
      </c>
    </row>
    <row r="30" spans="1:9" x14ac:dyDescent="0.25">
      <c r="A30">
        <v>1000</v>
      </c>
      <c r="B30">
        <v>2946.5371089999999</v>
      </c>
      <c r="C30">
        <v>-25.365905999999999</v>
      </c>
      <c r="D30" t="s">
        <v>339</v>
      </c>
      <c r="E30">
        <f t="shared" si="1"/>
        <v>1468.5371089999999</v>
      </c>
      <c r="F30">
        <f>E30-$R$3</f>
        <v>98.537108999999873</v>
      </c>
      <c r="G30">
        <v>280</v>
      </c>
      <c r="H30">
        <f t="shared" si="2"/>
        <v>4.5904332183456775</v>
      </c>
      <c r="I30">
        <f t="shared" si="3"/>
        <v>7.9883858984630427</v>
      </c>
    </row>
    <row r="31" spans="1:9" x14ac:dyDescent="0.25">
      <c r="A31">
        <v>1000</v>
      </c>
      <c r="B31">
        <v>2930.3720699999999</v>
      </c>
      <c r="C31">
        <v>-25.325019999999999</v>
      </c>
      <c r="D31" t="s">
        <v>340</v>
      </c>
      <c r="E31">
        <f t="shared" si="1"/>
        <v>1452.3720699999999</v>
      </c>
      <c r="F31">
        <f>E31-$R$3</f>
        <v>82.372069999999894</v>
      </c>
      <c r="G31">
        <v>290</v>
      </c>
      <c r="H31">
        <f t="shared" si="2"/>
        <v>4.4112464231460704</v>
      </c>
      <c r="I31">
        <f t="shared" si="3"/>
        <v>7.9828846802971523</v>
      </c>
    </row>
    <row r="32" spans="1:9" x14ac:dyDescent="0.25">
      <c r="A32">
        <v>1000</v>
      </c>
      <c r="B32">
        <v>2916.9470209999999</v>
      </c>
      <c r="C32">
        <v>-25.313897999999998</v>
      </c>
      <c r="D32" t="s">
        <v>341</v>
      </c>
      <c r="E32">
        <f t="shared" si="1"/>
        <v>1438.9470209999999</v>
      </c>
      <c r="F32">
        <f>E32-$R$3</f>
        <v>68.94702099999995</v>
      </c>
      <c r="G32">
        <v>300</v>
      </c>
      <c r="H32">
        <f t="shared" si="2"/>
        <v>4.2333383980847632</v>
      </c>
      <c r="I32">
        <f t="shared" si="3"/>
        <v>7.9782928075498907</v>
      </c>
    </row>
    <row r="33" spans="1:20" x14ac:dyDescent="0.25">
      <c r="A33">
        <v>1000</v>
      </c>
      <c r="B33">
        <v>2901.0200199999999</v>
      </c>
      <c r="C33">
        <v>-25.221912</v>
      </c>
      <c r="D33" t="s">
        <v>342</v>
      </c>
      <c r="E33">
        <f t="shared" si="1"/>
        <v>1423.0200199999999</v>
      </c>
      <c r="F33">
        <f>E33-$R$3</f>
        <v>53.020019999999931</v>
      </c>
      <c r="G33">
        <v>310</v>
      </c>
      <c r="H33">
        <f t="shared" si="2"/>
        <v>3.9706695780769521</v>
      </c>
      <c r="I33">
        <f t="shared" si="3"/>
        <v>7.9728176851661887</v>
      </c>
    </row>
    <row r="34" spans="1:20" x14ac:dyDescent="0.25">
      <c r="A34">
        <v>1000</v>
      </c>
      <c r="B34">
        <v>2884.61499</v>
      </c>
      <c r="C34">
        <v>-25.151133999999999</v>
      </c>
      <c r="D34" t="s">
        <v>343</v>
      </c>
      <c r="E34">
        <f t="shared" si="1"/>
        <v>1406.61499</v>
      </c>
      <c r="F34">
        <f>E34-$R$3</f>
        <v>36.614990000000034</v>
      </c>
      <c r="G34">
        <v>320</v>
      </c>
      <c r="H34">
        <f t="shared" si="2"/>
        <v>3.6004577194008842</v>
      </c>
      <c r="I34">
        <f t="shared" si="3"/>
        <v>7.9671467176969557</v>
      </c>
    </row>
    <row r="35" spans="1:20" x14ac:dyDescent="0.25">
      <c r="A35">
        <v>1000</v>
      </c>
      <c r="B35">
        <v>2877.0654300000001</v>
      </c>
      <c r="C35">
        <v>-25.179838</v>
      </c>
      <c r="D35" t="s">
        <v>344</v>
      </c>
      <c r="E35">
        <f t="shared" si="1"/>
        <v>1399.0654300000001</v>
      </c>
      <c r="F35">
        <f>E35-$R$3</f>
        <v>29.065430000000106</v>
      </c>
      <c r="G35">
        <v>330</v>
      </c>
      <c r="H35">
        <f t="shared" si="2"/>
        <v>3.3695494954701668</v>
      </c>
      <c r="I35">
        <f t="shared" si="3"/>
        <v>7.9645261057329844</v>
      </c>
    </row>
    <row r="36" spans="1:20" x14ac:dyDescent="0.25">
      <c r="A36">
        <v>1000</v>
      </c>
      <c r="B36">
        <v>2858.6892090000001</v>
      </c>
      <c r="C36">
        <v>-25.027920000000002</v>
      </c>
      <c r="D36" t="s">
        <v>345</v>
      </c>
      <c r="E36">
        <f t="shared" si="1"/>
        <v>1380.6892090000001</v>
      </c>
      <c r="F36">
        <f>E36-$R$3</f>
        <v>10.689209000000119</v>
      </c>
      <c r="G36">
        <v>340</v>
      </c>
      <c r="H36">
        <f t="shared" si="2"/>
        <v>2.3692347279119677</v>
      </c>
      <c r="I36">
        <f t="shared" si="3"/>
        <v>7.9581184802223897</v>
      </c>
    </row>
    <row r="37" spans="1:20" x14ac:dyDescent="0.25">
      <c r="A37">
        <v>1000</v>
      </c>
      <c r="B37">
        <v>2850.5830080000001</v>
      </c>
      <c r="C37">
        <v>-25.045909999999999</v>
      </c>
      <c r="D37" t="s">
        <v>346</v>
      </c>
      <c r="E37">
        <f t="shared" si="1"/>
        <v>1372.5830080000001</v>
      </c>
      <c r="F37">
        <f>E37-$R$3</f>
        <v>2.5830080000000635</v>
      </c>
      <c r="G37">
        <v>350</v>
      </c>
      <c r="H37">
        <f t="shared" si="2"/>
        <v>0.94895461128276071</v>
      </c>
      <c r="I37">
        <f t="shared" si="3"/>
        <v>7.9552788165528172</v>
      </c>
    </row>
    <row r="38" spans="1:20" x14ac:dyDescent="0.25">
      <c r="A38">
        <v>1000</v>
      </c>
      <c r="B38">
        <v>2832.8508299999999</v>
      </c>
      <c r="C38">
        <v>-24.888829999999999</v>
      </c>
      <c r="D38" t="s">
        <v>347</v>
      </c>
      <c r="E38">
        <f t="shared" si="1"/>
        <v>1354.8508299999999</v>
      </c>
      <c r="F38">
        <f>E38-$R$3</f>
        <v>-15.14917000000014</v>
      </c>
      <c r="G38">
        <v>360</v>
      </c>
      <c r="H38" t="e">
        <f t="shared" si="2"/>
        <v>#NUM!</v>
      </c>
      <c r="I38">
        <f t="shared" si="3"/>
        <v>7.9490388440142903</v>
      </c>
    </row>
    <row r="39" spans="1:20" x14ac:dyDescent="0.25">
      <c r="A39">
        <v>1000</v>
      </c>
      <c r="B39">
        <v>2820.7785640000002</v>
      </c>
      <c r="C39">
        <v>-24.810364</v>
      </c>
      <c r="D39" t="s">
        <v>348</v>
      </c>
      <c r="E39">
        <f t="shared" si="1"/>
        <v>1342.7785640000002</v>
      </c>
      <c r="F39">
        <f>E39-$R$3</f>
        <v>-27.221435999999812</v>
      </c>
      <c r="G39">
        <v>370</v>
      </c>
      <c r="H39" t="e">
        <f t="shared" si="2"/>
        <v>#NUM!</v>
      </c>
      <c r="I39">
        <f t="shared" si="3"/>
        <v>7.9447682123521108</v>
      </c>
      <c r="S39">
        <v>-1.29E-2</v>
      </c>
    </row>
    <row r="40" spans="1:20" x14ac:dyDescent="0.25">
      <c r="A40">
        <v>1000</v>
      </c>
      <c r="B40">
        <v>2815.4838869999999</v>
      </c>
      <c r="C40">
        <v>-24.867315000000001</v>
      </c>
      <c r="D40" t="s">
        <v>349</v>
      </c>
      <c r="E40">
        <f t="shared" si="1"/>
        <v>1337.4838869999999</v>
      </c>
      <c r="F40">
        <f>E40-$R$3</f>
        <v>-32.516113000000132</v>
      </c>
      <c r="G40">
        <v>380</v>
      </c>
      <c r="H40" t="e">
        <f t="shared" si="2"/>
        <v>#NUM!</v>
      </c>
      <c r="I40">
        <f t="shared" si="3"/>
        <v>7.9428894217161234</v>
      </c>
      <c r="R40" t="s">
        <v>2</v>
      </c>
      <c r="S40">
        <f>1/ABS(S39)</f>
        <v>77.519379844961236</v>
      </c>
      <c r="T40" s="3" t="s">
        <v>3</v>
      </c>
    </row>
    <row r="41" spans="1:20" x14ac:dyDescent="0.25">
      <c r="A41">
        <v>1000</v>
      </c>
      <c r="B41">
        <v>2803.6499020000001</v>
      </c>
      <c r="C41">
        <v>-24.787264</v>
      </c>
      <c r="D41" t="s">
        <v>350</v>
      </c>
      <c r="E41">
        <f t="shared" si="1"/>
        <v>1325.6499020000001</v>
      </c>
      <c r="F41">
        <f>E41-$R$3</f>
        <v>-44.350097999999889</v>
      </c>
      <c r="G41">
        <v>390</v>
      </c>
      <c r="H41" t="e">
        <f t="shared" si="2"/>
        <v>#NUM!</v>
      </c>
      <c r="I41">
        <f t="shared" si="3"/>
        <v>7.938677383725862</v>
      </c>
      <c r="S41">
        <f>S40/60</f>
        <v>1.2919896640826873</v>
      </c>
      <c r="T41" s="3" t="s">
        <v>4</v>
      </c>
    </row>
    <row r="42" spans="1:20" x14ac:dyDescent="0.25">
      <c r="A42">
        <v>1000</v>
      </c>
      <c r="B42">
        <v>2798.2314449999999</v>
      </c>
      <c r="C42">
        <v>-24.845869</v>
      </c>
      <c r="D42" t="s">
        <v>351</v>
      </c>
      <c r="E42">
        <f t="shared" si="1"/>
        <v>1320.2314449999999</v>
      </c>
      <c r="F42">
        <f>E42-$R$3</f>
        <v>-49.768555000000106</v>
      </c>
      <c r="G42">
        <v>400</v>
      </c>
      <c r="H42" t="e">
        <f t="shared" si="2"/>
        <v>#NUM!</v>
      </c>
      <c r="I42">
        <f t="shared" si="3"/>
        <v>7.9367428698173468</v>
      </c>
      <c r="S42">
        <f>S41/60</f>
        <v>2.1533161068044791E-2</v>
      </c>
      <c r="T42" s="3" t="s">
        <v>5</v>
      </c>
    </row>
    <row r="43" spans="1:20" x14ac:dyDescent="0.25">
      <c r="A43">
        <v>1000</v>
      </c>
      <c r="B43">
        <v>2784.4172359999998</v>
      </c>
      <c r="C43">
        <v>-24.735641000000001</v>
      </c>
      <c r="D43" t="s">
        <v>352</v>
      </c>
      <c r="E43">
        <f t="shared" si="1"/>
        <v>1306.4172359999998</v>
      </c>
      <c r="F43">
        <f>E43-$R$3</f>
        <v>-63.582764000000225</v>
      </c>
      <c r="G43">
        <v>410</v>
      </c>
      <c r="H43" t="e">
        <f t="shared" si="2"/>
        <v>#NUM!</v>
      </c>
      <c r="I43">
        <f t="shared" si="3"/>
        <v>7.931793879477909</v>
      </c>
    </row>
    <row r="44" spans="1:20" x14ac:dyDescent="0.25">
      <c r="A44">
        <v>1000</v>
      </c>
      <c r="B44">
        <v>2778.5434570000002</v>
      </c>
      <c r="C44">
        <v>-24.749193000000002</v>
      </c>
      <c r="D44" t="s">
        <v>353</v>
      </c>
      <c r="E44">
        <f t="shared" si="1"/>
        <v>1300.5434570000002</v>
      </c>
      <c r="F44">
        <f>E44-$R$3</f>
        <v>-69.456542999999783</v>
      </c>
      <c r="G44">
        <v>420</v>
      </c>
      <c r="H44" t="e">
        <f t="shared" si="2"/>
        <v>#NUM!</v>
      </c>
      <c r="I44">
        <f t="shared" si="3"/>
        <v>7.9296821330511476</v>
      </c>
    </row>
    <row r="45" spans="1:20" x14ac:dyDescent="0.25">
      <c r="A45">
        <v>1000</v>
      </c>
      <c r="B45">
        <v>2773.016357</v>
      </c>
      <c r="C45">
        <v>-24.732979</v>
      </c>
      <c r="D45" t="s">
        <v>354</v>
      </c>
      <c r="E45">
        <f t="shared" si="1"/>
        <v>1295.016357</v>
      </c>
      <c r="F45">
        <f>E45-$R$3</f>
        <v>-74.983643000000029</v>
      </c>
      <c r="G45">
        <v>430</v>
      </c>
      <c r="H45" t="e">
        <f t="shared" si="2"/>
        <v>#NUM!</v>
      </c>
      <c r="I45">
        <f t="shared" si="3"/>
        <v>7.9276909442640857</v>
      </c>
    </row>
    <row r="46" spans="1:20" x14ac:dyDescent="0.25">
      <c r="A46">
        <v>1000</v>
      </c>
      <c r="B46">
        <v>2766.2705080000001</v>
      </c>
      <c r="C46">
        <v>-24.708621999999998</v>
      </c>
      <c r="D46" t="s">
        <v>355</v>
      </c>
      <c r="E46">
        <f t="shared" si="1"/>
        <v>1288.2705080000001</v>
      </c>
      <c r="F46">
        <f>E46-$R$3</f>
        <v>-81.729491999999937</v>
      </c>
      <c r="G46">
        <v>440</v>
      </c>
      <c r="H46" t="e">
        <f t="shared" si="2"/>
        <v>#NUM!</v>
      </c>
      <c r="I46">
        <f t="shared" si="3"/>
        <v>7.9252553049844119</v>
      </c>
    </row>
    <row r="47" spans="1:20" x14ac:dyDescent="0.25">
      <c r="A47">
        <v>1000</v>
      </c>
      <c r="B47">
        <v>2761.3999020000001</v>
      </c>
      <c r="C47">
        <v>-24.741503000000002</v>
      </c>
      <c r="D47" t="s">
        <v>356</v>
      </c>
      <c r="E47">
        <f t="shared" si="1"/>
        <v>1283.3999020000001</v>
      </c>
      <c r="F47">
        <f>E47-$R$3</f>
        <v>-86.600097999999889</v>
      </c>
      <c r="G47">
        <v>450</v>
      </c>
      <c r="H47" t="e">
        <f t="shared" si="2"/>
        <v>#NUM!</v>
      </c>
      <c r="I47">
        <f t="shared" si="3"/>
        <v>7.923493040992807</v>
      </c>
    </row>
    <row r="48" spans="1:20" x14ac:dyDescent="0.25">
      <c r="A48">
        <v>1000</v>
      </c>
      <c r="B48">
        <v>2756.2915039999998</v>
      </c>
      <c r="C48">
        <v>-24.750136999999999</v>
      </c>
      <c r="D48" t="s">
        <v>357</v>
      </c>
      <c r="E48">
        <f t="shared" si="1"/>
        <v>1278.2915039999998</v>
      </c>
      <c r="F48">
        <f>E48-$R$3</f>
        <v>-91.708496000000196</v>
      </c>
      <c r="G48">
        <v>460</v>
      </c>
      <c r="H48" t="e">
        <f t="shared" si="2"/>
        <v>#NUM!</v>
      </c>
      <c r="I48">
        <f t="shared" si="3"/>
        <v>7.9216413972223734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topLeftCell="F35" zoomScaleNormal="100" workbookViewId="0">
      <selection activeCell="T45" sqref="T45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9" max="9" width="14.285156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606</v>
      </c>
      <c r="G1" t="s">
        <v>602</v>
      </c>
      <c r="H1" t="s">
        <v>608</v>
      </c>
      <c r="I1" t="s">
        <v>603</v>
      </c>
    </row>
    <row r="2" spans="1:18" x14ac:dyDescent="0.25">
      <c r="A2">
        <v>1000</v>
      </c>
      <c r="B2">
        <v>3181.7458499999998</v>
      </c>
      <c r="C2">
        <v>-19.739941000000002</v>
      </c>
      <c r="D2" t="s">
        <v>563</v>
      </c>
      <c r="E2">
        <f>B2-$P$3</f>
        <v>1697.7458499999998</v>
      </c>
      <c r="F2">
        <f>E2-$R$3</f>
        <v>1066.1977499999998</v>
      </c>
      <c r="G2">
        <v>0</v>
      </c>
      <c r="H2">
        <f>LN(F2)</f>
        <v>6.9718540940881786</v>
      </c>
      <c r="I2">
        <f>LN(B2)</f>
        <v>8.0651853345576416</v>
      </c>
      <c r="L2" s="1" t="s">
        <v>0</v>
      </c>
      <c r="M2" s="1"/>
      <c r="O2" s="2"/>
      <c r="P2" t="s">
        <v>604</v>
      </c>
      <c r="R2" t="s">
        <v>605</v>
      </c>
    </row>
    <row r="3" spans="1:18" x14ac:dyDescent="0.25">
      <c r="A3">
        <v>1000</v>
      </c>
      <c r="B3">
        <v>2859.4560550000001</v>
      </c>
      <c r="C3">
        <v>-18.098794999999999</v>
      </c>
      <c r="D3" t="s">
        <v>564</v>
      </c>
      <c r="E3">
        <f t="shared" ref="E3:E50" si="0">B3-$P$3</f>
        <v>1375.4560550000001</v>
      </c>
      <c r="F3">
        <f t="shared" ref="F3:F50" si="1">E3-$R$3</f>
        <v>743.90795500000013</v>
      </c>
      <c r="G3">
        <v>10</v>
      </c>
      <c r="H3">
        <f t="shared" ref="H3:H50" si="2">LN(F3)</f>
        <v>6.6119173107817382</v>
      </c>
      <c r="I3">
        <f t="shared" ref="I3:I28" si="3">LN(B3)</f>
        <v>7.9583866951659399</v>
      </c>
      <c r="K3" t="s">
        <v>2</v>
      </c>
      <c r="L3">
        <f>1/(0.0005)</f>
        <v>2000</v>
      </c>
      <c r="M3" s="3" t="s">
        <v>3</v>
      </c>
      <c r="O3" s="2"/>
      <c r="P3">
        <v>1484</v>
      </c>
      <c r="R3">
        <v>631.54809999999998</v>
      </c>
    </row>
    <row r="4" spans="1:18" x14ac:dyDescent="0.25">
      <c r="A4">
        <v>1000</v>
      </c>
      <c r="B4">
        <v>2684.60376</v>
      </c>
      <c r="C4">
        <v>-17.186363</v>
      </c>
      <c r="D4" t="s">
        <v>311</v>
      </c>
      <c r="E4">
        <f t="shared" si="0"/>
        <v>1200.60376</v>
      </c>
      <c r="F4">
        <f t="shared" si="1"/>
        <v>569.05565999999999</v>
      </c>
      <c r="G4">
        <v>20</v>
      </c>
      <c r="H4">
        <f t="shared" si="2"/>
        <v>6.3439782500803314</v>
      </c>
      <c r="I4">
        <f t="shared" si="3"/>
        <v>7.8952884206336469</v>
      </c>
      <c r="L4">
        <f>L3/60</f>
        <v>33.333333333333336</v>
      </c>
      <c r="M4" s="3" t="s">
        <v>4</v>
      </c>
    </row>
    <row r="5" spans="1:18" x14ac:dyDescent="0.25">
      <c r="A5">
        <v>1000</v>
      </c>
      <c r="B5">
        <v>2572.4672850000002</v>
      </c>
      <c r="C5">
        <v>-16.526744999999998</v>
      </c>
      <c r="D5" t="s">
        <v>565</v>
      </c>
      <c r="E5">
        <f t="shared" si="0"/>
        <v>1088.4672850000002</v>
      </c>
      <c r="F5">
        <f t="shared" si="1"/>
        <v>456.9191850000002</v>
      </c>
      <c r="G5">
        <v>30</v>
      </c>
      <c r="H5">
        <f t="shared" si="2"/>
        <v>6.1245065371821106</v>
      </c>
      <c r="I5">
        <f t="shared" si="3"/>
        <v>7.8526207504261745</v>
      </c>
      <c r="L5">
        <f>L4/60</f>
        <v>0.55555555555555558</v>
      </c>
      <c r="M5" s="3" t="s">
        <v>5</v>
      </c>
    </row>
    <row r="6" spans="1:18" x14ac:dyDescent="0.25">
      <c r="A6">
        <v>1000</v>
      </c>
      <c r="B6">
        <v>2477.9020999999998</v>
      </c>
      <c r="C6">
        <v>-15.797336</v>
      </c>
      <c r="D6" t="s">
        <v>313</v>
      </c>
      <c r="E6">
        <f t="shared" si="0"/>
        <v>993.90209999999979</v>
      </c>
      <c r="F6">
        <f t="shared" si="1"/>
        <v>362.35399999999981</v>
      </c>
      <c r="G6">
        <v>40</v>
      </c>
      <c r="H6">
        <f t="shared" si="2"/>
        <v>5.8926216345450015</v>
      </c>
      <c r="I6">
        <f t="shared" si="3"/>
        <v>7.8151675537411656</v>
      </c>
    </row>
    <row r="7" spans="1:18" x14ac:dyDescent="0.25">
      <c r="A7">
        <v>1000</v>
      </c>
      <c r="B7">
        <v>2416.330078</v>
      </c>
      <c r="C7">
        <v>-15.319304000000001</v>
      </c>
      <c r="D7" t="s">
        <v>566</v>
      </c>
      <c r="E7">
        <f t="shared" si="0"/>
        <v>932.33007799999996</v>
      </c>
      <c r="F7">
        <f t="shared" si="1"/>
        <v>300.78197799999998</v>
      </c>
      <c r="G7">
        <v>50</v>
      </c>
      <c r="H7">
        <f t="shared" si="2"/>
        <v>5.7063856767169661</v>
      </c>
      <c r="I7">
        <f t="shared" si="3"/>
        <v>7.7900051714115541</v>
      </c>
    </row>
    <row r="8" spans="1:18" x14ac:dyDescent="0.25">
      <c r="A8">
        <v>1000</v>
      </c>
      <c r="B8">
        <v>2367.0034179999998</v>
      </c>
      <c r="C8">
        <v>-14.943193000000001</v>
      </c>
      <c r="D8" t="s">
        <v>315</v>
      </c>
      <c r="E8">
        <f t="shared" si="0"/>
        <v>883.00341799999978</v>
      </c>
      <c r="F8">
        <f t="shared" si="1"/>
        <v>251.45531799999981</v>
      </c>
      <c r="G8">
        <v>60</v>
      </c>
      <c r="H8">
        <f t="shared" si="2"/>
        <v>5.5272653117281925</v>
      </c>
      <c r="I8">
        <f t="shared" si="3"/>
        <v>7.7693800535349098</v>
      </c>
    </row>
    <row r="9" spans="1:18" x14ac:dyDescent="0.25">
      <c r="A9">
        <v>1000</v>
      </c>
      <c r="B9">
        <v>2335.600586</v>
      </c>
      <c r="C9">
        <v>-14.792081</v>
      </c>
      <c r="D9" t="s">
        <v>567</v>
      </c>
      <c r="E9">
        <f t="shared" si="0"/>
        <v>851.60058600000002</v>
      </c>
      <c r="F9">
        <f t="shared" si="1"/>
        <v>220.05248600000004</v>
      </c>
      <c r="G9">
        <v>70</v>
      </c>
      <c r="H9">
        <f t="shared" si="2"/>
        <v>5.3938660906256866</v>
      </c>
      <c r="I9">
        <f t="shared" si="3"/>
        <v>7.756024347308478</v>
      </c>
    </row>
    <row r="10" spans="1:18" x14ac:dyDescent="0.25">
      <c r="A10">
        <v>1000</v>
      </c>
      <c r="B10">
        <v>2304.0878910000001</v>
      </c>
      <c r="C10">
        <v>-14.562163999999999</v>
      </c>
      <c r="D10" t="s">
        <v>568</v>
      </c>
      <c r="E10">
        <f t="shared" si="0"/>
        <v>820.08789100000013</v>
      </c>
      <c r="F10">
        <f t="shared" si="1"/>
        <v>188.53979100000015</v>
      </c>
      <c r="G10">
        <v>80</v>
      </c>
      <c r="H10">
        <f t="shared" si="2"/>
        <v>5.2393090774493043</v>
      </c>
      <c r="I10">
        <f t="shared" si="3"/>
        <v>7.7424401682236148</v>
      </c>
    </row>
    <row r="11" spans="1:18" x14ac:dyDescent="0.25">
      <c r="A11">
        <v>1000</v>
      </c>
      <c r="B11">
        <v>2281.3046880000002</v>
      </c>
      <c r="C11">
        <v>-14.389893000000001</v>
      </c>
      <c r="D11" t="s">
        <v>569</v>
      </c>
      <c r="E11">
        <f t="shared" si="0"/>
        <v>797.30468800000017</v>
      </c>
      <c r="F11">
        <f t="shared" si="1"/>
        <v>165.75658800000019</v>
      </c>
      <c r="G11">
        <v>90</v>
      </c>
      <c r="H11">
        <f t="shared" si="2"/>
        <v>5.1105203748824328</v>
      </c>
      <c r="I11">
        <f t="shared" si="3"/>
        <v>7.732502789865376</v>
      </c>
    </row>
    <row r="12" spans="1:18" x14ac:dyDescent="0.25">
      <c r="A12">
        <v>1000</v>
      </c>
      <c r="B12">
        <v>2258.7028810000002</v>
      </c>
      <c r="C12">
        <v>-14.155398</v>
      </c>
      <c r="D12" t="s">
        <v>319</v>
      </c>
      <c r="E12">
        <f t="shared" si="0"/>
        <v>774.70288100000016</v>
      </c>
      <c r="F12">
        <f t="shared" si="1"/>
        <v>143.15478100000018</v>
      </c>
      <c r="G12">
        <v>100</v>
      </c>
      <c r="H12">
        <f t="shared" si="2"/>
        <v>4.9639264295194145</v>
      </c>
      <c r="I12">
        <f t="shared" si="3"/>
        <v>7.7225459810358359</v>
      </c>
    </row>
    <row r="13" spans="1:18" x14ac:dyDescent="0.25">
      <c r="A13">
        <v>1000</v>
      </c>
      <c r="B13">
        <v>2238.8278810000002</v>
      </c>
      <c r="C13">
        <v>-13.936832000000001</v>
      </c>
      <c r="D13" t="s">
        <v>570</v>
      </c>
      <c r="E13">
        <f t="shared" si="0"/>
        <v>754.82788100000016</v>
      </c>
      <c r="F13">
        <f t="shared" si="1"/>
        <v>123.27978100000018</v>
      </c>
      <c r="G13">
        <v>110</v>
      </c>
      <c r="H13">
        <f t="shared" si="2"/>
        <v>4.8144564145664166</v>
      </c>
      <c r="I13">
        <f t="shared" si="3"/>
        <v>7.7137077404862024</v>
      </c>
    </row>
    <row r="14" spans="1:18" x14ac:dyDescent="0.25">
      <c r="A14">
        <v>1000</v>
      </c>
      <c r="B14">
        <v>2222.8171390000002</v>
      </c>
      <c r="C14">
        <v>-13.796637</v>
      </c>
      <c r="D14" t="s">
        <v>321</v>
      </c>
      <c r="E14">
        <f t="shared" si="0"/>
        <v>738.81713900000022</v>
      </c>
      <c r="F14">
        <f t="shared" si="1"/>
        <v>107.26903900000025</v>
      </c>
      <c r="G14">
        <v>120</v>
      </c>
      <c r="H14">
        <f t="shared" si="2"/>
        <v>4.675340061866871</v>
      </c>
      <c r="I14">
        <f t="shared" si="3"/>
        <v>7.7065306519212982</v>
      </c>
    </row>
    <row r="15" spans="1:18" x14ac:dyDescent="0.25">
      <c r="A15">
        <v>1000</v>
      </c>
      <c r="B15">
        <v>2209.90625</v>
      </c>
      <c r="C15">
        <v>-13.672668</v>
      </c>
      <c r="D15" t="s">
        <v>571</v>
      </c>
      <c r="E15">
        <f t="shared" si="0"/>
        <v>725.90625</v>
      </c>
      <c r="F15">
        <f t="shared" si="1"/>
        <v>94.358150000000023</v>
      </c>
      <c r="G15">
        <v>130</v>
      </c>
      <c r="H15">
        <f t="shared" si="2"/>
        <v>4.547097648582124</v>
      </c>
      <c r="I15">
        <f t="shared" si="3"/>
        <v>7.7007053727975308</v>
      </c>
    </row>
    <row r="16" spans="1:18" x14ac:dyDescent="0.25">
      <c r="A16">
        <v>1000</v>
      </c>
      <c r="B16">
        <v>2198.3591310000002</v>
      </c>
      <c r="C16">
        <v>-13.547348</v>
      </c>
      <c r="D16" t="s">
        <v>572</v>
      </c>
      <c r="E16">
        <f t="shared" si="0"/>
        <v>714.35913100000016</v>
      </c>
      <c r="F16">
        <f t="shared" si="1"/>
        <v>82.811031000000185</v>
      </c>
      <c r="G16">
        <v>140</v>
      </c>
      <c r="H16">
        <f t="shared" si="2"/>
        <v>4.4165612771552833</v>
      </c>
      <c r="I16">
        <f t="shared" si="3"/>
        <v>7.6954665115168002</v>
      </c>
    </row>
    <row r="17" spans="1:9" x14ac:dyDescent="0.25">
      <c r="A17">
        <v>1000</v>
      </c>
      <c r="B17">
        <v>2185.6359859999998</v>
      </c>
      <c r="C17">
        <v>-13.369762</v>
      </c>
      <c r="D17" t="s">
        <v>573</v>
      </c>
      <c r="E17">
        <f t="shared" si="0"/>
        <v>701.63598599999978</v>
      </c>
      <c r="F17">
        <f t="shared" si="1"/>
        <v>70.087885999999799</v>
      </c>
      <c r="G17">
        <v>150</v>
      </c>
      <c r="H17">
        <f t="shared" si="2"/>
        <v>4.2497499688360847</v>
      </c>
      <c r="I17">
        <f t="shared" si="3"/>
        <v>7.6896621342848475</v>
      </c>
    </row>
    <row r="18" spans="1:9" x14ac:dyDescent="0.25">
      <c r="A18">
        <v>1000</v>
      </c>
      <c r="B18">
        <v>2175.4682619999999</v>
      </c>
      <c r="C18">
        <v>-13.247394</v>
      </c>
      <c r="D18" t="s">
        <v>325</v>
      </c>
      <c r="E18">
        <f t="shared" si="0"/>
        <v>691.46826199999987</v>
      </c>
      <c r="F18">
        <f t="shared" si="1"/>
        <v>59.920161999999891</v>
      </c>
      <c r="G18">
        <v>160</v>
      </c>
      <c r="H18">
        <f t="shared" si="2"/>
        <v>4.0930130428101137</v>
      </c>
      <c r="I18">
        <f t="shared" si="3"/>
        <v>7.6849992132241631</v>
      </c>
    </row>
    <row r="19" spans="1:9" x14ac:dyDescent="0.25">
      <c r="A19">
        <v>1000</v>
      </c>
      <c r="B19">
        <v>2166.6171880000002</v>
      </c>
      <c r="C19">
        <v>-13.129149</v>
      </c>
      <c r="D19" t="s">
        <v>326</v>
      </c>
      <c r="E19">
        <f t="shared" si="0"/>
        <v>682.61718800000017</v>
      </c>
      <c r="F19">
        <f t="shared" si="1"/>
        <v>51.069088000000193</v>
      </c>
      <c r="G19">
        <v>170</v>
      </c>
      <c r="H19">
        <f t="shared" si="2"/>
        <v>3.9331793826579258</v>
      </c>
      <c r="I19">
        <f t="shared" si="3"/>
        <v>7.6809223306471743</v>
      </c>
    </row>
    <row r="20" spans="1:9" x14ac:dyDescent="0.25">
      <c r="A20">
        <v>1000</v>
      </c>
      <c r="B20">
        <v>2156.2607419999999</v>
      </c>
      <c r="C20">
        <v>-12.944898999999999</v>
      </c>
      <c r="D20" t="s">
        <v>574</v>
      </c>
      <c r="E20">
        <f t="shared" si="0"/>
        <v>672.26074199999994</v>
      </c>
      <c r="F20">
        <f t="shared" si="1"/>
        <v>40.71264199999996</v>
      </c>
      <c r="G20">
        <v>180</v>
      </c>
      <c r="H20">
        <f t="shared" si="2"/>
        <v>3.7065386584685434</v>
      </c>
      <c r="I20">
        <f t="shared" si="3"/>
        <v>7.6761308625643618</v>
      </c>
    </row>
    <row r="21" spans="1:9" x14ac:dyDescent="0.25">
      <c r="A21">
        <v>1000</v>
      </c>
      <c r="B21">
        <v>2149.1835940000001</v>
      </c>
      <c r="C21">
        <v>-12.873699999999999</v>
      </c>
      <c r="D21" t="s">
        <v>575</v>
      </c>
      <c r="E21">
        <f t="shared" si="0"/>
        <v>665.18359400000008</v>
      </c>
      <c r="F21">
        <f t="shared" si="1"/>
        <v>33.635494000000108</v>
      </c>
      <c r="G21">
        <v>190</v>
      </c>
      <c r="H21">
        <f t="shared" si="2"/>
        <v>3.5155818784516271</v>
      </c>
      <c r="I21">
        <f t="shared" si="3"/>
        <v>7.6728433252874702</v>
      </c>
    </row>
    <row r="22" spans="1:9" x14ac:dyDescent="0.25">
      <c r="A22">
        <v>1000</v>
      </c>
      <c r="B22">
        <v>2142.7875979999999</v>
      </c>
      <c r="C22">
        <v>-12.781983</v>
      </c>
      <c r="D22" t="s">
        <v>576</v>
      </c>
      <c r="E22">
        <f t="shared" si="0"/>
        <v>658.78759799999989</v>
      </c>
      <c r="F22">
        <f t="shared" si="1"/>
        <v>27.239497999999912</v>
      </c>
      <c r="G22">
        <v>200</v>
      </c>
      <c r="H22">
        <f t="shared" si="2"/>
        <v>3.304668052330292</v>
      </c>
      <c r="I22">
        <f t="shared" si="3"/>
        <v>7.6698628762357162</v>
      </c>
    </row>
    <row r="23" spans="1:9" x14ac:dyDescent="0.25">
      <c r="A23">
        <v>1000</v>
      </c>
      <c r="B23">
        <v>2136.2795409999999</v>
      </c>
      <c r="C23">
        <v>-12.690241</v>
      </c>
      <c r="D23" t="s">
        <v>577</v>
      </c>
      <c r="E23">
        <f t="shared" si="0"/>
        <v>652.27954099999988</v>
      </c>
      <c r="F23">
        <f t="shared" si="1"/>
        <v>20.731440999999904</v>
      </c>
      <c r="G23">
        <v>210</v>
      </c>
      <c r="H23">
        <f t="shared" si="2"/>
        <v>3.0316514368151877</v>
      </c>
      <c r="I23">
        <f t="shared" si="3"/>
        <v>7.6668210627718718</v>
      </c>
    </row>
    <row r="24" spans="1:9" x14ac:dyDescent="0.25">
      <c r="A24">
        <v>1000</v>
      </c>
      <c r="B24">
        <v>2129.23999</v>
      </c>
      <c r="C24">
        <v>-12.581272</v>
      </c>
      <c r="D24" t="s">
        <v>331</v>
      </c>
      <c r="E24">
        <f t="shared" si="0"/>
        <v>645.23999000000003</v>
      </c>
      <c r="F24">
        <f t="shared" si="1"/>
        <v>13.691890000000058</v>
      </c>
      <c r="G24">
        <v>220</v>
      </c>
      <c r="H24">
        <f t="shared" si="2"/>
        <v>2.6168036867472693</v>
      </c>
      <c r="I24">
        <f t="shared" si="3"/>
        <v>7.6635203828242764</v>
      </c>
    </row>
    <row r="25" spans="1:9" x14ac:dyDescent="0.25">
      <c r="A25">
        <v>1000</v>
      </c>
      <c r="B25">
        <v>2124.1115719999998</v>
      </c>
      <c r="C25">
        <v>-12.498846</v>
      </c>
      <c r="D25" t="s">
        <v>578</v>
      </c>
      <c r="E25">
        <f t="shared" si="0"/>
        <v>640.1115719999998</v>
      </c>
      <c r="F25">
        <f t="shared" si="1"/>
        <v>8.5634719999998197</v>
      </c>
      <c r="G25">
        <v>230</v>
      </c>
      <c r="H25">
        <f t="shared" si="2"/>
        <v>2.1475057153937889</v>
      </c>
      <c r="I25">
        <f t="shared" si="3"/>
        <v>7.6611089101724268</v>
      </c>
    </row>
    <row r="26" spans="1:9" x14ac:dyDescent="0.25">
      <c r="A26">
        <v>1000</v>
      </c>
      <c r="B26">
        <v>2118.4941410000001</v>
      </c>
      <c r="C26">
        <v>-12.385327</v>
      </c>
      <c r="D26" t="s">
        <v>333</v>
      </c>
      <c r="E26">
        <f t="shared" si="0"/>
        <v>634.49414100000013</v>
      </c>
      <c r="F26">
        <f t="shared" si="1"/>
        <v>2.9460410000001502</v>
      </c>
      <c r="G26">
        <v>240</v>
      </c>
      <c r="H26">
        <f t="shared" si="2"/>
        <v>1.0804622351194781</v>
      </c>
      <c r="I26">
        <f t="shared" si="3"/>
        <v>7.6584608044267259</v>
      </c>
    </row>
    <row r="27" spans="1:9" x14ac:dyDescent="0.25">
      <c r="A27">
        <v>1000</v>
      </c>
      <c r="B27">
        <v>2113.8969729999999</v>
      </c>
      <c r="C27">
        <v>-12.316179</v>
      </c>
      <c r="D27" t="s">
        <v>334</v>
      </c>
      <c r="E27">
        <f t="shared" si="0"/>
        <v>629.89697299999989</v>
      </c>
      <c r="F27">
        <f t="shared" si="1"/>
        <v>-1.6511270000000877</v>
      </c>
      <c r="G27">
        <v>250</v>
      </c>
      <c r="H27" t="e">
        <f t="shared" si="2"/>
        <v>#NUM!</v>
      </c>
      <c r="I27">
        <f t="shared" si="3"/>
        <v>7.6562884296701919</v>
      </c>
    </row>
    <row r="28" spans="1:9" x14ac:dyDescent="0.25">
      <c r="A28">
        <v>1000</v>
      </c>
      <c r="B28">
        <v>2108.8889159999999</v>
      </c>
      <c r="C28">
        <v>-12.222742</v>
      </c>
      <c r="D28" t="s">
        <v>335</v>
      </c>
      <c r="E28">
        <f t="shared" si="0"/>
        <v>624.88891599999988</v>
      </c>
      <c r="F28">
        <f t="shared" si="1"/>
        <v>-6.6591840000000957</v>
      </c>
      <c r="G28">
        <v>260</v>
      </c>
      <c r="H28" t="e">
        <f t="shared" si="2"/>
        <v>#NUM!</v>
      </c>
      <c r="I28">
        <f t="shared" si="3"/>
        <v>7.6539165076833369</v>
      </c>
    </row>
    <row r="29" spans="1:9" x14ac:dyDescent="0.25">
      <c r="A29">
        <v>1000</v>
      </c>
      <c r="B29">
        <v>2104.313721</v>
      </c>
      <c r="C29">
        <v>-12.148852</v>
      </c>
      <c r="D29" t="s">
        <v>579</v>
      </c>
      <c r="E29">
        <f t="shared" si="0"/>
        <v>620.31372099999999</v>
      </c>
      <c r="F29">
        <f t="shared" si="1"/>
        <v>-11.23437899999999</v>
      </c>
      <c r="G29">
        <v>270</v>
      </c>
      <c r="H29" t="e">
        <f t="shared" si="2"/>
        <v>#NUM!</v>
      </c>
      <c r="I29">
        <f t="shared" ref="I29:I48" si="4">LN(B29)</f>
        <v>7.6517446696814293</v>
      </c>
    </row>
    <row r="30" spans="1:9" x14ac:dyDescent="0.25">
      <c r="A30">
        <v>1000</v>
      </c>
      <c r="B30">
        <v>2101.4418949999999</v>
      </c>
      <c r="C30">
        <v>-12.073556999999999</v>
      </c>
      <c r="D30" t="s">
        <v>580</v>
      </c>
      <c r="E30">
        <f t="shared" si="0"/>
        <v>617.44189499999993</v>
      </c>
      <c r="F30">
        <f t="shared" si="1"/>
        <v>-14.106205000000045</v>
      </c>
      <c r="G30">
        <v>280</v>
      </c>
      <c r="H30" t="e">
        <f t="shared" si="2"/>
        <v>#NUM!</v>
      </c>
      <c r="I30">
        <f t="shared" si="4"/>
        <v>7.6503790047648019</v>
      </c>
    </row>
    <row r="31" spans="1:9" x14ac:dyDescent="0.25">
      <c r="A31">
        <v>1000</v>
      </c>
      <c r="B31">
        <v>2096.4526369999999</v>
      </c>
      <c r="C31">
        <v>-11.979901</v>
      </c>
      <c r="D31" t="s">
        <v>581</v>
      </c>
      <c r="E31">
        <f t="shared" si="0"/>
        <v>612.45263699999987</v>
      </c>
      <c r="F31">
        <f t="shared" si="1"/>
        <v>-19.095463000000109</v>
      </c>
      <c r="G31">
        <v>290</v>
      </c>
      <c r="H31" t="e">
        <f t="shared" si="2"/>
        <v>#NUM!</v>
      </c>
      <c r="I31">
        <f t="shared" si="4"/>
        <v>7.6480019748936661</v>
      </c>
    </row>
    <row r="32" spans="1:9" x14ac:dyDescent="0.25">
      <c r="A32">
        <v>1000</v>
      </c>
      <c r="B32">
        <v>2092.4553219999998</v>
      </c>
      <c r="C32">
        <v>-11.893609</v>
      </c>
      <c r="D32" t="s">
        <v>582</v>
      </c>
      <c r="E32">
        <f t="shared" si="0"/>
        <v>608.4553219999998</v>
      </c>
      <c r="F32">
        <f t="shared" si="1"/>
        <v>-23.09277800000018</v>
      </c>
      <c r="G32">
        <v>300</v>
      </c>
      <c r="H32" t="e">
        <f t="shared" si="2"/>
        <v>#NUM!</v>
      </c>
      <c r="I32">
        <f t="shared" si="4"/>
        <v>7.6460934506422547</v>
      </c>
    </row>
    <row r="33" spans="1:21" x14ac:dyDescent="0.25">
      <c r="A33">
        <v>1000</v>
      </c>
      <c r="B33">
        <v>2089.4284670000002</v>
      </c>
      <c r="C33">
        <v>-11.826222</v>
      </c>
      <c r="D33" t="s">
        <v>583</v>
      </c>
      <c r="E33">
        <f t="shared" si="0"/>
        <v>605.42846700000018</v>
      </c>
      <c r="F33">
        <f t="shared" si="1"/>
        <v>-26.119632999999794</v>
      </c>
      <c r="G33">
        <v>310</v>
      </c>
      <c r="H33" t="e">
        <f t="shared" si="2"/>
        <v>#NUM!</v>
      </c>
      <c r="I33">
        <f t="shared" si="4"/>
        <v>7.6446458467960934</v>
      </c>
    </row>
    <row r="34" spans="1:21" x14ac:dyDescent="0.25">
      <c r="A34">
        <v>1000</v>
      </c>
      <c r="B34">
        <v>2085.7653810000002</v>
      </c>
      <c r="C34">
        <v>-11.754286</v>
      </c>
      <c r="D34" t="s">
        <v>584</v>
      </c>
      <c r="E34">
        <f t="shared" si="0"/>
        <v>601.76538100000016</v>
      </c>
      <c r="F34">
        <f t="shared" si="1"/>
        <v>-29.782718999999815</v>
      </c>
      <c r="G34">
        <v>320</v>
      </c>
      <c r="H34" t="e">
        <f t="shared" si="2"/>
        <v>#NUM!</v>
      </c>
      <c r="I34">
        <f t="shared" si="4"/>
        <v>7.6428911560807755</v>
      </c>
    </row>
    <row r="35" spans="1:21" x14ac:dyDescent="0.25">
      <c r="A35">
        <v>1000</v>
      </c>
      <c r="B35">
        <v>2082.6752929999998</v>
      </c>
      <c r="C35">
        <v>-11.678732</v>
      </c>
      <c r="D35" t="s">
        <v>585</v>
      </c>
      <c r="E35">
        <f t="shared" si="0"/>
        <v>598.67529299999978</v>
      </c>
      <c r="F35">
        <f t="shared" si="1"/>
        <v>-32.872807000000194</v>
      </c>
      <c r="G35">
        <v>330</v>
      </c>
      <c r="H35" t="e">
        <f t="shared" si="2"/>
        <v>#NUM!</v>
      </c>
      <c r="I35">
        <f t="shared" si="4"/>
        <v>7.6414085448082627</v>
      </c>
    </row>
    <row r="36" spans="1:21" x14ac:dyDescent="0.25">
      <c r="A36">
        <v>1000</v>
      </c>
      <c r="B36">
        <v>2080.16626</v>
      </c>
      <c r="C36">
        <v>-11.610455999999999</v>
      </c>
      <c r="D36" t="s">
        <v>586</v>
      </c>
      <c r="E36">
        <f t="shared" si="0"/>
        <v>596.16625999999997</v>
      </c>
      <c r="F36">
        <f t="shared" si="1"/>
        <v>-35.381840000000011</v>
      </c>
      <c r="G36">
        <v>340</v>
      </c>
      <c r="H36" t="e">
        <f t="shared" si="2"/>
        <v>#NUM!</v>
      </c>
      <c r="I36">
        <f t="shared" si="4"/>
        <v>7.6402031021932242</v>
      </c>
    </row>
    <row r="37" spans="1:21" x14ac:dyDescent="0.25">
      <c r="A37">
        <v>1000</v>
      </c>
      <c r="B37">
        <v>2077.6008299999999</v>
      </c>
      <c r="C37">
        <v>-11.548109999999999</v>
      </c>
      <c r="D37" t="s">
        <v>587</v>
      </c>
      <c r="E37">
        <f t="shared" si="0"/>
        <v>593.60082999999986</v>
      </c>
      <c r="F37">
        <f t="shared" si="1"/>
        <v>-37.947270000000117</v>
      </c>
      <c r="G37">
        <v>350</v>
      </c>
      <c r="H37" t="e">
        <f t="shared" si="2"/>
        <v>#NUM!</v>
      </c>
      <c r="I37">
        <f t="shared" si="4"/>
        <v>7.6389690598478817</v>
      </c>
    </row>
    <row r="38" spans="1:21" x14ac:dyDescent="0.25">
      <c r="A38">
        <v>1000</v>
      </c>
      <c r="B38">
        <v>2074.514893</v>
      </c>
      <c r="C38">
        <v>-11.483523999999999</v>
      </c>
      <c r="D38" t="s">
        <v>345</v>
      </c>
      <c r="E38">
        <f t="shared" si="0"/>
        <v>590.51489300000003</v>
      </c>
      <c r="F38">
        <f t="shared" si="1"/>
        <v>-41.033206999999948</v>
      </c>
      <c r="G38">
        <v>360</v>
      </c>
      <c r="H38" t="e">
        <f t="shared" si="2"/>
        <v>#NUM!</v>
      </c>
      <c r="I38">
        <f t="shared" si="4"/>
        <v>7.6374826188264491</v>
      </c>
    </row>
    <row r="39" spans="1:21" x14ac:dyDescent="0.25">
      <c r="A39">
        <v>1000</v>
      </c>
      <c r="B39">
        <v>2072.1137699999999</v>
      </c>
      <c r="C39">
        <v>-11.428037</v>
      </c>
      <c r="D39" t="s">
        <v>346</v>
      </c>
      <c r="E39">
        <f t="shared" si="0"/>
        <v>588.11376999999993</v>
      </c>
      <c r="F39">
        <f t="shared" si="1"/>
        <v>-43.434330000000045</v>
      </c>
      <c r="G39">
        <v>370</v>
      </c>
      <c r="H39" t="e">
        <f t="shared" si="2"/>
        <v>#NUM!</v>
      </c>
      <c r="I39">
        <f t="shared" si="4"/>
        <v>7.6363245101731261</v>
      </c>
      <c r="T39">
        <v>-1.9099999999999999E-2</v>
      </c>
    </row>
    <row r="40" spans="1:21" x14ac:dyDescent="0.25">
      <c r="A40">
        <v>1000</v>
      </c>
      <c r="B40">
        <v>2069.8278810000002</v>
      </c>
      <c r="C40">
        <v>-11.377369</v>
      </c>
      <c r="D40" t="s">
        <v>588</v>
      </c>
      <c r="E40">
        <f t="shared" si="0"/>
        <v>585.82788100000016</v>
      </c>
      <c r="F40">
        <f t="shared" si="1"/>
        <v>-45.720218999999815</v>
      </c>
      <c r="G40">
        <v>380</v>
      </c>
      <c r="H40" t="e">
        <f t="shared" si="2"/>
        <v>#NUM!</v>
      </c>
      <c r="I40">
        <f t="shared" si="4"/>
        <v>7.6352207335269595</v>
      </c>
      <c r="S40" t="s">
        <v>2</v>
      </c>
      <c r="T40">
        <f>1/ABS(T39)</f>
        <v>52.356020942408378</v>
      </c>
      <c r="U40" s="3" t="s">
        <v>3</v>
      </c>
    </row>
    <row r="41" spans="1:21" x14ac:dyDescent="0.25">
      <c r="A41">
        <v>1000</v>
      </c>
      <c r="B41">
        <v>2067.8625489999999</v>
      </c>
      <c r="C41">
        <v>-11.311062</v>
      </c>
      <c r="D41" t="s">
        <v>348</v>
      </c>
      <c r="E41">
        <f t="shared" si="0"/>
        <v>583.86254899999994</v>
      </c>
      <c r="F41">
        <f t="shared" si="1"/>
        <v>-47.685551000000032</v>
      </c>
      <c r="G41">
        <v>390</v>
      </c>
      <c r="H41" t="e">
        <f t="shared" si="2"/>
        <v>#NUM!</v>
      </c>
      <c r="I41">
        <f t="shared" si="4"/>
        <v>7.634270767752068</v>
      </c>
      <c r="T41">
        <f>T40/60</f>
        <v>0.87260034904013961</v>
      </c>
      <c r="U41" s="3" t="s">
        <v>4</v>
      </c>
    </row>
    <row r="42" spans="1:21" x14ac:dyDescent="0.25">
      <c r="A42">
        <v>1000</v>
      </c>
      <c r="B42">
        <v>2065.2272950000001</v>
      </c>
      <c r="C42">
        <v>-11.263237999999999</v>
      </c>
      <c r="D42" t="s">
        <v>589</v>
      </c>
      <c r="E42">
        <f t="shared" si="0"/>
        <v>581.22729500000014</v>
      </c>
      <c r="F42">
        <f t="shared" si="1"/>
        <v>-50.320804999999837</v>
      </c>
      <c r="G42">
        <v>400</v>
      </c>
      <c r="H42" t="e">
        <f t="shared" si="2"/>
        <v>#NUM!</v>
      </c>
      <c r="I42">
        <f t="shared" si="4"/>
        <v>7.632995569555769</v>
      </c>
      <c r="T42">
        <f>T41/60</f>
        <v>1.4543339150668994E-2</v>
      </c>
      <c r="U42" s="3" t="s">
        <v>5</v>
      </c>
    </row>
    <row r="43" spans="1:21" x14ac:dyDescent="0.25">
      <c r="A43">
        <v>1000</v>
      </c>
      <c r="B43">
        <v>2062.9506839999999</v>
      </c>
      <c r="C43">
        <v>-11.18708</v>
      </c>
      <c r="D43" t="s">
        <v>590</v>
      </c>
      <c r="E43">
        <f t="shared" si="0"/>
        <v>578.95068399999991</v>
      </c>
      <c r="F43">
        <f t="shared" si="1"/>
        <v>-52.597416000000067</v>
      </c>
      <c r="G43">
        <v>410</v>
      </c>
      <c r="H43" t="e">
        <f t="shared" si="2"/>
        <v>#NUM!</v>
      </c>
      <c r="I43">
        <f t="shared" si="4"/>
        <v>7.6318926077927935</v>
      </c>
    </row>
    <row r="44" spans="1:21" x14ac:dyDescent="0.25">
      <c r="A44">
        <v>1000</v>
      </c>
      <c r="B44">
        <v>2060.8481449999999</v>
      </c>
      <c r="C44">
        <v>-11.157697000000001</v>
      </c>
      <c r="D44" t="s">
        <v>591</v>
      </c>
      <c r="E44">
        <f t="shared" si="0"/>
        <v>576.84814499999993</v>
      </c>
      <c r="F44">
        <f t="shared" si="1"/>
        <v>-54.699955000000045</v>
      </c>
      <c r="G44">
        <v>420</v>
      </c>
      <c r="H44" t="e">
        <f t="shared" si="2"/>
        <v>#NUM!</v>
      </c>
      <c r="I44">
        <f t="shared" si="4"/>
        <v>7.6308728979236315</v>
      </c>
    </row>
    <row r="45" spans="1:21" x14ac:dyDescent="0.25">
      <c r="A45">
        <v>1000</v>
      </c>
      <c r="B45">
        <v>2060.2590329999998</v>
      </c>
      <c r="C45">
        <v>-11.141919</v>
      </c>
      <c r="D45" t="s">
        <v>592</v>
      </c>
      <c r="E45">
        <f t="shared" si="0"/>
        <v>576.25903299999982</v>
      </c>
      <c r="F45">
        <f t="shared" si="1"/>
        <v>-55.289067000000159</v>
      </c>
      <c r="G45">
        <v>430</v>
      </c>
      <c r="H45" t="e">
        <f t="shared" si="2"/>
        <v>#NUM!</v>
      </c>
      <c r="I45">
        <f t="shared" si="4"/>
        <v>7.6305869980532481</v>
      </c>
    </row>
    <row r="46" spans="1:21" x14ac:dyDescent="0.25">
      <c r="A46">
        <v>1000</v>
      </c>
      <c r="B46">
        <v>2057.8972170000002</v>
      </c>
      <c r="C46">
        <v>-11.074805</v>
      </c>
      <c r="D46" t="s">
        <v>593</v>
      </c>
      <c r="E46">
        <f t="shared" si="0"/>
        <v>573.89721700000018</v>
      </c>
      <c r="F46">
        <f t="shared" si="1"/>
        <v>-57.650882999999794</v>
      </c>
      <c r="G46">
        <v>440</v>
      </c>
      <c r="H46" t="e">
        <f t="shared" si="2"/>
        <v>#NUM!</v>
      </c>
      <c r="I46">
        <f t="shared" si="4"/>
        <v>7.6294399719981065</v>
      </c>
    </row>
    <row r="47" spans="1:21" x14ac:dyDescent="0.25">
      <c r="A47">
        <v>1000</v>
      </c>
      <c r="B47">
        <v>2055.8618160000001</v>
      </c>
      <c r="C47">
        <v>-11.011039</v>
      </c>
      <c r="D47" t="s">
        <v>594</v>
      </c>
      <c r="E47">
        <f t="shared" si="0"/>
        <v>571.86181600000009</v>
      </c>
      <c r="F47">
        <f t="shared" si="1"/>
        <v>-59.686283999999887</v>
      </c>
      <c r="G47">
        <v>450</v>
      </c>
      <c r="H47" t="e">
        <f t="shared" si="2"/>
        <v>#NUM!</v>
      </c>
      <c r="I47">
        <f t="shared" si="4"/>
        <v>7.628450414199623</v>
      </c>
    </row>
    <row r="48" spans="1:21" x14ac:dyDescent="0.25">
      <c r="A48">
        <v>1000</v>
      </c>
      <c r="B48">
        <v>2054.7465820000002</v>
      </c>
      <c r="C48">
        <v>-10.950538</v>
      </c>
      <c r="D48" t="s">
        <v>595</v>
      </c>
      <c r="E48">
        <f t="shared" si="0"/>
        <v>570.74658200000022</v>
      </c>
      <c r="F48">
        <f t="shared" si="1"/>
        <v>-60.80151799999976</v>
      </c>
      <c r="G48">
        <v>460</v>
      </c>
      <c r="H48" t="e">
        <f t="shared" si="2"/>
        <v>#NUM!</v>
      </c>
      <c r="I48">
        <f t="shared" si="4"/>
        <v>7.6279078015645174</v>
      </c>
    </row>
    <row r="49" spans="1:9" x14ac:dyDescent="0.25">
      <c r="A49">
        <v>1000</v>
      </c>
      <c r="B49">
        <v>2052.9772950000001</v>
      </c>
      <c r="C49">
        <v>-10.899077999999999</v>
      </c>
      <c r="D49" t="s">
        <v>356</v>
      </c>
      <c r="E49">
        <f t="shared" si="0"/>
        <v>568.97729500000014</v>
      </c>
      <c r="F49">
        <f t="shared" si="1"/>
        <v>-62.570804999999837</v>
      </c>
      <c r="G49">
        <v>470</v>
      </c>
      <c r="H49" t="e">
        <f t="shared" si="2"/>
        <v>#NUM!</v>
      </c>
      <c r="I49">
        <f t="shared" ref="I49:I50" si="5">LN(B49)</f>
        <v>7.6270463575325467</v>
      </c>
    </row>
    <row r="50" spans="1:9" x14ac:dyDescent="0.25">
      <c r="A50">
        <v>1000</v>
      </c>
      <c r="B50">
        <v>2051.506836</v>
      </c>
      <c r="C50">
        <v>-10.860147</v>
      </c>
      <c r="D50" t="s">
        <v>596</v>
      </c>
      <c r="E50">
        <f t="shared" si="0"/>
        <v>567.50683600000002</v>
      </c>
      <c r="F50">
        <f t="shared" si="1"/>
        <v>-64.041263999999956</v>
      </c>
      <c r="G50">
        <v>480</v>
      </c>
      <c r="H50" t="e">
        <f t="shared" si="2"/>
        <v>#NUM!</v>
      </c>
      <c r="I50">
        <f t="shared" si="5"/>
        <v>7.626329844072643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L12" sqref="L12"/>
    </sheetView>
  </sheetViews>
  <sheetFormatPr baseColWidth="10" defaultRowHeight="15" x14ac:dyDescent="0.25"/>
  <cols>
    <col min="2" max="2" width="12.140625" bestFit="1" customWidth="1"/>
    <col min="3" max="3" width="14.28515625" bestFit="1" customWidth="1"/>
    <col min="4" max="4" width="12.85546875" bestFit="1" customWidth="1"/>
    <col min="5" max="5" width="15" bestFit="1" customWidth="1"/>
    <col min="6" max="6" width="12.42578125" bestFit="1" customWidth="1"/>
    <col min="7" max="7" width="14.5703125" bestFit="1" customWidth="1"/>
  </cols>
  <sheetData>
    <row r="1" spans="1:8" x14ac:dyDescent="0.25">
      <c r="A1" t="s">
        <v>611</v>
      </c>
    </row>
    <row r="2" spans="1:8" x14ac:dyDescent="0.25">
      <c r="B2" t="s">
        <v>609</v>
      </c>
      <c r="C2" t="s">
        <v>610</v>
      </c>
      <c r="D2" t="s">
        <v>615</v>
      </c>
      <c r="E2" t="s">
        <v>614</v>
      </c>
      <c r="F2" t="s">
        <v>613</v>
      </c>
      <c r="G2" t="s">
        <v>612</v>
      </c>
    </row>
    <row r="3" spans="1:8" x14ac:dyDescent="0.25">
      <c r="A3" t="s">
        <v>616</v>
      </c>
      <c r="B3" s="5" t="s">
        <v>607</v>
      </c>
      <c r="C3" s="3">
        <f>PANI_1stPhase!T40</f>
        <v>-6.0000000000000001E-3</v>
      </c>
      <c r="D3" s="5" t="s">
        <v>607</v>
      </c>
      <c r="E3" s="3">
        <f>PANI_2ndPhase!T40</f>
        <v>-5.5999999999999999E-3</v>
      </c>
      <c r="F3" s="3">
        <f>Cu_3rdPhase!S39</f>
        <v>-1.29E-2</v>
      </c>
      <c r="G3" s="3">
        <f>PANI_3rdPhase!T39</f>
        <v>-1.9099999999999999E-2</v>
      </c>
    </row>
    <row r="4" spans="1:8" x14ac:dyDescent="0.25">
      <c r="A4" t="s">
        <v>617</v>
      </c>
      <c r="B4" s="5" t="s">
        <v>607</v>
      </c>
      <c r="C4" s="3">
        <f>PANI_1stPhase!T41</f>
        <v>166.66666666666666</v>
      </c>
      <c r="D4" s="5" t="s">
        <v>607</v>
      </c>
      <c r="E4" s="3">
        <f>PANI_2ndPhase!T41</f>
        <v>178.57142857142858</v>
      </c>
      <c r="F4" s="3">
        <f>Cu_3rdPhase!S40</f>
        <v>77.519379844961236</v>
      </c>
      <c r="G4" s="3">
        <f>PANI_3rdPhase!T40</f>
        <v>52.356020942408378</v>
      </c>
      <c r="H4" s="3" t="s">
        <v>3</v>
      </c>
    </row>
    <row r="5" spans="1:8" x14ac:dyDescent="0.25">
      <c r="B5" s="3"/>
      <c r="C5" s="3"/>
      <c r="D5" s="3"/>
      <c r="E5" s="3"/>
      <c r="F5" s="3"/>
      <c r="G5" s="3"/>
    </row>
    <row r="6" spans="1:8" x14ac:dyDescent="0.25">
      <c r="B6" s="3"/>
      <c r="C6" s="3"/>
      <c r="D6" s="3"/>
      <c r="E6" s="3"/>
      <c r="F6" s="3"/>
      <c r="G6" s="3"/>
    </row>
    <row r="7" spans="1:8" x14ac:dyDescent="0.25">
      <c r="B7" s="3"/>
      <c r="C7" s="3"/>
      <c r="D7" s="3"/>
      <c r="E7" s="3"/>
      <c r="F7" s="3"/>
      <c r="G7" s="3"/>
    </row>
    <row r="8" spans="1:8" x14ac:dyDescent="0.25">
      <c r="B8" s="3"/>
      <c r="C8" s="3"/>
      <c r="D8" s="3"/>
      <c r="E8" s="3"/>
      <c r="F8" s="3"/>
      <c r="G8" s="3"/>
    </row>
    <row r="9" spans="1:8" x14ac:dyDescent="0.25">
      <c r="B9" s="3"/>
      <c r="C9" s="3"/>
      <c r="D9" s="3"/>
      <c r="E9" s="3"/>
      <c r="F9" s="3"/>
      <c r="G9" s="3"/>
    </row>
    <row r="10" spans="1:8" x14ac:dyDescent="0.25">
      <c r="B10" s="3"/>
      <c r="C10" s="3"/>
      <c r="D10" s="3"/>
      <c r="E10" s="3"/>
      <c r="F10" s="3"/>
      <c r="G10" s="3"/>
    </row>
    <row r="11" spans="1:8" x14ac:dyDescent="0.25">
      <c r="B11" s="3"/>
      <c r="C11" s="3"/>
      <c r="D11" s="3"/>
      <c r="E11" s="3"/>
      <c r="F11" s="3"/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Cu_1stPhase</vt:lpstr>
      <vt:lpstr>PANI_1stPhase</vt:lpstr>
      <vt:lpstr>Cu_2ndPhase</vt:lpstr>
      <vt:lpstr>PANI_2ndPhase</vt:lpstr>
      <vt:lpstr>Cu_3rdPhase</vt:lpstr>
      <vt:lpstr>PANI_3rdPhase</vt:lpstr>
      <vt:lpstr>Summary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2021-11-26T08:02:26Z</dcterms:created>
  <dcterms:modified xsi:type="dcterms:W3CDTF">2021-11-29T09:26:04Z</dcterms:modified>
</cp:coreProperties>
</file>