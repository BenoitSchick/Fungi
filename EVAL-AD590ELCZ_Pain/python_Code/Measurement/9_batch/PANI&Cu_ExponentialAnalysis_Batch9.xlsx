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python_Code\Measurement\9_batch\"/>
    </mc:Choice>
  </mc:AlternateContent>
  <bookViews>
    <workbookView xWindow="0" yWindow="0" windowWidth="25200" windowHeight="11250" activeTab="5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7" l="1"/>
  <c r="I2" i="7"/>
  <c r="I3" i="5"/>
  <c r="I4" i="5" s="1"/>
  <c r="I3" i="4"/>
  <c r="I4" i="4" s="1"/>
  <c r="J3" i="2"/>
  <c r="J4" i="2" s="1"/>
  <c r="I3" i="2"/>
  <c r="I4" i="2" s="1"/>
  <c r="I4" i="1"/>
  <c r="J3" i="1"/>
  <c r="J4" i="1" s="1"/>
  <c r="I3" i="1"/>
  <c r="J3" i="7"/>
  <c r="J4" i="7" s="1"/>
  <c r="I3" i="7"/>
  <c r="I4" i="7" s="1"/>
  <c r="J4" i="6"/>
  <c r="I4" i="6"/>
  <c r="J3" i="6"/>
  <c r="I3" i="6"/>
  <c r="J2" i="6"/>
  <c r="I2" i="6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" i="7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" i="6"/>
  <c r="I2" i="4"/>
  <c r="I2" i="5"/>
  <c r="F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" i="4"/>
  <c r="J2" i="1"/>
  <c r="I2" i="1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J2" i="2"/>
  <c r="I2" i="2"/>
  <c r="F2" i="2"/>
  <c r="F1" i="2"/>
  <c r="F192" i="1" l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F193" i="1"/>
</calcChain>
</file>

<file path=xl/sharedStrings.xml><?xml version="1.0" encoding="utf-8"?>
<sst xmlns="http://schemas.openxmlformats.org/spreadsheetml/2006/main" count="737" uniqueCount="705">
  <si>
    <t>Tue Nov 23 16:11:54 2021</t>
  </si>
  <si>
    <t>Tue Nov 23 16:12:04 2021</t>
  </si>
  <si>
    <t>Tue Nov 23 16:12:14 2021</t>
  </si>
  <si>
    <t>Tue Nov 23 16:12:24 2021</t>
  </si>
  <si>
    <t>Tue Nov 23 16:12:34 2021</t>
  </si>
  <si>
    <t>Tue Nov 23 16:12:44 2021</t>
  </si>
  <si>
    <t>Tue Nov 23 16:12:55 2021</t>
  </si>
  <si>
    <t>Tue Nov 23 16:13:04 2021</t>
  </si>
  <si>
    <t>Tue Nov 23 16:13:15 2021</t>
  </si>
  <si>
    <t>Tue Nov 23 16:13:24 2021</t>
  </si>
  <si>
    <t>Tue Nov 23 16:13:34 2021</t>
  </si>
  <si>
    <t>Tue Nov 23 16:13:44 2021</t>
  </si>
  <si>
    <t>Tue Nov 23 16:13:55 2021</t>
  </si>
  <si>
    <t>Tue Nov 23 16:14:05 2021</t>
  </si>
  <si>
    <t>Tue Nov 23 16:14:14 2021</t>
  </si>
  <si>
    <t>Tue Nov 23 16:14:25 2021</t>
  </si>
  <si>
    <t>Tue Nov 23 16:14:34 2021</t>
  </si>
  <si>
    <t>Tue Nov 23 16:14:45 2021</t>
  </si>
  <si>
    <t>Tue Nov 23 16:14:54 2021</t>
  </si>
  <si>
    <t>Tue Nov 23 16:15:05 2021</t>
  </si>
  <si>
    <t>Tue Nov 23 16:15:15 2021</t>
  </si>
  <si>
    <t>Tue Nov 23 16:15:25 2021</t>
  </si>
  <si>
    <t>Tue Nov 23 16:15:35 2021</t>
  </si>
  <si>
    <t>Tue Nov 23 16:15:44 2021</t>
  </si>
  <si>
    <t>Tue Nov 23 16:15:55 2021</t>
  </si>
  <si>
    <t>Tue Nov 23 16:16:05 2021</t>
  </si>
  <si>
    <t>Tue Nov 23 16:16:15 2021</t>
  </si>
  <si>
    <t>Tue Nov 23 16:16:25 2021</t>
  </si>
  <si>
    <t>Tue Nov 23 16:16:34 2021</t>
  </si>
  <si>
    <t>Tue Nov 23 16:16:45 2021</t>
  </si>
  <si>
    <t>Tue Nov 23 16:16:55 2021</t>
  </si>
  <si>
    <t>Tue Nov 23 16:17:05 2021</t>
  </si>
  <si>
    <t>Tue Nov 23 16:17:15 2021</t>
  </si>
  <si>
    <t>Tue Nov 23 16:17:25 2021</t>
  </si>
  <si>
    <t>Tue Nov 23 16:17:35 2021</t>
  </si>
  <si>
    <t>Tue Nov 23 16:17:44 2021</t>
  </si>
  <si>
    <t>Tue Nov 23 16:17:55 2021</t>
  </si>
  <si>
    <t>Tue Nov 23 16:18:05 2021</t>
  </si>
  <si>
    <t>Tue Nov 23 16:18:15 2021</t>
  </si>
  <si>
    <t>Tue Nov 23 16:18:25 2021</t>
  </si>
  <si>
    <t>Tue Nov 23 16:18:35 2021</t>
  </si>
  <si>
    <t>Tue Nov 23 16:18:45 2021</t>
  </si>
  <si>
    <t>Tue Nov 23 16:18:55 2021</t>
  </si>
  <si>
    <t>Tue Nov 23 16:19:05 2021</t>
  </si>
  <si>
    <t>Tue Nov 23 16:19:16 2021</t>
  </si>
  <si>
    <t>Tue Nov 23 16:19:25 2021</t>
  </si>
  <si>
    <t>Tue Nov 23 16:19:35 2021</t>
  </si>
  <si>
    <t>Tue Nov 23 16:19:45 2021</t>
  </si>
  <si>
    <t>Tue Nov 23 16:19:55 2021</t>
  </si>
  <si>
    <t>Tue Nov 23 16:20:05 2021</t>
  </si>
  <si>
    <t>Tue Nov 23 16:20:15 2021</t>
  </si>
  <si>
    <t>Tue Nov 23 16:20:25 2021</t>
  </si>
  <si>
    <t>Tue Nov 23 16:20:35 2021</t>
  </si>
  <si>
    <t>Tue Nov 23 16:20:45 2021</t>
  </si>
  <si>
    <t>Tue Nov 23 16:20:55 2021</t>
  </si>
  <si>
    <t>Tue Nov 23 16:21:05 2021</t>
  </si>
  <si>
    <t>Tue Nov 23 16:21:15 2021</t>
  </si>
  <si>
    <t>Tue Nov 23 16:21:25 2021</t>
  </si>
  <si>
    <t>Tue Nov 23 16:21:35 2021</t>
  </si>
  <si>
    <t>Tue Nov 23 16:21:45 2021</t>
  </si>
  <si>
    <t>Tue Nov 23 16:21:55 2021</t>
  </si>
  <si>
    <t>Tue Nov 23 16:22:05 2021</t>
  </si>
  <si>
    <t>Tue Nov 23 16:22:16 2021</t>
  </si>
  <si>
    <t>Tue Nov 23 16:22:25 2021</t>
  </si>
  <si>
    <t>Tue Nov 23 16:22:36 2021</t>
  </si>
  <si>
    <t>Tue Nov 23 16:22:45 2021</t>
  </si>
  <si>
    <t>Tue Nov 23 16:22:56 2021</t>
  </si>
  <si>
    <t>Tue Nov 23 16:23:05 2021</t>
  </si>
  <si>
    <t>Tue Nov 23 16:23:15 2021</t>
  </si>
  <si>
    <t>Tue Nov 23 16:23:26 2021</t>
  </si>
  <si>
    <t>Tue Nov 23 16:23:36 2021</t>
  </si>
  <si>
    <t>Tue Nov 23 16:23:46 2021</t>
  </si>
  <si>
    <t>Tue Nov 23 16:23:56 2021</t>
  </si>
  <si>
    <t>Tue Nov 23 16:24:06 2021</t>
  </si>
  <si>
    <t>Tue Nov 23 16:24:16 2021</t>
  </si>
  <si>
    <t>Tue Nov 23 16:24:26 2021</t>
  </si>
  <si>
    <t>Tue Nov 23 16:24:36 2021</t>
  </si>
  <si>
    <t>Tue Nov 23 16:24:46 2021</t>
  </si>
  <si>
    <t>Tue Nov 23 16:24:56 2021</t>
  </si>
  <si>
    <t>Tue Nov 23 16:25:06 2021</t>
  </si>
  <si>
    <t>Tue Nov 23 16:25:16 2021</t>
  </si>
  <si>
    <t>Tue Nov 23 16:25:26 2021</t>
  </si>
  <si>
    <t>Tue Nov 23 16:25:36 2021</t>
  </si>
  <si>
    <t>Tue Nov 23 16:25:46 2021</t>
  </si>
  <si>
    <t>Tue Nov 23 16:25:56 2021</t>
  </si>
  <si>
    <t>Tue Nov 23 16:26:06 2021</t>
  </si>
  <si>
    <t>Tue Nov 23 16:26:16 2021</t>
  </si>
  <si>
    <t>Tue Nov 23 16:26:26 2021</t>
  </si>
  <si>
    <t>Tue Nov 23 16:26:36 2021</t>
  </si>
  <si>
    <t>Tue Nov 23 16:26:46 2021</t>
  </si>
  <si>
    <t>Tue Nov 23 16:26:56 2021</t>
  </si>
  <si>
    <t>Tue Nov 23 16:27:06 2021</t>
  </si>
  <si>
    <t>Tue Nov 23 16:27:16 2021</t>
  </si>
  <si>
    <t>Tue Nov 23 16:27:26 2021</t>
  </si>
  <si>
    <t>Tue Nov 23 16:27:37 2021</t>
  </si>
  <si>
    <t>Tue Nov 23 16:27:46 2021</t>
  </si>
  <si>
    <t>Tue Nov 23 16:27:56 2021</t>
  </si>
  <si>
    <t>Tue Nov 23 16:28:06 2021</t>
  </si>
  <si>
    <t>Tue Nov 23 16:28:16 2021</t>
  </si>
  <si>
    <t>Tue Nov 23 16:28:26 2021</t>
  </si>
  <si>
    <t>Tue Nov 23 16:28:37 2021</t>
  </si>
  <si>
    <t>Tue Nov 23 16:28:47 2021</t>
  </si>
  <si>
    <t>Tue Nov 23 16:28:57 2021</t>
  </si>
  <si>
    <t>Tue Nov 23 16:29:07 2021</t>
  </si>
  <si>
    <t>Tue Nov 23 16:29:17 2021</t>
  </si>
  <si>
    <t>Tue Nov 23 16:29:27 2021</t>
  </si>
  <si>
    <t>Tue Nov 23 16:29:36 2021</t>
  </si>
  <si>
    <t>Tue Nov 23 16:29:47 2021</t>
  </si>
  <si>
    <t>Tue Nov 23 16:29:57 2021</t>
  </si>
  <si>
    <t>Tue Nov 23 16:30:07 2021</t>
  </si>
  <si>
    <t>Tue Nov 23 16:30:17 2021</t>
  </si>
  <si>
    <t>Tue Nov 23 16:30:27 2021</t>
  </si>
  <si>
    <t>Tue Nov 23 16:30:37 2021</t>
  </si>
  <si>
    <t>Tue Nov 23 16:30:47 2021</t>
  </si>
  <si>
    <t>Tue Nov 23 16:30:57 2021</t>
  </si>
  <si>
    <t>Tue Nov 23 16:31:07 2021</t>
  </si>
  <si>
    <t>Tue Nov 23 16:31:17 2021</t>
  </si>
  <si>
    <t>Tue Nov 23 16:31:26 2021</t>
  </si>
  <si>
    <t>Tue Nov 23 16:31:37 2021</t>
  </si>
  <si>
    <t>Tue Nov 23 16:31:47 2021</t>
  </si>
  <si>
    <t>Tue Nov 23 16:31:57 2021</t>
  </si>
  <si>
    <t>Tue Nov 23 16:32:07 2021</t>
  </si>
  <si>
    <t>Tue Nov 23 16:32:17 2021</t>
  </si>
  <si>
    <t>Tue Nov 23 16:32:27 2021</t>
  </si>
  <si>
    <t>Tue Nov 23 16:32:37 2021</t>
  </si>
  <si>
    <t>Tue Nov 23 16:32:47 2021</t>
  </si>
  <si>
    <t>Tue Nov 23 16:32:57 2021</t>
  </si>
  <si>
    <t>Tue Nov 23 16:33:08 2021</t>
  </si>
  <si>
    <t>Tue Nov 23 16:33:17 2021</t>
  </si>
  <si>
    <t>Tue Nov 23 16:33:27 2021</t>
  </si>
  <si>
    <t>Tue Nov 23 16:33:37 2021</t>
  </si>
  <si>
    <t>Tue Nov 23 16:33:47 2021</t>
  </si>
  <si>
    <t>Tue Nov 23 16:33:57 2021</t>
  </si>
  <si>
    <t>Tue Nov 23 16:34:07 2021</t>
  </si>
  <si>
    <t>Tue Nov 23 16:34:17 2021</t>
  </si>
  <si>
    <t>Tue Nov 23 16:34:28 2021</t>
  </si>
  <si>
    <t>Tue Nov 23 16:34:37 2021</t>
  </si>
  <si>
    <t>Tue Nov 23 16:34:47 2021</t>
  </si>
  <si>
    <t>Tue Nov 23 16:34:57 2021</t>
  </si>
  <si>
    <t>Tue Nov 23 16:35:08 2021</t>
  </si>
  <si>
    <t>Tue Nov 23 16:35:17 2021</t>
  </si>
  <si>
    <t>Tue Nov 23 16:35:28 2021</t>
  </si>
  <si>
    <t>Tue Nov 23 16:35:37 2021</t>
  </si>
  <si>
    <t>Tue Nov 23 16:35:47 2021</t>
  </si>
  <si>
    <t>Tue Nov 23 16:35:58 2021</t>
  </si>
  <si>
    <t>Tue Nov 23 16:36:07 2021</t>
  </si>
  <si>
    <t>Tue Nov 23 16:36:18 2021</t>
  </si>
  <si>
    <t>Tue Nov 23 16:36:28 2021</t>
  </si>
  <si>
    <t>Tue Nov 23 16:36:38 2021</t>
  </si>
  <si>
    <t>Tue Nov 23 16:36:47 2021</t>
  </si>
  <si>
    <t>Tue Nov 23 16:36:58 2021</t>
  </si>
  <si>
    <t>Tue Nov 23 16:37:08 2021</t>
  </si>
  <si>
    <t>Tue Nov 23 16:37:18 2021</t>
  </si>
  <si>
    <t>Tue Nov 23 16:37:28 2021</t>
  </si>
  <si>
    <t>Tue Nov 23 16:37:38 2021</t>
  </si>
  <si>
    <t>Tue Nov 23 16:37:48 2021</t>
  </si>
  <si>
    <t>Tue Nov 23 16:37:58 2021</t>
  </si>
  <si>
    <t>Tue Nov 23 16:38:08 2021</t>
  </si>
  <si>
    <t>Tue Nov 23 16:38:18 2021</t>
  </si>
  <si>
    <t>Tue Nov 23 16:38:28 2021</t>
  </si>
  <si>
    <t>Tue Nov 23 16:38:38 2021</t>
  </si>
  <si>
    <t>Tue Nov 23 16:38:48 2021</t>
  </si>
  <si>
    <t>Tue Nov 23 16:38:58 2021</t>
  </si>
  <si>
    <t>Tue Nov 23 16:39:08 2021</t>
  </si>
  <si>
    <t>Tue Nov 23 16:39:18 2021</t>
  </si>
  <si>
    <t>Tue Nov 23 16:39:28 2021</t>
  </si>
  <si>
    <t>Tue Nov 23 16:39:38 2021</t>
  </si>
  <si>
    <t>Tue Nov 23 16:39:48 2021</t>
  </si>
  <si>
    <t>Tue Nov 23 16:39:58 2021</t>
  </si>
  <si>
    <t>Tue Nov 23 16:40:08 2021</t>
  </si>
  <si>
    <t>Tue Nov 23 16:40:18 2021</t>
  </si>
  <si>
    <t>Tue Nov 23 16:40:28 2021</t>
  </si>
  <si>
    <t>Tue Nov 23 16:40:39 2021</t>
  </si>
  <si>
    <t>Tue Nov 23 16:40:49 2021</t>
  </si>
  <si>
    <t>Tue Nov 23 16:40:58 2021</t>
  </si>
  <si>
    <t>Tue Nov 23 16:41:09 2021</t>
  </si>
  <si>
    <t>Tue Nov 23 16:41:18 2021</t>
  </si>
  <si>
    <t>Tue Nov 23 16:41:28 2021</t>
  </si>
  <si>
    <t>Tue Nov 23 16:41:38 2021</t>
  </si>
  <si>
    <t>Tue Nov 23 16:41:48 2021</t>
  </si>
  <si>
    <t>Tue Nov 23 16:41:58 2021</t>
  </si>
  <si>
    <t>Tue Nov 23 16:42:08 2021</t>
  </si>
  <si>
    <t>Tue Nov 23 16:42:18 2021</t>
  </si>
  <si>
    <t>Tue Nov 23 16:42:28 2021</t>
  </si>
  <si>
    <t>Tue Nov 23 16:42:39 2021</t>
  </si>
  <si>
    <t>Tue Nov 23 16:42:49 2021</t>
  </si>
  <si>
    <t>Tue Nov 23 16:42:58 2021</t>
  </si>
  <si>
    <t>Tue Nov 23 16:43:09 2021</t>
  </si>
  <si>
    <t>Tue Nov 23 16:43:19 2021</t>
  </si>
  <si>
    <t>Tue Nov 23 16:43:29 2021</t>
  </si>
  <si>
    <t>Tue Nov 23 16:43:38 2021</t>
  </si>
  <si>
    <t>Tue Nov 23 16:43:49 2021</t>
  </si>
  <si>
    <t>Tue Nov 23 16:43:58 2021</t>
  </si>
  <si>
    <t>Tue Nov 23 16:11:22 2021</t>
  </si>
  <si>
    <t>All values</t>
  </si>
  <si>
    <t>0-500 s</t>
  </si>
  <si>
    <t>Tue Nov 23 16:11:32 2021</t>
  </si>
  <si>
    <t>Tau:</t>
  </si>
  <si>
    <t>Tue Nov 23 16:11:42 2021</t>
  </si>
  <si>
    <t>Tue Nov 23 16:11:52 2021</t>
  </si>
  <si>
    <t>Tue Nov 23 16:12:02 2021</t>
  </si>
  <si>
    <t>Tue Nov 23 16:12:12 2021</t>
  </si>
  <si>
    <t>Tue Nov 23 16:12:22 2021</t>
  </si>
  <si>
    <t>Tue Nov 23 16:12:32 2021</t>
  </si>
  <si>
    <t>Tue Nov 23 16:12:42 2021</t>
  </si>
  <si>
    <t>Tue Nov 23 16:12:52 2021</t>
  </si>
  <si>
    <t>Tue Nov 23 16:13:02 2021</t>
  </si>
  <si>
    <t>Tue Nov 23 16:13:12 2021</t>
  </si>
  <si>
    <t>Tue Nov 23 16:13:22 2021</t>
  </si>
  <si>
    <t>Tue Nov 23 16:13:32 2021</t>
  </si>
  <si>
    <t>Tue Nov 23 16:13:42 2021</t>
  </si>
  <si>
    <t>Tue Nov 23 16:13:52 2021</t>
  </si>
  <si>
    <t>Tue Nov 23 16:14:02 2021</t>
  </si>
  <si>
    <t>Tue Nov 23 16:14:12 2021</t>
  </si>
  <si>
    <t>Tue Nov 23 16:14:22 2021</t>
  </si>
  <si>
    <t>Tue Nov 23 16:14:33 2021</t>
  </si>
  <si>
    <t>Tue Nov 23 16:14:42 2021</t>
  </si>
  <si>
    <t>Tue Nov 23 16:14:53 2021</t>
  </si>
  <si>
    <t>Tue Nov 23 16:15:03 2021</t>
  </si>
  <si>
    <t>Tue Nov 23 16:15:12 2021</t>
  </si>
  <si>
    <t>Tue Nov 23 16:15:22 2021</t>
  </si>
  <si>
    <t>Tue Nov 23 16:15:32 2021</t>
  </si>
  <si>
    <t>Tue Nov 23 16:15:42 2021</t>
  </si>
  <si>
    <t>Tue Nov 23 16:15:52 2021</t>
  </si>
  <si>
    <t>Tue Nov 23 16:16:02 2021</t>
  </si>
  <si>
    <t>Tue Nov 23 16:16:12 2021</t>
  </si>
  <si>
    <t>Tue Nov 23 16:16:23 2021</t>
  </si>
  <si>
    <t>Tue Nov 23 16:16:32 2021</t>
  </si>
  <si>
    <t>Tue Nov 23 16:16:42 2021</t>
  </si>
  <si>
    <t>Tue Nov 23 16:16:52 2021</t>
  </si>
  <si>
    <t>Tue Nov 23 16:17:02 2021</t>
  </si>
  <si>
    <t>Tue Nov 23 16:17:13 2021</t>
  </si>
  <si>
    <t>Tue Nov 23 16:17:23 2021</t>
  </si>
  <si>
    <t>Tue Nov 23 16:17:33 2021</t>
  </si>
  <si>
    <t>Tue Nov 23 16:17:43 2021</t>
  </si>
  <si>
    <t>Tue Nov 23 16:17:52 2021</t>
  </si>
  <si>
    <t>Tue Nov 23 16:18:03 2021</t>
  </si>
  <si>
    <t>Tue Nov 23 16:18:12 2021</t>
  </si>
  <si>
    <t>Tue Nov 23 16:18:23 2021</t>
  </si>
  <si>
    <t>Tue Nov 23 16:18:33 2021</t>
  </si>
  <si>
    <t>Tue Nov 23 16:18:43 2021</t>
  </si>
  <si>
    <t>Tue Nov 23 16:18:53 2021</t>
  </si>
  <si>
    <t>Tue Nov 23 16:19:03 2021</t>
  </si>
  <si>
    <t>Tue Nov 23 16:19:13 2021</t>
  </si>
  <si>
    <t>Tue Nov 23 16:19:23 2021</t>
  </si>
  <si>
    <t>Tue Nov 23 16:19:33 2021</t>
  </si>
  <si>
    <t>Tue Nov 23 16:19:43 2021</t>
  </si>
  <si>
    <t>Tue Nov 23 16:19:54 2021</t>
  </si>
  <si>
    <t>Tue Nov 23 16:20:03 2021</t>
  </si>
  <si>
    <t>Tue Nov 23 16:20:13 2021</t>
  </si>
  <si>
    <t>Tue Nov 23 16:20:23 2021</t>
  </si>
  <si>
    <t>Tue Nov 23 16:20:33 2021</t>
  </si>
  <si>
    <t>Tue Nov 23 16:20:43 2021</t>
  </si>
  <si>
    <t>Tue Nov 23 16:20:53 2021</t>
  </si>
  <si>
    <t>Tue Nov 23 16:21:03 2021</t>
  </si>
  <si>
    <t>Tue Nov 23 16:21:13 2021</t>
  </si>
  <si>
    <t>Tue Nov 23 16:21:24 2021</t>
  </si>
  <si>
    <t>Tue Nov 23 16:21:33 2021</t>
  </si>
  <si>
    <t>Tue Nov 23 16:21:43 2021</t>
  </si>
  <si>
    <t>Tue Nov 23 16:21:53 2021</t>
  </si>
  <si>
    <t>Tue Nov 23 16:22:03 2021</t>
  </si>
  <si>
    <t>Tue Nov 23 16:22:13 2021</t>
  </si>
  <si>
    <t>Tue Nov 23 16:22:23 2021</t>
  </si>
  <si>
    <t>Tue Nov 23 16:22:34 2021</t>
  </si>
  <si>
    <t>Tue Nov 23 16:22:43 2021</t>
  </si>
  <si>
    <t>Tue Nov 23 16:22:53 2021</t>
  </si>
  <si>
    <t>Tue Nov 23 16:23:03 2021</t>
  </si>
  <si>
    <t>Tue Nov 23 16:23:13 2021</t>
  </si>
  <si>
    <t>Tue Nov 23 16:23:23 2021</t>
  </si>
  <si>
    <t>Tue Nov 23 16:23:34 2021</t>
  </si>
  <si>
    <t>Tue Nov 23 16:23:44 2021</t>
  </si>
  <si>
    <t>Tue Nov 23 16:23:54 2021</t>
  </si>
  <si>
    <t>Tue Nov 23 16:24:04 2021</t>
  </si>
  <si>
    <t>Tue Nov 23 16:24:13 2021</t>
  </si>
  <si>
    <t>Tue Nov 23 16:24:23 2021</t>
  </si>
  <si>
    <t>Tue Nov 23 16:24:34 2021</t>
  </si>
  <si>
    <t>Tue Nov 23 16:24:43 2021</t>
  </si>
  <si>
    <t>Tue Nov 23 16:24:54 2021</t>
  </si>
  <si>
    <t>Tue Nov 23 16:25:04 2021</t>
  </si>
  <si>
    <t>Tue Nov 23 16:25:14 2021</t>
  </si>
  <si>
    <t>Tue Nov 23 16:25:24 2021</t>
  </si>
  <si>
    <t>Tue Nov 23 16:25:34 2021</t>
  </si>
  <si>
    <t>Tue Nov 23 16:25:44 2021</t>
  </si>
  <si>
    <t>Tue Nov 23 16:25:54 2021</t>
  </si>
  <si>
    <t>Tue Nov 23 16:26:04 2021</t>
  </si>
  <si>
    <t>Tue Nov 23 16:26:14 2021</t>
  </si>
  <si>
    <t>Tue Nov 23 16:26:24 2021</t>
  </si>
  <si>
    <t>Tue Nov 23 16:26:34 2021</t>
  </si>
  <si>
    <t>Tue Nov 23 16:26:44 2021</t>
  </si>
  <si>
    <t>Tue Nov 23 16:26:54 2021</t>
  </si>
  <si>
    <t>Tue Nov 23 16:27:04 2021</t>
  </si>
  <si>
    <t>Tue Nov 23 16:27:14 2021</t>
  </si>
  <si>
    <t>Tue Nov 23 16:27:24 2021</t>
  </si>
  <si>
    <t>Tue Nov 23 16:27:34 2021</t>
  </si>
  <si>
    <t>Tue Nov 23 16:27:44 2021</t>
  </si>
  <si>
    <t>Tue Nov 23 16:27:54 2021</t>
  </si>
  <si>
    <t>Tue Nov 23 16:28:04 2021</t>
  </si>
  <si>
    <t>Tue Nov 23 16:28:14 2021</t>
  </si>
  <si>
    <t>Tue Nov 23 16:28:24 2021</t>
  </si>
  <si>
    <t>Tue Nov 23 16:28:34 2021</t>
  </si>
  <si>
    <t>Tue Nov 23 16:28:44 2021</t>
  </si>
  <si>
    <t>Tue Nov 23 16:28:54 2021</t>
  </si>
  <si>
    <t>Tue Nov 23 16:29:04 2021</t>
  </si>
  <si>
    <t>Tue Nov 23 16:29:14 2021</t>
  </si>
  <si>
    <t>Tue Nov 23 16:29:25 2021</t>
  </si>
  <si>
    <t>Tue Nov 23 16:29:34 2021</t>
  </si>
  <si>
    <t>Tue Nov 23 16:29:44 2021</t>
  </si>
  <si>
    <t>Tue Nov 23 16:29:54 2021</t>
  </si>
  <si>
    <t>Tue Nov 23 16:30:05 2021</t>
  </si>
  <si>
    <t>Tue Nov 23 16:30:15 2021</t>
  </si>
  <si>
    <t>Tue Nov 23 16:30:24 2021</t>
  </si>
  <si>
    <t>Tue Nov 23 16:30:35 2021</t>
  </si>
  <si>
    <t>Tue Nov 23 16:30:45 2021</t>
  </si>
  <si>
    <t>Tue Nov 23 16:30:54 2021</t>
  </si>
  <si>
    <t>Tue Nov 23 16:31:05 2021</t>
  </si>
  <si>
    <t>Tue Nov 23 16:31:15 2021</t>
  </si>
  <si>
    <t>Tue Nov 23 16:31:25 2021</t>
  </si>
  <si>
    <t>Tue Nov 23 16:31:34 2021</t>
  </si>
  <si>
    <t>Tue Nov 23 16:31:45 2021</t>
  </si>
  <si>
    <t>Tue Nov 23 16:31:55 2021</t>
  </si>
  <si>
    <t>Tue Nov 23 16:32:05 2021</t>
  </si>
  <si>
    <t>Tue Nov 23 16:32:14 2021</t>
  </si>
  <si>
    <t>Tue Nov 23 16:32:25 2021</t>
  </si>
  <si>
    <t>Tue Nov 23 16:32:35 2021</t>
  </si>
  <si>
    <t>Tue Nov 23 16:32:45 2021</t>
  </si>
  <si>
    <t>Tue Nov 23 16:32:55 2021</t>
  </si>
  <si>
    <t>Tue Nov 23 16:33:04 2021</t>
  </si>
  <si>
    <t>Tue Nov 23 16:33:15 2021</t>
  </si>
  <si>
    <t>Tue Nov 23 16:33:25 2021</t>
  </si>
  <si>
    <t>Tue Nov 23 16:33:35 2021</t>
  </si>
  <si>
    <t>Tue Nov 23 16:33:45 2021</t>
  </si>
  <si>
    <t>Tue Nov 23 16:33:55 2021</t>
  </si>
  <si>
    <t>Tue Nov 23 16:34:05 2021</t>
  </si>
  <si>
    <t>Tue Nov 23 16:34:15 2021</t>
  </si>
  <si>
    <t>Tue Nov 23 16:34:25 2021</t>
  </si>
  <si>
    <t>Tue Nov 23 16:34:35 2021</t>
  </si>
  <si>
    <t>Tue Nov 23 16:34:45 2021</t>
  </si>
  <si>
    <t>Tue Nov 23 16:34:55 2021</t>
  </si>
  <si>
    <t>Tue Nov 23 16:35:05 2021</t>
  </si>
  <si>
    <t>Tue Nov 23 16:35:15 2021</t>
  </si>
  <si>
    <t>Tue Nov 23 16:35:25 2021</t>
  </si>
  <si>
    <t>Tue Nov 23 16:35:36 2021</t>
  </si>
  <si>
    <t>Tue Nov 23 16:35:45 2021</t>
  </si>
  <si>
    <t>Tue Nov 23 16:35:55 2021</t>
  </si>
  <si>
    <t>Tue Nov 23 16:36:05 2021</t>
  </si>
  <si>
    <t>Tue Nov 23 16:36:15 2021</t>
  </si>
  <si>
    <t>Tue Nov 23 16:36:25 2021</t>
  </si>
  <si>
    <t>Tue Nov 23 16:36:35 2021</t>
  </si>
  <si>
    <t>Tue Nov 23 16:36:45 2021</t>
  </si>
  <si>
    <t>Tue Nov 23 16:36:55 2021</t>
  </si>
  <si>
    <t>Tue Nov 23 16:37:05 2021</t>
  </si>
  <si>
    <t>Tue Nov 23 16:37:16 2021</t>
  </si>
  <si>
    <t>Tue Nov 23 16:37:25 2021</t>
  </si>
  <si>
    <t>Tue Nov 23 16:37:35 2021</t>
  </si>
  <si>
    <t>Tue Nov 23 16:37:45 2021</t>
  </si>
  <si>
    <t>Tue Nov 23 16:37:55 2021</t>
  </si>
  <si>
    <t>Tue Nov 23 16:38:05 2021</t>
  </si>
  <si>
    <t>Tue Nov 23 16:38:16 2021</t>
  </si>
  <si>
    <t>Tue Nov 23 16:38:26 2021</t>
  </si>
  <si>
    <t>Tue Nov 23 16:38:35 2021</t>
  </si>
  <si>
    <t>Tue Nov 23 16:38:45 2021</t>
  </si>
  <si>
    <t>Tue Nov 23 16:38:56 2021</t>
  </si>
  <si>
    <t>Tue Nov 23 16:39:06 2021</t>
  </si>
  <si>
    <t>Tue Nov 23 16:39:16 2021</t>
  </si>
  <si>
    <t>Tue Nov 23 16:39:26 2021</t>
  </si>
  <si>
    <t>Tue Nov 23 16:39:36 2021</t>
  </si>
  <si>
    <t>Tue Nov 23 16:39:46 2021</t>
  </si>
  <si>
    <t>Tue Nov 23 16:39:55 2021</t>
  </si>
  <si>
    <t>Tue Nov 23 16:40:05 2021</t>
  </si>
  <si>
    <t>Tue Nov 23 16:40:16 2021</t>
  </si>
  <si>
    <t>Tue Nov 23 16:40:26 2021</t>
  </si>
  <si>
    <t>Tue Nov 23 16:40:36 2021</t>
  </si>
  <si>
    <t>Tue Nov 23 16:40:46 2021</t>
  </si>
  <si>
    <t>Tue Nov 23 16:40:56 2021</t>
  </si>
  <si>
    <t>Tue Nov 23 16:41:06 2021</t>
  </si>
  <si>
    <t>Tue Nov 23 16:41:16 2021</t>
  </si>
  <si>
    <t>Tue Nov 23 16:41:26 2021</t>
  </si>
  <si>
    <t>Tue Nov 23 16:41:36 2021</t>
  </si>
  <si>
    <t>Tue Nov 23 16:41:46 2021</t>
  </si>
  <si>
    <t>Tue Nov 23 16:41:56 2021</t>
  </si>
  <si>
    <t>Tue Nov 23 16:42:06 2021</t>
  </si>
  <si>
    <t>Tue Nov 23 16:42:16 2021</t>
  </si>
  <si>
    <t>Tue Nov 23 16:42:26 2021</t>
  </si>
  <si>
    <t>Tue Nov 23 16:42:36 2021</t>
  </si>
  <si>
    <t>Tue Nov 23 16:42:46 2021</t>
  </si>
  <si>
    <t>Tue Nov 23 16:42:56 2021</t>
  </si>
  <si>
    <t>Tue Nov 23 16:43:06 2021</t>
  </si>
  <si>
    <t>Tue Nov 23 16:43:16 2021</t>
  </si>
  <si>
    <t>Tue Nov 23 16:43:27 2021</t>
  </si>
  <si>
    <t>Tue Nov 23 16:43:36 2021</t>
  </si>
  <si>
    <t>Tue Nov 23 16:43:46 2021</t>
  </si>
  <si>
    <t>Tue Nov 23 16:43:56 2021</t>
  </si>
  <si>
    <t>Tue Nov 23 16:44:26 2021</t>
  </si>
  <si>
    <t>Tue Nov 23 16:44:37 2021</t>
  </si>
  <si>
    <t>Tue Nov 23 16:44:46 2021</t>
  </si>
  <si>
    <t>Tue Nov 23 16:44:57 2021</t>
  </si>
  <si>
    <t>Tue Nov 23 16:45:06 2021</t>
  </si>
  <si>
    <t>Tue Nov 23 16:45:16 2021</t>
  </si>
  <si>
    <t>Tue Nov 23 16:45:26 2021</t>
  </si>
  <si>
    <t>Tue Nov 23 16:45:37 2021</t>
  </si>
  <si>
    <t>Tue Nov 23 16:45:47 2021</t>
  </si>
  <si>
    <t>Tue Nov 23 16:45:56 2021</t>
  </si>
  <si>
    <t>Tue Nov 23 16:46:07 2021</t>
  </si>
  <si>
    <t>Tue Nov 23 16:46:17 2021</t>
  </si>
  <si>
    <t>Tue Nov 23 16:46:27 2021</t>
  </si>
  <si>
    <t>Tue Nov 23 16:46:37 2021</t>
  </si>
  <si>
    <t>Tue Nov 23 16:46:47 2021</t>
  </si>
  <si>
    <t>Tue Nov 23 16:46:57 2021</t>
  </si>
  <si>
    <t>Tue Nov 23 16:47:07 2021</t>
  </si>
  <si>
    <t>Tue Nov 23 16:47:17 2021</t>
  </si>
  <si>
    <t>Tue Nov 23 16:47:27 2021</t>
  </si>
  <si>
    <t>Tue Nov 23 16:47:37 2021</t>
  </si>
  <si>
    <t>Tue Nov 23 16:47:47 2021</t>
  </si>
  <si>
    <t>Tue Nov 23 16:47:57 2021</t>
  </si>
  <si>
    <t>Tue Nov 23 16:48:07 2021</t>
  </si>
  <si>
    <t>Tue Nov 23 16:48:17 2021</t>
  </si>
  <si>
    <t>Tue Nov 23 16:48:28 2021</t>
  </si>
  <si>
    <t>Tue Nov 23 16:48:37 2021</t>
  </si>
  <si>
    <t>Tue Nov 23 16:48:47 2021</t>
  </si>
  <si>
    <t>Tue Nov 23 16:48:57 2021</t>
  </si>
  <si>
    <t>Tue Nov 23 16:49:07 2021</t>
  </si>
  <si>
    <t>Tue Nov 23 16:49:17 2021</t>
  </si>
  <si>
    <t>Tue Nov 23 16:49:27 2021</t>
  </si>
  <si>
    <t>Tue Nov 23 16:49:37 2021</t>
  </si>
  <si>
    <t>Tue Nov 23 16:49:47 2021</t>
  </si>
  <si>
    <t>Tue Nov 23 16:49:57 2021</t>
  </si>
  <si>
    <t>Tue Nov 23 16:50:07 2021</t>
  </si>
  <si>
    <t>Tue Nov 23 16:44:59 2021</t>
  </si>
  <si>
    <t>Tue Nov 23 16:45:08 2021</t>
  </si>
  <si>
    <t>Tue Nov 23 16:45:19 2021</t>
  </si>
  <si>
    <t>Tue Nov 23 16:45:29 2021</t>
  </si>
  <si>
    <t>Tue Nov 23 16:45:39 2021</t>
  </si>
  <si>
    <t>Tue Nov 23 16:45:48 2021</t>
  </si>
  <si>
    <t>Tue Nov 23 16:45:59 2021</t>
  </si>
  <si>
    <t>Tue Nov 23 16:46:10 2021</t>
  </si>
  <si>
    <t>Tue Nov 23 16:46:19 2021</t>
  </si>
  <si>
    <t>Tue Nov 23 16:46:29 2021</t>
  </si>
  <si>
    <t>Tue Nov 23 16:46:39 2021</t>
  </si>
  <si>
    <t>Tue Nov 23 16:46:49 2021</t>
  </si>
  <si>
    <t>Tue Nov 23 16:46:59 2021</t>
  </si>
  <si>
    <t>Tue Nov 23 16:47:09 2021</t>
  </si>
  <si>
    <t>Tue Nov 23 16:47:19 2021</t>
  </si>
  <si>
    <t>Tue Nov 23 16:47:29 2021</t>
  </si>
  <si>
    <t>Tue Nov 23 16:47:40 2021</t>
  </si>
  <si>
    <t>Tue Nov 23 16:47:49 2021</t>
  </si>
  <si>
    <t>Tue Nov 23 16:47:59 2021</t>
  </si>
  <si>
    <t>Tue Nov 23 16:48:09 2021</t>
  </si>
  <si>
    <t>Tue Nov 23 16:48:19 2021</t>
  </si>
  <si>
    <t>Tue Nov 23 16:48:30 2021</t>
  </si>
  <si>
    <t>Tue Nov 23 16:48:39 2021</t>
  </si>
  <si>
    <t>Tue Nov 23 16:48:50 2021</t>
  </si>
  <si>
    <t>Tue Nov 23 16:48:59 2021</t>
  </si>
  <si>
    <t>Tue Nov 23 16:49:09 2021</t>
  </si>
  <si>
    <t>Tue Nov 23 16:49:20 2021</t>
  </si>
  <si>
    <t>Tue Nov 23 16:49:29 2021</t>
  </si>
  <si>
    <t>Tue Nov 23 16:49:40 2021</t>
  </si>
  <si>
    <t>Tue Nov 23 16:49:49 2021</t>
  </si>
  <si>
    <t>Tue Nov 23 16:49:59 2021</t>
  </si>
  <si>
    <t>Tue Nov 23 16:50:10 2021</t>
  </si>
  <si>
    <t>Tue Nov 23 15:51:12 2021</t>
  </si>
  <si>
    <t>Tue Nov 23 15:51:21 2021</t>
  </si>
  <si>
    <t>Tue Nov 23 15:51:31 2021</t>
  </si>
  <si>
    <t>Tue Nov 23 15:51:41 2021</t>
  </si>
  <si>
    <t>Tue Nov 23 15:51:52 2021</t>
  </si>
  <si>
    <t>Tue Nov 23 15:52:01 2021</t>
  </si>
  <si>
    <t>Tue Nov 23 15:52:11 2021</t>
  </si>
  <si>
    <t>Tue Nov 23 15:52:22 2021</t>
  </si>
  <si>
    <t>Tue Nov 23 15:52:32 2021</t>
  </si>
  <si>
    <t>Tue Nov 23 15:52:42 2021</t>
  </si>
  <si>
    <t>Tue Nov 23 15:52:51 2021</t>
  </si>
  <si>
    <t>Tue Nov 23 15:53:01 2021</t>
  </si>
  <si>
    <t>Tue Nov 23 15:53:12 2021</t>
  </si>
  <si>
    <t>Tue Nov 23 15:53:22 2021</t>
  </si>
  <si>
    <t>Tue Nov 23 15:53:31 2021</t>
  </si>
  <si>
    <t>Tue Nov 23 15:53:41 2021</t>
  </si>
  <si>
    <t>Tue Nov 23 15:53:52 2021</t>
  </si>
  <si>
    <t>Tue Nov 23 15:54:02 2021</t>
  </si>
  <si>
    <t>Tue Nov 23 15:54:12 2021</t>
  </si>
  <si>
    <t>Tue Nov 23 15:54:22 2021</t>
  </si>
  <si>
    <t>Tue Nov 23 15:54:32 2021</t>
  </si>
  <si>
    <t>Tue Nov 23 15:54:41 2021</t>
  </si>
  <si>
    <t>Tue Nov 23 15:54:52 2021</t>
  </si>
  <si>
    <t>Tue Nov 23 15:55:02 2021</t>
  </si>
  <si>
    <t>Tue Nov 23 15:55:12 2021</t>
  </si>
  <si>
    <t>Tue Nov 23 15:55:22 2021</t>
  </si>
  <si>
    <t>Tue Nov 23 15:55:32 2021</t>
  </si>
  <si>
    <t>Tue Nov 23 15:55:42 2021</t>
  </si>
  <si>
    <t>Tue Nov 23 15:55:52 2021</t>
  </si>
  <si>
    <t>Tue Nov 23 15:56:02 2021</t>
  </si>
  <si>
    <t>Tue Nov 23 15:56:12 2021</t>
  </si>
  <si>
    <t>Tue Nov 23 15:56:22 2021</t>
  </si>
  <si>
    <t>Tue Nov 23 15:56:32 2021</t>
  </si>
  <si>
    <t>Tue Nov 23 15:56:42 2021</t>
  </si>
  <si>
    <t>Tue Nov 23 15:56:52 2021</t>
  </si>
  <si>
    <t>Tue Nov 23 15:57:02 2021</t>
  </si>
  <si>
    <t>Tue Nov 23 15:57:12 2021</t>
  </si>
  <si>
    <t>Tue Nov 23 15:57:22 2021</t>
  </si>
  <si>
    <t>Tue Nov 23 15:57:32 2021</t>
  </si>
  <si>
    <t>Tue Nov 23 15:57:43 2021</t>
  </si>
  <si>
    <t>Tue Nov 23 15:57:52 2021</t>
  </si>
  <si>
    <t>Tue Nov 23 15:58:02 2021</t>
  </si>
  <si>
    <t>Tue Nov 23 15:58:13 2021</t>
  </si>
  <si>
    <t>Tue Nov 23 15:58:22 2021</t>
  </si>
  <si>
    <t>Tue Nov 23 15:58:33 2021</t>
  </si>
  <si>
    <t>Tue Nov 23 15:58:42 2021</t>
  </si>
  <si>
    <t>Tue Nov 23 15:58:53 2021</t>
  </si>
  <si>
    <t>Tue Nov 23 15:59:02 2021</t>
  </si>
  <si>
    <t>Tue Nov 23 15:59:13 2021</t>
  </si>
  <si>
    <t>Tue Nov 23 15:59:22 2021</t>
  </si>
  <si>
    <t>Tue Nov 23 15:59:33 2021</t>
  </si>
  <si>
    <t>Tue Nov 23 15:59:43 2021</t>
  </si>
  <si>
    <t>Tue Nov 23 15:59:53 2021</t>
  </si>
  <si>
    <t>Tue Nov 23 16:00:02 2021</t>
  </si>
  <si>
    <t>Tue Nov 23 16:00:13 2021</t>
  </si>
  <si>
    <t>Tue Nov 23 16:00:23 2021</t>
  </si>
  <si>
    <t>Tue Nov 23 16:00:33 2021</t>
  </si>
  <si>
    <t>Tue Nov 23 16:00:43 2021</t>
  </si>
  <si>
    <t>Tue Nov 23 16:00:53 2021</t>
  </si>
  <si>
    <t>Tue Nov 23 16:01:03 2021</t>
  </si>
  <si>
    <t>Tue Nov 23 16:01:13 2021</t>
  </si>
  <si>
    <t>Tue Nov 23 16:01:23 2021</t>
  </si>
  <si>
    <t>Tue Nov 23 16:01:33 2021</t>
  </si>
  <si>
    <t>Tue Nov 23 16:01:42 2021</t>
  </si>
  <si>
    <t>Tue Nov 23 16:01:53 2021</t>
  </si>
  <si>
    <t>Tue Nov 23 16:02:03 2021</t>
  </si>
  <si>
    <t>Tue Nov 23 16:02:13 2021</t>
  </si>
  <si>
    <t>Tue Nov 23 16:02:23 2021</t>
  </si>
  <si>
    <t>Tue Nov 23 16:02:33 2021</t>
  </si>
  <si>
    <t>Tue Nov 23 16:02:43 2021</t>
  </si>
  <si>
    <t>Tue Nov 23 16:02:53 2021</t>
  </si>
  <si>
    <t>Tue Nov 23 16:03:04 2021</t>
  </si>
  <si>
    <t>Tue Nov 23 16:03:13 2021</t>
  </si>
  <si>
    <t>Tue Nov 23 16:03:23 2021</t>
  </si>
  <si>
    <t>Tue Nov 23 16:03:33 2021</t>
  </si>
  <si>
    <t>Tue Nov 23 16:03:43 2021</t>
  </si>
  <si>
    <t>Tue Nov 23 16:03:53 2021</t>
  </si>
  <si>
    <t>Tue Nov 23 16:04:03 2021</t>
  </si>
  <si>
    <t>Tue Nov 23 16:04:13 2021</t>
  </si>
  <si>
    <t>Tue Nov 23 16:04:23 2021</t>
  </si>
  <si>
    <t>Tue Nov 23 16:04:33 2021</t>
  </si>
  <si>
    <t>Tue Nov 23 16:04:44 2021</t>
  </si>
  <si>
    <t>Tue Nov 23 16:04:53 2021</t>
  </si>
  <si>
    <t>Tue Nov 23 16:05:03 2021</t>
  </si>
  <si>
    <t>Tue Nov 23 16:05:13 2021</t>
  </si>
  <si>
    <t>Tue Nov 23 16:05:23 2021</t>
  </si>
  <si>
    <t>Tue Nov 23 16:05:33 2021</t>
  </si>
  <si>
    <t>Tue Nov 23 16:05:43 2021</t>
  </si>
  <si>
    <t>Tue Nov 23 16:05:53 2021</t>
  </si>
  <si>
    <t>Tue Nov 23 16:06:03 2021</t>
  </si>
  <si>
    <t>Tue Nov 23 16:06:14 2021</t>
  </si>
  <si>
    <t>Tue Nov 23 16:06:23 2021</t>
  </si>
  <si>
    <t>Tue Nov 23 16:06:33 2021</t>
  </si>
  <si>
    <t>Tue Nov 23 16:06:43 2021</t>
  </si>
  <si>
    <t>Tue Nov 23 16:06:53 2021</t>
  </si>
  <si>
    <t>Tue Nov 23 16:07:03 2021</t>
  </si>
  <si>
    <t>Tue Nov 23 16:07:14 2021</t>
  </si>
  <si>
    <t>Tue Nov 23 16:07:23 2021</t>
  </si>
  <si>
    <t>Tue Nov 23 16:07:33 2021</t>
  </si>
  <si>
    <t>Tue Nov 23 16:07:44 2021</t>
  </si>
  <si>
    <t>Tue Nov 23 16:07:53 2021</t>
  </si>
  <si>
    <t>Tue Nov 23 16:08:04 2021</t>
  </si>
  <si>
    <t>Tue Nov 23 16:08:14 2021</t>
  </si>
  <si>
    <t>Tue Nov 23 16:08:24 2021</t>
  </si>
  <si>
    <t>Tue Nov 23 16:08:34 2021</t>
  </si>
  <si>
    <t>Tue Nov 23 16:08:43 2021</t>
  </si>
  <si>
    <t>Tue Nov 23 16:08:54 2021</t>
  </si>
  <si>
    <t>Tue Nov 23 16:09:04 2021</t>
  </si>
  <si>
    <t>Tue Nov 23 16:09:14 2021</t>
  </si>
  <si>
    <t>Tue Nov 23 16:09:24 2021</t>
  </si>
  <si>
    <t>Tue Nov 23 16:09:34 2021</t>
  </si>
  <si>
    <t>Tue Nov 23 16:09:44 2021</t>
  </si>
  <si>
    <t>Tue Nov 23 16:09:54 2021</t>
  </si>
  <si>
    <t>Tue Nov 23 16:10:04 2021</t>
  </si>
  <si>
    <t>Tue Nov 23 16:10:14 2021</t>
  </si>
  <si>
    <t>Tue Nov 23 16:10:24 2021</t>
  </si>
  <si>
    <t>Tue Nov 23 16:10:34 2021</t>
  </si>
  <si>
    <t>Tue Nov 23 16:10:44 2021</t>
  </si>
  <si>
    <t>s</t>
  </si>
  <si>
    <t>min</t>
  </si>
  <si>
    <t>h</t>
  </si>
  <si>
    <t>Tue Nov 23 15:50:19 2021</t>
  </si>
  <si>
    <t>Tue Nov 23 15:50:29 2021</t>
  </si>
  <si>
    <t>Tue Nov 23 15:50:39 2021</t>
  </si>
  <si>
    <t>Tue Nov 23 15:50:49 2021</t>
  </si>
  <si>
    <t>Tue Nov 23 15:50:59 2021</t>
  </si>
  <si>
    <t>Tue Nov 23 15:51:09 2021</t>
  </si>
  <si>
    <t>Tue Nov 23 15:51:19 2021</t>
  </si>
  <si>
    <t>Tue Nov 23 15:51:29 2021</t>
  </si>
  <si>
    <t>Tue Nov 23 15:51:39 2021</t>
  </si>
  <si>
    <t>Tue Nov 23 15:51:49 2021</t>
  </si>
  <si>
    <t>Tue Nov 23 15:51:59 2021</t>
  </si>
  <si>
    <t>Tue Nov 23 15:52:09 2021</t>
  </si>
  <si>
    <t>Tue Nov 23 15:52:19 2021</t>
  </si>
  <si>
    <t>Tue Nov 23 15:52:29 2021</t>
  </si>
  <si>
    <t>Tue Nov 23 15:52:39 2021</t>
  </si>
  <si>
    <t>Tue Nov 23 15:52:49 2021</t>
  </si>
  <si>
    <t>Tue Nov 23 15:52:59 2021</t>
  </si>
  <si>
    <t>Tue Nov 23 15:53:09 2021</t>
  </si>
  <si>
    <t>Tue Nov 23 15:53:19 2021</t>
  </si>
  <si>
    <t>Tue Nov 23 15:53:29 2021</t>
  </si>
  <si>
    <t>Tue Nov 23 15:53:39 2021</t>
  </si>
  <si>
    <t>Tue Nov 23 15:53:49 2021</t>
  </si>
  <si>
    <t>Tue Nov 23 15:54:00 2021</t>
  </si>
  <si>
    <t>Tue Nov 23 15:54:09 2021</t>
  </si>
  <si>
    <t>Tue Nov 23 15:54:19 2021</t>
  </si>
  <si>
    <t>Tue Nov 23 15:54:29 2021</t>
  </si>
  <si>
    <t>Tue Nov 23 15:54:40 2021</t>
  </si>
  <si>
    <t>Tue Nov 23 15:54:50 2021</t>
  </si>
  <si>
    <t>Tue Nov 23 15:55:00 2021</t>
  </si>
  <si>
    <t>Tue Nov 23 15:55:10 2021</t>
  </si>
  <si>
    <t>Tue Nov 23 15:55:19 2021</t>
  </si>
  <si>
    <t>Tue Nov 23 15:55:30 2021</t>
  </si>
  <si>
    <t>Tue Nov 23 15:55:40 2021</t>
  </si>
  <si>
    <t>Tue Nov 23 15:55:49 2021</t>
  </si>
  <si>
    <t>Tue Nov 23 15:56:00 2021</t>
  </si>
  <si>
    <t>Tue Nov 23 15:56:09 2021</t>
  </si>
  <si>
    <t>Tue Nov 23 15:56:20 2021</t>
  </si>
  <si>
    <t>Tue Nov 23 15:56:30 2021</t>
  </si>
  <si>
    <t>Tue Nov 23 15:56:39 2021</t>
  </si>
  <si>
    <t>Tue Nov 23 15:56:50 2021</t>
  </si>
  <si>
    <t>Tue Nov 23 15:57:00 2021</t>
  </si>
  <si>
    <t>Tue Nov 23 15:57:10 2021</t>
  </si>
  <si>
    <t>Tue Nov 23 15:57:20 2021</t>
  </si>
  <si>
    <t>Tue Nov 23 15:57:30 2021</t>
  </si>
  <si>
    <t>Tue Nov 23 15:57:40 2021</t>
  </si>
  <si>
    <t>Tue Nov 23 15:57:50 2021</t>
  </si>
  <si>
    <t>Tue Nov 23 15:58:00 2021</t>
  </si>
  <si>
    <t>Tue Nov 23 15:58:10 2021</t>
  </si>
  <si>
    <t>Tue Nov 23 15:58:20 2021</t>
  </si>
  <si>
    <t>Tue Nov 23 15:58:30 2021</t>
  </si>
  <si>
    <t>Tue Nov 23 15:58:41 2021</t>
  </si>
  <si>
    <t>Tue Nov 23 15:58:50 2021</t>
  </si>
  <si>
    <t>Tue Nov 23 15:59:00 2021</t>
  </si>
  <si>
    <t>Tue Nov 23 15:59:10 2021</t>
  </si>
  <si>
    <t>Tue Nov 23 15:59:20 2021</t>
  </si>
  <si>
    <t>Tue Nov 23 15:59:30 2021</t>
  </si>
  <si>
    <t>Tue Nov 23 15:59:41 2021</t>
  </si>
  <si>
    <t>Tue Nov 23 15:59:51 2021</t>
  </si>
  <si>
    <t>Tue Nov 23 16:00:00 2021</t>
  </si>
  <si>
    <t>Tue Nov 23 16:00:10 2021</t>
  </si>
  <si>
    <t>Tue Nov 23 16:00:20 2021</t>
  </si>
  <si>
    <t>Tue Nov 23 16:00:31 2021</t>
  </si>
  <si>
    <t>Tue Nov 23 16:00:41 2021</t>
  </si>
  <si>
    <t>Tue Nov 23 16:00:50 2021</t>
  </si>
  <si>
    <t>Tue Nov 23 16:01:00 2021</t>
  </si>
  <si>
    <t>Tue Nov 23 16:01:10 2021</t>
  </si>
  <si>
    <t>Tue Nov 23 16:01:20 2021</t>
  </si>
  <si>
    <t>Tue Nov 23 16:01:31 2021</t>
  </si>
  <si>
    <t>Tue Nov 23 16:01:40 2021</t>
  </si>
  <si>
    <t>Tue Nov 23 16:01:51 2021</t>
  </si>
  <si>
    <t>Tue Nov 23 16:02:00 2021</t>
  </si>
  <si>
    <t>Tue Nov 23 16:02:11 2021</t>
  </si>
  <si>
    <t>Tue Nov 23 16:02:20 2021</t>
  </si>
  <si>
    <t>Tue Nov 23 16:02:31 2021</t>
  </si>
  <si>
    <t>Tue Nov 23 16:02:40 2021</t>
  </si>
  <si>
    <t>Tue Nov 23 16:02:51 2021</t>
  </si>
  <si>
    <t>Tue Nov 23 16:03:01 2021</t>
  </si>
  <si>
    <t>Tue Nov 23 16:03:11 2021</t>
  </si>
  <si>
    <t>Tue Nov 23 16:03:21 2021</t>
  </si>
  <si>
    <t>Tue Nov 23 16:03:31 2021</t>
  </si>
  <si>
    <t>Tue Nov 23 16:03:41 2021</t>
  </si>
  <si>
    <t>Tue Nov 23 16:03:51 2021</t>
  </si>
  <si>
    <t>Tue Nov 23 16:04:01 2021</t>
  </si>
  <si>
    <t>Tue Nov 23 16:04:11 2021</t>
  </si>
  <si>
    <t>Tue Nov 23 16:04:21 2021</t>
  </si>
  <si>
    <t>Tue Nov 23 16:04:31 2021</t>
  </si>
  <si>
    <t>Tue Nov 23 16:04:41 2021</t>
  </si>
  <si>
    <t>Tue Nov 23 16:04:51 2021</t>
  </si>
  <si>
    <t>Tue Nov 23 16:05:01 2021</t>
  </si>
  <si>
    <t>Tue Nov 23 16:05:11 2021</t>
  </si>
  <si>
    <t>Tue Nov 23 16:05:21 2021</t>
  </si>
  <si>
    <t>Tue Nov 23 16:05:31 2021</t>
  </si>
  <si>
    <t>Tue Nov 23 16:05:41 2021</t>
  </si>
  <si>
    <t>Tue Nov 23 16:05:51 2021</t>
  </si>
  <si>
    <t>Tue Nov 23 16:06:01 2021</t>
  </si>
  <si>
    <t>Tue Nov 23 16:06:11 2021</t>
  </si>
  <si>
    <t>Tue Nov 23 16:06:21 2021</t>
  </si>
  <si>
    <t>Tue Nov 23 16:06:31 2021</t>
  </si>
  <si>
    <t>Tue Nov 23 16:06:41 2021</t>
  </si>
  <si>
    <t>Tue Nov 23 16:06:51 2021</t>
  </si>
  <si>
    <t>Tue Nov 23 16:07:01 2021</t>
  </si>
  <si>
    <t>Tue Nov 23 16:07:11 2021</t>
  </si>
  <si>
    <t>Tue Nov 23 16:07:21 2021</t>
  </si>
  <si>
    <t>Tue Nov 23 16:07:32 2021</t>
  </si>
  <si>
    <t>Tue Nov 23 16:07:41 2021</t>
  </si>
  <si>
    <t>Tue Nov 23 16:07:52 2021</t>
  </si>
  <si>
    <t>Tue Nov 23 16:08:01 2021</t>
  </si>
  <si>
    <t>Tue Nov 23 16:08:11 2021</t>
  </si>
  <si>
    <t>Tue Nov 23 16:08:21 2021</t>
  </si>
  <si>
    <t>Tue Nov 23 16:08:31 2021</t>
  </si>
  <si>
    <t>Tue Nov 23 16:08:41 2021</t>
  </si>
  <si>
    <t>Tue Nov 23 16:08:52 2021</t>
  </si>
  <si>
    <t>Tue Nov 23 16:09:01 2021</t>
  </si>
  <si>
    <t>Tue Nov 23 16:09:12 2021</t>
  </si>
  <si>
    <t>Tue Nov 23 16:09:22 2021</t>
  </si>
  <si>
    <t>Tue Nov 23 16:09:32 2021</t>
  </si>
  <si>
    <t>Tue Nov 23 16:09:41 2021</t>
  </si>
  <si>
    <t>Tue Nov 23 16:09:51 2021</t>
  </si>
  <si>
    <t>Tue Nov 23 16:10:01 2021</t>
  </si>
  <si>
    <t>Tue Nov 23 16:10:12 2021</t>
  </si>
  <si>
    <t>Tue Nov 23 16:10:22 2021</t>
  </si>
  <si>
    <t>Tue Nov 23 16:10:32 2021</t>
  </si>
  <si>
    <t>Tue Nov 23 16:10:41 2021</t>
  </si>
  <si>
    <t>Tue Nov 23 16:10:52 2021</t>
  </si>
  <si>
    <t>Serie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</si>
</sst>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Cu_1stPhase!$E$1:$E$193</c:f>
              <c:numCache>
                <c:formatCode>General</c:formatCode>
                <c:ptCount val="19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Cu_1stPhase!$F$1:$F$193</c:f>
              <c:numCache>
                <c:formatCode>General</c:formatCode>
                <c:ptCount val="193"/>
                <c:pt idx="0">
                  <c:v>7.6605507319433315</c:v>
                </c:pt>
                <c:pt idx="1">
                  <c:v>7.6587954125698339</c:v>
                </c:pt>
                <c:pt idx="2">
                  <c:v>7.6570034231452171</c:v>
                </c:pt>
                <c:pt idx="3">
                  <c:v>7.6555711910267057</c:v>
                </c:pt>
                <c:pt idx="4">
                  <c:v>7.6543860660687146</c:v>
                </c:pt>
                <c:pt idx="5">
                  <c:v>7.6524788010930047</c:v>
                </c:pt>
                <c:pt idx="6">
                  <c:v>7.6517239021250774</c:v>
                </c:pt>
                <c:pt idx="7">
                  <c:v>7.6506716133923165</c:v>
                </c:pt>
                <c:pt idx="8">
                  <c:v>7.64918154170278</c:v>
                </c:pt>
                <c:pt idx="9">
                  <c:v>7.6476426491868992</c:v>
                </c:pt>
                <c:pt idx="10">
                  <c:v>7.646087733419014</c:v>
                </c:pt>
                <c:pt idx="11">
                  <c:v>7.6441815111039038</c:v>
                </c:pt>
                <c:pt idx="12">
                  <c:v>7.6423646394999043</c:v>
                </c:pt>
                <c:pt idx="13">
                  <c:v>7.6405682779482449</c:v>
                </c:pt>
                <c:pt idx="14">
                  <c:v>7.6389791656841934</c:v>
                </c:pt>
                <c:pt idx="15">
                  <c:v>7.6387863136319725</c:v>
                </c:pt>
                <c:pt idx="16">
                  <c:v>7.6387826702964343</c:v>
                </c:pt>
                <c:pt idx="17">
                  <c:v>7.6373279678245112</c:v>
                </c:pt>
                <c:pt idx="18">
                  <c:v>7.6364972222598757</c:v>
                </c:pt>
                <c:pt idx="19">
                  <c:v>7.6355591985919835</c:v>
                </c:pt>
                <c:pt idx="20">
                  <c:v>7.6342884771862618</c:v>
                </c:pt>
                <c:pt idx="21">
                  <c:v>7.6327997864671335</c:v>
                </c:pt>
                <c:pt idx="22">
                  <c:v>7.6316274790606418</c:v>
                </c:pt>
                <c:pt idx="23">
                  <c:v>7.6304664763331376</c:v>
                </c:pt>
                <c:pt idx="24">
                  <c:v>7.6290586032752454</c:v>
                </c:pt>
                <c:pt idx="25">
                  <c:v>7.6279781391518116</c:v>
                </c:pt>
                <c:pt idx="26">
                  <c:v>7.6269908200619998</c:v>
                </c:pt>
                <c:pt idx="27">
                  <c:v>7.6254760913959903</c:v>
                </c:pt>
                <c:pt idx="28">
                  <c:v>7.6247602393662879</c:v>
                </c:pt>
                <c:pt idx="29">
                  <c:v>7.623025558147317</c:v>
                </c:pt>
                <c:pt idx="30">
                  <c:v>7.6217133337786054</c:v>
                </c:pt>
                <c:pt idx="31">
                  <c:v>7.6203592211512676</c:v>
                </c:pt>
                <c:pt idx="32">
                  <c:v>7.6189299622364288</c:v>
                </c:pt>
                <c:pt idx="33">
                  <c:v>7.6185369474355076</c:v>
                </c:pt>
                <c:pt idx="34">
                  <c:v>7.6172438556433733</c:v>
                </c:pt>
                <c:pt idx="35">
                  <c:v>7.6163639167959341</c:v>
                </c:pt>
                <c:pt idx="36">
                  <c:v>7.6148961909609989</c:v>
                </c:pt>
                <c:pt idx="37">
                  <c:v>7.6135724654566834</c:v>
                </c:pt>
                <c:pt idx="38">
                  <c:v>7.6120436562804397</c:v>
                </c:pt>
                <c:pt idx="39">
                  <c:v>7.6111028823869677</c:v>
                </c:pt>
                <c:pt idx="40">
                  <c:v>7.6100795207072132</c:v>
                </c:pt>
                <c:pt idx="41">
                  <c:v>7.6094922315913713</c:v>
                </c:pt>
                <c:pt idx="42">
                  <c:v>7.6085776418302089</c:v>
                </c:pt>
                <c:pt idx="43">
                  <c:v>7.6077006493968229</c:v>
                </c:pt>
                <c:pt idx="44">
                  <c:v>7.6068311391382339</c:v>
                </c:pt>
                <c:pt idx="45">
                  <c:v>7.6058330939613068</c:v>
                </c:pt>
                <c:pt idx="46">
                  <c:v>7.6047089870150835</c:v>
                </c:pt>
                <c:pt idx="47">
                  <c:v>7.6039126947344862</c:v>
                </c:pt>
                <c:pt idx="48">
                  <c:v>7.6028288862899673</c:v>
                </c:pt>
                <c:pt idx="49">
                  <c:v>7.6019782356873709</c:v>
                </c:pt>
                <c:pt idx="50">
                  <c:v>7.6017863462990674</c:v>
                </c:pt>
                <c:pt idx="51">
                  <c:v>7.6010949460153725</c:v>
                </c:pt>
                <c:pt idx="52">
                  <c:v>7.6004284091979706</c:v>
                </c:pt>
                <c:pt idx="53">
                  <c:v>7.5994371530046312</c:v>
                </c:pt>
                <c:pt idx="54">
                  <c:v>7.5992912377210553</c:v>
                </c:pt>
                <c:pt idx="55">
                  <c:v>7.5985582224641917</c:v>
                </c:pt>
                <c:pt idx="56">
                  <c:v>7.5972362010220982</c:v>
                </c:pt>
                <c:pt idx="57">
                  <c:v>7.5958391254738604</c:v>
                </c:pt>
                <c:pt idx="58">
                  <c:v>7.5949203689635345</c:v>
                </c:pt>
                <c:pt idx="59">
                  <c:v>7.5945507873126648</c:v>
                </c:pt>
                <c:pt idx="60">
                  <c:v>7.5939917333864129</c:v>
                </c:pt>
                <c:pt idx="61">
                  <c:v>7.5929767862059245</c:v>
                </c:pt>
                <c:pt idx="62">
                  <c:v>7.5926058698249381</c:v>
                </c:pt>
                <c:pt idx="63">
                  <c:v>7.5917041565650534</c:v>
                </c:pt>
                <c:pt idx="64">
                  <c:v>7.5908638372563404</c:v>
                </c:pt>
                <c:pt idx="65">
                  <c:v>7.5904482855912958</c:v>
                </c:pt>
                <c:pt idx="66">
                  <c:v>7.5897604785658519</c:v>
                </c:pt>
                <c:pt idx="67">
                  <c:v>7.5893913304818534</c:v>
                </c:pt>
                <c:pt idx="68">
                  <c:v>7.5885336163091521</c:v>
                </c:pt>
                <c:pt idx="69">
                  <c:v>7.5877428246223095</c:v>
                </c:pt>
                <c:pt idx="70">
                  <c:v>7.5872577291611121</c:v>
                </c:pt>
                <c:pt idx="71">
                  <c:v>7.5863432512563076</c:v>
                </c:pt>
                <c:pt idx="72">
                  <c:v>7.5857728348022135</c:v>
                </c:pt>
                <c:pt idx="73">
                  <c:v>7.5847910032645416</c:v>
                </c:pt>
                <c:pt idx="74">
                  <c:v>7.5846207880695804</c:v>
                </c:pt>
                <c:pt idx="75">
                  <c:v>7.5843578404985657</c:v>
                </c:pt>
                <c:pt idx="76">
                  <c:v>7.5834391532696026</c:v>
                </c:pt>
                <c:pt idx="77">
                  <c:v>7.5834414515542363</c:v>
                </c:pt>
                <c:pt idx="78">
                  <c:v>7.5827273009699523</c:v>
                </c:pt>
                <c:pt idx="79">
                  <c:v>7.5823845219985273</c:v>
                </c:pt>
                <c:pt idx="80">
                  <c:v>7.5823429254552845</c:v>
                </c:pt>
                <c:pt idx="81">
                  <c:v>7.5827093382858699</c:v>
                </c:pt>
                <c:pt idx="82">
                  <c:v>7.5824711293481064</c:v>
                </c:pt>
                <c:pt idx="83">
                  <c:v>7.5823116488494806</c:v>
                </c:pt>
                <c:pt idx="84">
                  <c:v>7.5826387268100284</c:v>
                </c:pt>
                <c:pt idx="85">
                  <c:v>7.5829852715975159</c:v>
                </c:pt>
                <c:pt idx="86">
                  <c:v>7.582716672484989</c:v>
                </c:pt>
                <c:pt idx="87">
                  <c:v>7.5824450171388778</c:v>
                </c:pt>
                <c:pt idx="88">
                  <c:v>7.5820634561412286</c:v>
                </c:pt>
                <c:pt idx="89">
                  <c:v>7.5811493807183572</c:v>
                </c:pt>
                <c:pt idx="90">
                  <c:v>7.5812505362294864</c:v>
                </c:pt>
                <c:pt idx="91">
                  <c:v>7.5798979395321329</c:v>
                </c:pt>
                <c:pt idx="92">
                  <c:v>7.579338177743403</c:v>
                </c:pt>
                <c:pt idx="93">
                  <c:v>7.5789334677519316</c:v>
                </c:pt>
                <c:pt idx="94">
                  <c:v>7.5784908311905825</c:v>
                </c:pt>
                <c:pt idx="95">
                  <c:v>7.5769984777881501</c:v>
                </c:pt>
                <c:pt idx="96">
                  <c:v>7.5764844993937759</c:v>
                </c:pt>
                <c:pt idx="97">
                  <c:v>7.5755311270484587</c:v>
                </c:pt>
                <c:pt idx="98">
                  <c:v>7.5751916958992913</c:v>
                </c:pt>
                <c:pt idx="99">
                  <c:v>7.5746556719847282</c:v>
                </c:pt>
                <c:pt idx="100">
                  <c:v>7.5741751550944478</c:v>
                </c:pt>
                <c:pt idx="101">
                  <c:v>7.5738333820570665</c:v>
                </c:pt>
                <c:pt idx="102">
                  <c:v>7.5729903939951067</c:v>
                </c:pt>
                <c:pt idx="103">
                  <c:v>7.572393718762978</c:v>
                </c:pt>
                <c:pt idx="104">
                  <c:v>7.571737115170837</c:v>
                </c:pt>
                <c:pt idx="105">
                  <c:v>7.5714247439479267</c:v>
                </c:pt>
                <c:pt idx="106">
                  <c:v>7.5702186551879009</c:v>
                </c:pt>
                <c:pt idx="107">
                  <c:v>7.5700059054043392</c:v>
                </c:pt>
                <c:pt idx="108">
                  <c:v>7.5696232829849084</c:v>
                </c:pt>
                <c:pt idx="109">
                  <c:v>7.5691416646382095</c:v>
                </c:pt>
                <c:pt idx="110">
                  <c:v>7.5682206772658347</c:v>
                </c:pt>
                <c:pt idx="111">
                  <c:v>7.5677306851348716</c:v>
                </c:pt>
                <c:pt idx="112">
                  <c:v>7.5666551786261751</c:v>
                </c:pt>
                <c:pt idx="113">
                  <c:v>7.5665205088725909</c:v>
                </c:pt>
                <c:pt idx="114">
                  <c:v>7.5650328830926625</c:v>
                </c:pt>
                <c:pt idx="115">
                  <c:v>7.5650686263502527</c:v>
                </c:pt>
                <c:pt idx="116">
                  <c:v>7.5641340008335689</c:v>
                </c:pt>
                <c:pt idx="117">
                  <c:v>7.5635481093294619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Cu_1stPhase!$E$1:$E$196</c:f>
              <c:numCache>
                <c:formatCode>General</c:formatCode>
                <c:ptCount val="19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Cu_1stPhase!$B$1:$B$196</c:f>
              <c:numCache>
                <c:formatCode>General</c:formatCode>
                <c:ptCount val="196"/>
                <c:pt idx="0">
                  <c:v>2122.9262699999999</c:v>
                </c:pt>
                <c:pt idx="1">
                  <c:v>2119.203125</c:v>
                </c:pt>
                <c:pt idx="2">
                  <c:v>2115.4089359999998</c:v>
                </c:pt>
                <c:pt idx="3">
                  <c:v>2112.3813479999999</c:v>
                </c:pt>
                <c:pt idx="4">
                  <c:v>2109.8793949999999</c:v>
                </c:pt>
                <c:pt idx="5">
                  <c:v>2105.8591310000002</c:v>
                </c:pt>
                <c:pt idx="6">
                  <c:v>2104.2700199999999</c:v>
                </c:pt>
                <c:pt idx="7">
                  <c:v>2102.056885</c:v>
                </c:pt>
                <c:pt idx="8">
                  <c:v>2098.9270019999999</c:v>
                </c:pt>
                <c:pt idx="9">
                  <c:v>2095.6994629999999</c:v>
                </c:pt>
                <c:pt idx="10">
                  <c:v>2092.4433589999999</c:v>
                </c:pt>
                <c:pt idx="11">
                  <c:v>2088.4584960000002</c:v>
                </c:pt>
                <c:pt idx="12">
                  <c:v>2084.6674800000001</c:v>
                </c:pt>
                <c:pt idx="13">
                  <c:v>2080.9260250000002</c:v>
                </c:pt>
                <c:pt idx="14">
                  <c:v>2077.6218260000001</c:v>
                </c:pt>
                <c:pt idx="15">
                  <c:v>2077.2211910000001</c:v>
                </c:pt>
                <c:pt idx="16">
                  <c:v>2077.2136230000001</c:v>
                </c:pt>
                <c:pt idx="17">
                  <c:v>2074.1940920000002</c:v>
                </c:pt>
                <c:pt idx="18">
                  <c:v>2072.4716800000001</c:v>
                </c:pt>
                <c:pt idx="19">
                  <c:v>2070.5285640000002</c:v>
                </c:pt>
                <c:pt idx="20">
                  <c:v>2067.8991700000001</c:v>
                </c:pt>
                <c:pt idx="21">
                  <c:v>2064.8229980000001</c:v>
                </c:pt>
                <c:pt idx="22">
                  <c:v>2062.4038089999999</c:v>
                </c:pt>
                <c:pt idx="23">
                  <c:v>2060.0107419999999</c:v>
                </c:pt>
                <c:pt idx="24">
                  <c:v>2057.1125489999999</c:v>
                </c:pt>
                <c:pt idx="25">
                  <c:v>2054.8911130000001</c:v>
                </c:pt>
                <c:pt idx="26">
                  <c:v>2052.8632809999999</c:v>
                </c:pt>
                <c:pt idx="27">
                  <c:v>2049.7561040000001</c:v>
                </c:pt>
                <c:pt idx="28">
                  <c:v>2048.289307</c:v>
                </c:pt>
                <c:pt idx="29">
                  <c:v>2044.7392580000001</c:v>
                </c:pt>
                <c:pt idx="30">
                  <c:v>2042.057861</c:v>
                </c:pt>
                <c:pt idx="31">
                  <c:v>2039.2945560000001</c:v>
                </c:pt>
                <c:pt idx="32">
                  <c:v>2036.3819579999999</c:v>
                </c:pt>
                <c:pt idx="33">
                  <c:v>2035.5817870000001</c:v>
                </c:pt>
                <c:pt idx="34">
                  <c:v>2032.951294</c:v>
                </c:pt>
                <c:pt idx="35">
                  <c:v>2031.1632079999999</c:v>
                </c:pt>
                <c:pt idx="36">
                  <c:v>2028.1842039999999</c:v>
                </c:pt>
                <c:pt idx="37">
                  <c:v>2025.501221</c:v>
                </c:pt>
                <c:pt idx="38">
                  <c:v>2022.406982</c:v>
                </c:pt>
                <c:pt idx="39">
                  <c:v>2020.505249</c:v>
                </c:pt>
                <c:pt idx="40">
                  <c:v>2018.4385990000001</c:v>
                </c:pt>
                <c:pt idx="41">
                  <c:v>2017.2535399999999</c:v>
                </c:pt>
                <c:pt idx="42">
                  <c:v>2015.4094239999999</c:v>
                </c:pt>
                <c:pt idx="43">
                  <c:v>2013.6427000000001</c:v>
                </c:pt>
                <c:pt idx="44">
                  <c:v>2011.892578</c:v>
                </c:pt>
                <c:pt idx="45">
                  <c:v>2009.88562</c:v>
                </c:pt>
                <c:pt idx="46">
                  <c:v>2007.627563</c:v>
                </c:pt>
                <c:pt idx="47">
                  <c:v>2006.0295410000001</c:v>
                </c:pt>
                <c:pt idx="48">
                  <c:v>2003.856567</c:v>
                </c:pt>
                <c:pt idx="49">
                  <c:v>2002.1527100000001</c:v>
                </c:pt>
                <c:pt idx="50">
                  <c:v>2001.7685550000001</c:v>
                </c:pt>
                <c:pt idx="51">
                  <c:v>2000.38501</c:v>
                </c:pt>
                <c:pt idx="52">
                  <c:v>1999.052124</c:v>
                </c:pt>
                <c:pt idx="53">
                  <c:v>1997.071533</c:v>
                </c:pt>
                <c:pt idx="54">
                  <c:v>1996.7801509999999</c:v>
                </c:pt>
                <c:pt idx="55">
                  <c:v>1995.3170170000001</c:v>
                </c:pt>
                <c:pt idx="56">
                  <c:v>1992.680908</c:v>
                </c:pt>
                <c:pt idx="57">
                  <c:v>1989.8989260000001</c:v>
                </c:pt>
                <c:pt idx="58">
                  <c:v>1988.071533</c:v>
                </c:pt>
                <c:pt idx="59">
                  <c:v>1987.336914</c:v>
                </c:pt>
                <c:pt idx="60">
                  <c:v>1986.2261960000001</c:v>
                </c:pt>
                <c:pt idx="61">
                  <c:v>1984.2113039999999</c:v>
                </c:pt>
                <c:pt idx="62">
                  <c:v>1983.4754640000001</c:v>
                </c:pt>
                <c:pt idx="63">
                  <c:v>1981.6877440000001</c:v>
                </c:pt>
                <c:pt idx="64">
                  <c:v>1980.023193</c:v>
                </c:pt>
                <c:pt idx="65">
                  <c:v>1979.200562</c:v>
                </c:pt>
                <c:pt idx="66">
                  <c:v>1977.8397219999999</c:v>
                </c:pt>
                <c:pt idx="67">
                  <c:v>1977.109741</c:v>
                </c:pt>
                <c:pt idx="68">
                  <c:v>1975.414673</c:v>
                </c:pt>
                <c:pt idx="69">
                  <c:v>1973.853149</c:v>
                </c:pt>
                <c:pt idx="70">
                  <c:v>1972.895874</c:v>
                </c:pt>
                <c:pt idx="71">
                  <c:v>1971.092529</c:v>
                </c:pt>
                <c:pt idx="72">
                  <c:v>1969.9685059999999</c:v>
                </c:pt>
                <c:pt idx="73">
                  <c:v>1968.0352780000001</c:v>
                </c:pt>
                <c:pt idx="74">
                  <c:v>1967.700317</c:v>
                </c:pt>
                <c:pt idx="75">
                  <c:v>1967.1829829999999</c:v>
                </c:pt>
                <c:pt idx="76">
                  <c:v>1965.376587</c:v>
                </c:pt>
                <c:pt idx="77">
                  <c:v>1965.3811040000001</c:v>
                </c:pt>
                <c:pt idx="78">
                  <c:v>1963.9780270000001</c:v>
                </c:pt>
                <c:pt idx="79">
                  <c:v>1963.304932</c:v>
                </c:pt>
                <c:pt idx="80">
                  <c:v>1963.2232670000001</c:v>
                </c:pt>
                <c:pt idx="81">
                  <c:v>1963.942749</c:v>
                </c:pt>
                <c:pt idx="82">
                  <c:v>1963.474976</c:v>
                </c:pt>
                <c:pt idx="83">
                  <c:v>1963.161865</c:v>
                </c:pt>
                <c:pt idx="84">
                  <c:v>1963.804077</c:v>
                </c:pt>
                <c:pt idx="85">
                  <c:v>1964.484741</c:v>
                </c:pt>
                <c:pt idx="86">
                  <c:v>1963.9571530000001</c:v>
                </c:pt>
                <c:pt idx="87">
                  <c:v>1963.423706</c:v>
                </c:pt>
                <c:pt idx="88">
                  <c:v>1962.674683</c:v>
                </c:pt>
                <c:pt idx="89">
                  <c:v>1960.88147</c:v>
                </c:pt>
                <c:pt idx="90">
                  <c:v>1961.0798339999999</c:v>
                </c:pt>
                <c:pt idx="91">
                  <c:v>1958.429077</c:v>
                </c:pt>
                <c:pt idx="92">
                  <c:v>1957.33313</c:v>
                </c:pt>
                <c:pt idx="93">
                  <c:v>1956.541138</c:v>
                </c:pt>
                <c:pt idx="94">
                  <c:v>1955.675293</c:v>
                </c:pt>
                <c:pt idx="95">
                  <c:v>1952.7589109999999</c:v>
                </c:pt>
                <c:pt idx="96">
                  <c:v>1951.7554929999999</c:v>
                </c:pt>
                <c:pt idx="97">
                  <c:v>1949.89563</c:v>
                </c:pt>
                <c:pt idx="98">
                  <c:v>1949.2338870000001</c:v>
                </c:pt>
                <c:pt idx="99">
                  <c:v>1948.189331</c:v>
                </c:pt>
                <c:pt idx="100">
                  <c:v>1947.253418</c:v>
                </c:pt>
                <c:pt idx="101">
                  <c:v>1946.588013</c:v>
                </c:pt>
                <c:pt idx="102">
                  <c:v>1944.947754</c:v>
                </c:pt>
                <c:pt idx="103">
                  <c:v>1943.7875979999999</c:v>
                </c:pt>
                <c:pt idx="104">
                  <c:v>1942.5117190000001</c:v>
                </c:pt>
                <c:pt idx="105">
                  <c:v>1941.905029</c:v>
                </c:pt>
                <c:pt idx="106">
                  <c:v>1939.564331</c:v>
                </c:pt>
                <c:pt idx="107">
                  <c:v>1939.1517329999999</c:v>
                </c:pt>
                <c:pt idx="108">
                  <c:v>1938.4099120000001</c:v>
                </c:pt>
                <c:pt idx="109">
                  <c:v>1937.4765629999999</c:v>
                </c:pt>
                <c:pt idx="110">
                  <c:v>1935.6929929999999</c:v>
                </c:pt>
                <c:pt idx="111">
                  <c:v>1934.744751</c:v>
                </c:pt>
                <c:pt idx="112">
                  <c:v>1932.665039</c:v>
                </c:pt>
                <c:pt idx="113">
                  <c:v>1932.4047849999999</c:v>
                </c:pt>
                <c:pt idx="114">
                  <c:v>1929.5322269999999</c:v>
                </c:pt>
                <c:pt idx="115">
                  <c:v>1929.6011960000001</c:v>
                </c:pt>
                <c:pt idx="116">
                  <c:v>1927.7985839999999</c:v>
                </c:pt>
                <c:pt idx="117">
                  <c:v>1926.6694339999999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Cu_1stPhase!$E$1:$E$51</c:f>
              <c:numCache>
                <c:formatCode>General</c:formatCode>
                <c:ptCount val="5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</c:numCache>
            </c:numRef>
          </c:xVal>
          <c:yVal>
            <c:numRef>
              <c:f>Cu_1stPhase!$F$1:$F$51</c:f>
              <c:numCache>
                <c:formatCode>General</c:formatCode>
                <c:ptCount val="51"/>
                <c:pt idx="0">
                  <c:v>7.6605507319433315</c:v>
                </c:pt>
                <c:pt idx="1">
                  <c:v>7.6587954125698339</c:v>
                </c:pt>
                <c:pt idx="2">
                  <c:v>7.6570034231452171</c:v>
                </c:pt>
                <c:pt idx="3">
                  <c:v>7.6555711910267057</c:v>
                </c:pt>
                <c:pt idx="4">
                  <c:v>7.6543860660687146</c:v>
                </c:pt>
                <c:pt idx="5">
                  <c:v>7.6524788010930047</c:v>
                </c:pt>
                <c:pt idx="6">
                  <c:v>7.6517239021250774</c:v>
                </c:pt>
                <c:pt idx="7">
                  <c:v>7.6506716133923165</c:v>
                </c:pt>
                <c:pt idx="8">
                  <c:v>7.64918154170278</c:v>
                </c:pt>
                <c:pt idx="9">
                  <c:v>7.6476426491868992</c:v>
                </c:pt>
                <c:pt idx="10">
                  <c:v>7.646087733419014</c:v>
                </c:pt>
                <c:pt idx="11">
                  <c:v>7.6441815111039038</c:v>
                </c:pt>
                <c:pt idx="12">
                  <c:v>7.6423646394999043</c:v>
                </c:pt>
                <c:pt idx="13">
                  <c:v>7.6405682779482449</c:v>
                </c:pt>
                <c:pt idx="14">
                  <c:v>7.6389791656841934</c:v>
                </c:pt>
                <c:pt idx="15">
                  <c:v>7.6387863136319725</c:v>
                </c:pt>
                <c:pt idx="16">
                  <c:v>7.6387826702964343</c:v>
                </c:pt>
                <c:pt idx="17">
                  <c:v>7.6373279678245112</c:v>
                </c:pt>
                <c:pt idx="18">
                  <c:v>7.6364972222598757</c:v>
                </c:pt>
                <c:pt idx="19">
                  <c:v>7.6355591985919835</c:v>
                </c:pt>
                <c:pt idx="20">
                  <c:v>7.6342884771862618</c:v>
                </c:pt>
                <c:pt idx="21">
                  <c:v>7.6327997864671335</c:v>
                </c:pt>
                <c:pt idx="22">
                  <c:v>7.6316274790606418</c:v>
                </c:pt>
                <c:pt idx="23">
                  <c:v>7.6304664763331376</c:v>
                </c:pt>
                <c:pt idx="24">
                  <c:v>7.6290586032752454</c:v>
                </c:pt>
                <c:pt idx="25">
                  <c:v>7.6279781391518116</c:v>
                </c:pt>
                <c:pt idx="26">
                  <c:v>7.6269908200619998</c:v>
                </c:pt>
                <c:pt idx="27">
                  <c:v>7.6254760913959903</c:v>
                </c:pt>
                <c:pt idx="28">
                  <c:v>7.6247602393662879</c:v>
                </c:pt>
                <c:pt idx="29">
                  <c:v>7.623025558147317</c:v>
                </c:pt>
                <c:pt idx="30">
                  <c:v>7.6217133337786054</c:v>
                </c:pt>
                <c:pt idx="31">
                  <c:v>7.6203592211512676</c:v>
                </c:pt>
                <c:pt idx="32">
                  <c:v>7.6189299622364288</c:v>
                </c:pt>
                <c:pt idx="33">
                  <c:v>7.6185369474355076</c:v>
                </c:pt>
                <c:pt idx="34">
                  <c:v>7.6172438556433733</c:v>
                </c:pt>
                <c:pt idx="35">
                  <c:v>7.6163639167959341</c:v>
                </c:pt>
                <c:pt idx="36">
                  <c:v>7.6148961909609989</c:v>
                </c:pt>
                <c:pt idx="37">
                  <c:v>7.6135724654566834</c:v>
                </c:pt>
                <c:pt idx="38">
                  <c:v>7.6120436562804397</c:v>
                </c:pt>
                <c:pt idx="39">
                  <c:v>7.6111028823869677</c:v>
                </c:pt>
                <c:pt idx="40">
                  <c:v>7.6100795207072132</c:v>
                </c:pt>
                <c:pt idx="41">
                  <c:v>7.6094922315913713</c:v>
                </c:pt>
                <c:pt idx="42">
                  <c:v>7.6085776418302089</c:v>
                </c:pt>
                <c:pt idx="43">
                  <c:v>7.6077006493968229</c:v>
                </c:pt>
                <c:pt idx="44">
                  <c:v>7.6068311391382339</c:v>
                </c:pt>
                <c:pt idx="45">
                  <c:v>7.6058330939613068</c:v>
                </c:pt>
                <c:pt idx="46">
                  <c:v>7.6047089870150835</c:v>
                </c:pt>
                <c:pt idx="47">
                  <c:v>7.6039126947344862</c:v>
                </c:pt>
                <c:pt idx="48">
                  <c:v>7.6028288862899673</c:v>
                </c:pt>
                <c:pt idx="49">
                  <c:v>7.6019782356873709</c:v>
                </c:pt>
                <c:pt idx="50">
                  <c:v>7.6017863462990674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436554191168684"/>
                  <c:y val="0.11647820064158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Cu_1stPhase!$E$1:$E$51</c:f>
              <c:numCache>
                <c:formatCode>General</c:formatCode>
                <c:ptCount val="5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</c:numCache>
            </c:numRef>
          </c:xVal>
          <c:yVal>
            <c:numRef>
              <c:f>Cu_1stPhase!$B$1:$B$51</c:f>
              <c:numCache>
                <c:formatCode>General</c:formatCode>
                <c:ptCount val="51"/>
                <c:pt idx="0">
                  <c:v>2122.9262699999999</c:v>
                </c:pt>
                <c:pt idx="1">
                  <c:v>2119.203125</c:v>
                </c:pt>
                <c:pt idx="2">
                  <c:v>2115.4089359999998</c:v>
                </c:pt>
                <c:pt idx="3">
                  <c:v>2112.3813479999999</c:v>
                </c:pt>
                <c:pt idx="4">
                  <c:v>2109.8793949999999</c:v>
                </c:pt>
                <c:pt idx="5">
                  <c:v>2105.8591310000002</c:v>
                </c:pt>
                <c:pt idx="6">
                  <c:v>2104.2700199999999</c:v>
                </c:pt>
                <c:pt idx="7">
                  <c:v>2102.056885</c:v>
                </c:pt>
                <c:pt idx="8">
                  <c:v>2098.9270019999999</c:v>
                </c:pt>
                <c:pt idx="9">
                  <c:v>2095.6994629999999</c:v>
                </c:pt>
                <c:pt idx="10">
                  <c:v>2092.4433589999999</c:v>
                </c:pt>
                <c:pt idx="11">
                  <c:v>2088.4584960000002</c:v>
                </c:pt>
                <c:pt idx="12">
                  <c:v>2084.6674800000001</c:v>
                </c:pt>
                <c:pt idx="13">
                  <c:v>2080.9260250000002</c:v>
                </c:pt>
                <c:pt idx="14">
                  <c:v>2077.6218260000001</c:v>
                </c:pt>
                <c:pt idx="15">
                  <c:v>2077.2211910000001</c:v>
                </c:pt>
                <c:pt idx="16">
                  <c:v>2077.2136230000001</c:v>
                </c:pt>
                <c:pt idx="17">
                  <c:v>2074.1940920000002</c:v>
                </c:pt>
                <c:pt idx="18">
                  <c:v>2072.4716800000001</c:v>
                </c:pt>
                <c:pt idx="19">
                  <c:v>2070.5285640000002</c:v>
                </c:pt>
                <c:pt idx="20">
                  <c:v>2067.8991700000001</c:v>
                </c:pt>
                <c:pt idx="21">
                  <c:v>2064.8229980000001</c:v>
                </c:pt>
                <c:pt idx="22">
                  <c:v>2062.4038089999999</c:v>
                </c:pt>
                <c:pt idx="23">
                  <c:v>2060.0107419999999</c:v>
                </c:pt>
                <c:pt idx="24">
                  <c:v>2057.1125489999999</c:v>
                </c:pt>
                <c:pt idx="25">
                  <c:v>2054.8911130000001</c:v>
                </c:pt>
                <c:pt idx="26">
                  <c:v>2052.8632809999999</c:v>
                </c:pt>
                <c:pt idx="27">
                  <c:v>2049.7561040000001</c:v>
                </c:pt>
                <c:pt idx="28">
                  <c:v>2048.289307</c:v>
                </c:pt>
                <c:pt idx="29">
                  <c:v>2044.7392580000001</c:v>
                </c:pt>
                <c:pt idx="30">
                  <c:v>2042.057861</c:v>
                </c:pt>
                <c:pt idx="31">
                  <c:v>2039.2945560000001</c:v>
                </c:pt>
                <c:pt idx="32">
                  <c:v>2036.3819579999999</c:v>
                </c:pt>
                <c:pt idx="33">
                  <c:v>2035.5817870000001</c:v>
                </c:pt>
                <c:pt idx="34">
                  <c:v>2032.951294</c:v>
                </c:pt>
                <c:pt idx="35">
                  <c:v>2031.1632079999999</c:v>
                </c:pt>
                <c:pt idx="36">
                  <c:v>2028.1842039999999</c:v>
                </c:pt>
                <c:pt idx="37">
                  <c:v>2025.501221</c:v>
                </c:pt>
                <c:pt idx="38">
                  <c:v>2022.406982</c:v>
                </c:pt>
                <c:pt idx="39">
                  <c:v>2020.505249</c:v>
                </c:pt>
                <c:pt idx="40">
                  <c:v>2018.4385990000001</c:v>
                </c:pt>
                <c:pt idx="41">
                  <c:v>2017.2535399999999</c:v>
                </c:pt>
                <c:pt idx="42">
                  <c:v>2015.4094239999999</c:v>
                </c:pt>
                <c:pt idx="43">
                  <c:v>2013.6427000000001</c:v>
                </c:pt>
                <c:pt idx="44">
                  <c:v>2011.892578</c:v>
                </c:pt>
                <c:pt idx="45">
                  <c:v>2009.88562</c:v>
                </c:pt>
                <c:pt idx="46">
                  <c:v>2007.627563</c:v>
                </c:pt>
                <c:pt idx="47">
                  <c:v>2006.0295410000001</c:v>
                </c:pt>
                <c:pt idx="48">
                  <c:v>2003.856567</c:v>
                </c:pt>
                <c:pt idx="49">
                  <c:v>2002.1527100000001</c:v>
                </c:pt>
                <c:pt idx="50">
                  <c:v>2001.7685550000001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PANI_1stPhase!$F$1:$F$193</c:f>
              <c:numCache>
                <c:formatCode>General</c:formatCode>
                <c:ptCount val="193"/>
                <c:pt idx="0">
                  <c:v>7.5154922944736056</c:v>
                </c:pt>
                <c:pt idx="1">
                  <c:v>7.5203177194121587</c:v>
                </c:pt>
                <c:pt idx="2">
                  <c:v>7.5245381029743053</c:v>
                </c:pt>
                <c:pt idx="3">
                  <c:v>7.5215431936023629</c:v>
                </c:pt>
                <c:pt idx="4">
                  <c:v>7.5193753945467661</c:v>
                </c:pt>
                <c:pt idx="5">
                  <c:v>7.5175496431233055</c:v>
                </c:pt>
                <c:pt idx="6">
                  <c:v>7.5173699098642253</c:v>
                </c:pt>
                <c:pt idx="7">
                  <c:v>7.519871389182355</c:v>
                </c:pt>
                <c:pt idx="8">
                  <c:v>7.5171438208405901</c:v>
                </c:pt>
                <c:pt idx="9">
                  <c:v>7.5167217667466373</c:v>
                </c:pt>
                <c:pt idx="10">
                  <c:v>7.5173842418159538</c:v>
                </c:pt>
                <c:pt idx="11">
                  <c:v>7.5166297384631262</c:v>
                </c:pt>
                <c:pt idx="12">
                  <c:v>7.5167843762114614</c:v>
                </c:pt>
                <c:pt idx="13">
                  <c:v>7.5163029886579604</c:v>
                </c:pt>
                <c:pt idx="14">
                  <c:v>7.519124192280926</c:v>
                </c:pt>
                <c:pt idx="15">
                  <c:v>7.5189344070394784</c:v>
                </c:pt>
                <c:pt idx="16">
                  <c:v>7.518378888904599</c:v>
                </c:pt>
                <c:pt idx="17">
                  <c:v>7.5174845608141299</c:v>
                </c:pt>
                <c:pt idx="18">
                  <c:v>7.5176289170462516</c:v>
                </c:pt>
                <c:pt idx="19">
                  <c:v>7.5175637730514149</c:v>
                </c:pt>
                <c:pt idx="20">
                  <c:v>7.5169174158555094</c:v>
                </c:pt>
                <c:pt idx="21">
                  <c:v>7.5169948813271787</c:v>
                </c:pt>
                <c:pt idx="22">
                  <c:v>7.5201886383472356</c:v>
                </c:pt>
                <c:pt idx="23">
                  <c:v>7.5178110574020076</c:v>
                </c:pt>
                <c:pt idx="24">
                  <c:v>7.5170172499044403</c:v>
                </c:pt>
                <c:pt idx="25">
                  <c:v>7.5173324861244266</c:v>
                </c:pt>
                <c:pt idx="26">
                  <c:v>7.5168992928020835</c:v>
                </c:pt>
                <c:pt idx="27">
                  <c:v>7.5168618519893959</c:v>
                </c:pt>
                <c:pt idx="28">
                  <c:v>7.5163266350940692</c:v>
                </c:pt>
                <c:pt idx="29">
                  <c:v>7.5162782789305034</c:v>
                </c:pt>
                <c:pt idx="30">
                  <c:v>7.515992410851263</c:v>
                </c:pt>
                <c:pt idx="31">
                  <c:v>7.5198122825056748</c:v>
                </c:pt>
                <c:pt idx="32">
                  <c:v>7.5235257605321877</c:v>
                </c:pt>
                <c:pt idx="33">
                  <c:v>7.5245466012458726</c:v>
                </c:pt>
                <c:pt idx="34">
                  <c:v>7.5242142573020372</c:v>
                </c:pt>
                <c:pt idx="35">
                  <c:v>7.5210978065312863</c:v>
                </c:pt>
                <c:pt idx="36">
                  <c:v>7.5189860136837225</c:v>
                </c:pt>
                <c:pt idx="37">
                  <c:v>7.5177409508357194</c:v>
                </c:pt>
                <c:pt idx="38">
                  <c:v>7.5174752723904472</c:v>
                </c:pt>
                <c:pt idx="39">
                  <c:v>7.5175853333065854</c:v>
                </c:pt>
                <c:pt idx="40">
                  <c:v>7.5171670494358223</c:v>
                </c:pt>
                <c:pt idx="41">
                  <c:v>7.516488625106768</c:v>
                </c:pt>
                <c:pt idx="42">
                  <c:v>7.5176705747199035</c:v>
                </c:pt>
                <c:pt idx="43">
                  <c:v>7.5171012120235989</c:v>
                </c:pt>
                <c:pt idx="44">
                  <c:v>7.5162477231287603</c:v>
                </c:pt>
                <c:pt idx="45">
                  <c:v>7.5160045037038561</c:v>
                </c:pt>
                <c:pt idx="46">
                  <c:v>7.5158745989915294</c:v>
                </c:pt>
                <c:pt idx="47">
                  <c:v>7.5149171672202089</c:v>
                </c:pt>
                <c:pt idx="48">
                  <c:v>7.514433149970996</c:v>
                </c:pt>
                <c:pt idx="49">
                  <c:v>7.5142849369816131</c:v>
                </c:pt>
                <c:pt idx="50">
                  <c:v>7.5145317687237743</c:v>
                </c:pt>
                <c:pt idx="51">
                  <c:v>7.5139864483686249</c:v>
                </c:pt>
                <c:pt idx="52">
                  <c:v>7.5135495378690704</c:v>
                </c:pt>
                <c:pt idx="53">
                  <c:v>7.5134530207992301</c:v>
                </c:pt>
                <c:pt idx="54">
                  <c:v>7.5136780138549302</c:v>
                </c:pt>
                <c:pt idx="55">
                  <c:v>7.5155484665143737</c:v>
                </c:pt>
                <c:pt idx="56">
                  <c:v>7.5166522484774037</c:v>
                </c:pt>
                <c:pt idx="57">
                  <c:v>7.5165274083896412</c:v>
                </c:pt>
                <c:pt idx="58">
                  <c:v>7.5180578819193755</c:v>
                </c:pt>
                <c:pt idx="59">
                  <c:v>7.5202236393418653</c:v>
                </c:pt>
                <c:pt idx="60">
                  <c:v>7.5212225398030448</c:v>
                </c:pt>
                <c:pt idx="61">
                  <c:v>7.5295887602307365</c:v>
                </c:pt>
                <c:pt idx="62">
                  <c:v>7.5227277012892335</c:v>
                </c:pt>
                <c:pt idx="63">
                  <c:v>7.5206332401333666</c:v>
                </c:pt>
                <c:pt idx="64">
                  <c:v>7.5182967576614548</c:v>
                </c:pt>
                <c:pt idx="65">
                  <c:v>7.5168949118094295</c:v>
                </c:pt>
                <c:pt idx="66">
                  <c:v>7.5161100765813433</c:v>
                </c:pt>
                <c:pt idx="67">
                  <c:v>7.5154341254491994</c:v>
                </c:pt>
                <c:pt idx="68">
                  <c:v>7.5148513814996072</c:v>
                </c:pt>
                <c:pt idx="69">
                  <c:v>7.5146293132658206</c:v>
                </c:pt>
                <c:pt idx="70">
                  <c:v>7.514434946268131</c:v>
                </c:pt>
                <c:pt idx="71">
                  <c:v>7.5166118761978957</c:v>
                </c:pt>
                <c:pt idx="72">
                  <c:v>7.5173186181989156</c:v>
                </c:pt>
                <c:pt idx="73">
                  <c:v>7.5161730563231961</c:v>
                </c:pt>
                <c:pt idx="74">
                  <c:v>7.5163486867133669</c:v>
                </c:pt>
                <c:pt idx="75">
                  <c:v>7.5166399643670827</c:v>
                </c:pt>
                <c:pt idx="76">
                  <c:v>7.5161085483387362</c:v>
                </c:pt>
                <c:pt idx="77">
                  <c:v>7.5164431320294591</c:v>
                </c:pt>
                <c:pt idx="78">
                  <c:v>7.515673229584646</c:v>
                </c:pt>
                <c:pt idx="79">
                  <c:v>7.5158177810943867</c:v>
                </c:pt>
                <c:pt idx="80">
                  <c:v>7.515530052888316</c:v>
                </c:pt>
                <c:pt idx="81">
                  <c:v>7.5187942145309581</c:v>
                </c:pt>
                <c:pt idx="82">
                  <c:v>7.5184686355520745</c:v>
                </c:pt>
                <c:pt idx="83">
                  <c:v>7.5205323105154767</c:v>
                </c:pt>
                <c:pt idx="84">
                  <c:v>7.5198528565362031</c:v>
                </c:pt>
                <c:pt idx="85">
                  <c:v>7.5181880339649672</c:v>
                </c:pt>
                <c:pt idx="86">
                  <c:v>7.5168476452467994</c:v>
                </c:pt>
                <c:pt idx="87">
                  <c:v>7.5160150680247391</c:v>
                </c:pt>
                <c:pt idx="88">
                  <c:v>7.5158570553064195</c:v>
                </c:pt>
                <c:pt idx="89">
                  <c:v>7.5180527764966696</c:v>
                </c:pt>
                <c:pt idx="90">
                  <c:v>7.5176500112831706</c:v>
                </c:pt>
                <c:pt idx="91">
                  <c:v>7.5184116336293041</c:v>
                </c:pt>
                <c:pt idx="92">
                  <c:v>7.518356020230029</c:v>
                </c:pt>
                <c:pt idx="93">
                  <c:v>7.5179873292849315</c:v>
                </c:pt>
                <c:pt idx="94">
                  <c:v>7.5173162291260063</c:v>
                </c:pt>
                <c:pt idx="95">
                  <c:v>7.5170439330916041</c:v>
                </c:pt>
                <c:pt idx="96">
                  <c:v>7.5168686232751103</c:v>
                </c:pt>
                <c:pt idx="97">
                  <c:v>7.5163443033078421</c:v>
                </c:pt>
                <c:pt idx="98">
                  <c:v>7.5211218683880094</c:v>
                </c:pt>
                <c:pt idx="99">
                  <c:v>7.5214841196187621</c:v>
                </c:pt>
                <c:pt idx="100">
                  <c:v>7.5210028742510495</c:v>
                </c:pt>
                <c:pt idx="101">
                  <c:v>7.519241821057415</c:v>
                </c:pt>
                <c:pt idx="102">
                  <c:v>7.518677394591605</c:v>
                </c:pt>
                <c:pt idx="103">
                  <c:v>7.5175595275724589</c:v>
                </c:pt>
                <c:pt idx="104">
                  <c:v>7.5171795260540861</c:v>
                </c:pt>
                <c:pt idx="105">
                  <c:v>7.5170244850427217</c:v>
                </c:pt>
                <c:pt idx="106">
                  <c:v>7.5165037667006835</c:v>
                </c:pt>
                <c:pt idx="107">
                  <c:v>7.5165861116967942</c:v>
                </c:pt>
                <c:pt idx="108">
                  <c:v>7.5162888403595485</c:v>
                </c:pt>
                <c:pt idx="109">
                  <c:v>7.5161478780726707</c:v>
                </c:pt>
                <c:pt idx="110">
                  <c:v>7.5159032391704832</c:v>
                </c:pt>
                <c:pt idx="111">
                  <c:v>7.5160660945888695</c:v>
                </c:pt>
                <c:pt idx="112">
                  <c:v>7.5155487986905909</c:v>
                </c:pt>
                <c:pt idx="113">
                  <c:v>7.5155717980857588</c:v>
                </c:pt>
                <c:pt idx="114">
                  <c:v>7.5157485979384315</c:v>
                </c:pt>
                <c:pt idx="115">
                  <c:v>7.5157093858910731</c:v>
                </c:pt>
                <c:pt idx="116">
                  <c:v>7.5156152034015484</c:v>
                </c:pt>
                <c:pt idx="117">
                  <c:v>7.5167554952933617</c:v>
                </c:pt>
                <c:pt idx="118">
                  <c:v>7.5189940958224231</c:v>
                </c:pt>
                <c:pt idx="119">
                  <c:v>7.5183667584829257</c:v>
                </c:pt>
                <c:pt idx="120">
                  <c:v>7.517641785681394</c:v>
                </c:pt>
                <c:pt idx="121">
                  <c:v>7.5173038205319695</c:v>
                </c:pt>
                <c:pt idx="122">
                  <c:v>7.517122185277004</c:v>
                </c:pt>
                <c:pt idx="123">
                  <c:v>7.5170157235913386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r>
                      <a:rPr lang="fr-CH" baseline="0"/>
                      <a:t/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PANI_1stPhase!$B$1:$B$196</c:f>
              <c:numCache>
                <c:formatCode>General</c:formatCode>
                <c:ptCount val="196"/>
                <c:pt idx="0">
                  <c:v>1836.27124</c:v>
                </c:pt>
                <c:pt idx="1">
                  <c:v>1845.153442</c:v>
                </c:pt>
                <c:pt idx="2">
                  <c:v>1852.9571530000001</c:v>
                </c:pt>
                <c:pt idx="3">
                  <c:v>1847.4160159999999</c:v>
                </c:pt>
                <c:pt idx="4">
                  <c:v>1843.4155270000001</c:v>
                </c:pt>
                <c:pt idx="5">
                  <c:v>1840.0529790000001</c:v>
                </c:pt>
                <c:pt idx="6">
                  <c:v>1839.7222899999999</c:v>
                </c:pt>
                <c:pt idx="7">
                  <c:v>1844.330078</c:v>
                </c:pt>
                <c:pt idx="8">
                  <c:v>1839.3063959999999</c:v>
                </c:pt>
                <c:pt idx="9">
                  <c:v>1838.5302730000001</c:v>
                </c:pt>
                <c:pt idx="10">
                  <c:v>1839.7486570000001</c:v>
                </c:pt>
                <c:pt idx="11">
                  <c:v>1838.3610839999999</c:v>
                </c:pt>
                <c:pt idx="12">
                  <c:v>1838.6453859999999</c:v>
                </c:pt>
                <c:pt idx="13">
                  <c:v>1837.7604980000001</c:v>
                </c:pt>
                <c:pt idx="14">
                  <c:v>1842.9525149999999</c:v>
                </c:pt>
                <c:pt idx="15">
                  <c:v>1842.602783</c:v>
                </c:pt>
                <c:pt idx="16">
                  <c:v>1841.5794679999999</c:v>
                </c:pt>
                <c:pt idx="17">
                  <c:v>1839.9332280000001</c:v>
                </c:pt>
                <c:pt idx="18">
                  <c:v>1840.1988530000001</c:v>
                </c:pt>
                <c:pt idx="19">
                  <c:v>1840.0789789999999</c:v>
                </c:pt>
                <c:pt idx="20">
                  <c:v>1838.8900149999999</c:v>
                </c:pt>
                <c:pt idx="21">
                  <c:v>1839.032471</c:v>
                </c:pt>
                <c:pt idx="22">
                  <c:v>1844.915283</c:v>
                </c:pt>
                <c:pt idx="23">
                  <c:v>1840.534058</c:v>
                </c:pt>
                <c:pt idx="24">
                  <c:v>1839.0736079999999</c:v>
                </c:pt>
                <c:pt idx="25">
                  <c:v>1839.653442</c:v>
                </c:pt>
                <c:pt idx="26">
                  <c:v>1838.856689</c:v>
                </c:pt>
                <c:pt idx="27">
                  <c:v>1838.787842</c:v>
                </c:pt>
                <c:pt idx="28">
                  <c:v>1837.8039550000001</c:v>
                </c:pt>
                <c:pt idx="29">
                  <c:v>1837.7150879999999</c:v>
                </c:pt>
                <c:pt idx="30">
                  <c:v>1837.1898189999999</c:v>
                </c:pt>
                <c:pt idx="31">
                  <c:v>1844.2210689999999</c:v>
                </c:pt>
                <c:pt idx="32">
                  <c:v>1851.082275</c:v>
                </c:pt>
                <c:pt idx="33">
                  <c:v>1852.9729</c:v>
                </c:pt>
                <c:pt idx="34">
                  <c:v>1852.357178</c:v>
                </c:pt>
                <c:pt idx="35">
                  <c:v>1846.593384</c:v>
                </c:pt>
                <c:pt idx="36">
                  <c:v>1842.697876</c:v>
                </c:pt>
                <c:pt idx="37">
                  <c:v>1840.405029</c:v>
                </c:pt>
                <c:pt idx="38">
                  <c:v>1839.916138</c:v>
                </c:pt>
                <c:pt idx="39">
                  <c:v>1840.1186520000001</c:v>
                </c:pt>
                <c:pt idx="40">
                  <c:v>1839.349121</c:v>
                </c:pt>
                <c:pt idx="41">
                  <c:v>1838.1016850000001</c:v>
                </c:pt>
                <c:pt idx="42">
                  <c:v>1840.275513</c:v>
                </c:pt>
                <c:pt idx="43">
                  <c:v>1839.2280270000001</c:v>
                </c:pt>
                <c:pt idx="44">
                  <c:v>1837.658936</c:v>
                </c:pt>
                <c:pt idx="45">
                  <c:v>1837.2120359999999</c:v>
                </c:pt>
                <c:pt idx="46">
                  <c:v>1836.973389</c:v>
                </c:pt>
                <c:pt idx="47">
                  <c:v>1835.2154539999999</c:v>
                </c:pt>
                <c:pt idx="48">
                  <c:v>1834.327393</c:v>
                </c:pt>
                <c:pt idx="49">
                  <c:v>1834.0555420000001</c:v>
                </c:pt>
                <c:pt idx="50">
                  <c:v>1834.5083010000001</c:v>
                </c:pt>
                <c:pt idx="51">
                  <c:v>1833.5081789999999</c:v>
                </c:pt>
                <c:pt idx="52">
                  <c:v>1832.707275</c:v>
                </c:pt>
                <c:pt idx="53">
                  <c:v>1832.5303960000001</c:v>
                </c:pt>
                <c:pt idx="54">
                  <c:v>1832.942749</c:v>
                </c:pt>
                <c:pt idx="55">
                  <c:v>1836.3743899999999</c:v>
                </c:pt>
                <c:pt idx="56">
                  <c:v>1838.402466</c:v>
                </c:pt>
                <c:pt idx="57">
                  <c:v>1838.1729740000001</c:v>
                </c:pt>
                <c:pt idx="58">
                  <c:v>1840.9884030000001</c:v>
                </c:pt>
                <c:pt idx="59">
                  <c:v>1844.9798579999999</c:v>
                </c:pt>
                <c:pt idx="60">
                  <c:v>1846.8237300000001</c:v>
                </c:pt>
                <c:pt idx="61">
                  <c:v>1862.3394780000001</c:v>
                </c:pt>
                <c:pt idx="62">
                  <c:v>1849.605591</c:v>
                </c:pt>
                <c:pt idx="63">
                  <c:v>1845.7357179999999</c:v>
                </c:pt>
                <c:pt idx="64">
                  <c:v>1841.4282229999999</c:v>
                </c:pt>
                <c:pt idx="65">
                  <c:v>1838.8486330000001</c:v>
                </c:pt>
                <c:pt idx="66">
                  <c:v>1837.4060059999999</c:v>
                </c:pt>
                <c:pt idx="67">
                  <c:v>1836.1644289999999</c:v>
                </c:pt>
                <c:pt idx="68">
                  <c:v>1835.0947269999999</c:v>
                </c:pt>
                <c:pt idx="69">
                  <c:v>1834.6872559999999</c:v>
                </c:pt>
                <c:pt idx="70">
                  <c:v>1834.330688</c:v>
                </c:pt>
                <c:pt idx="71">
                  <c:v>1838.3282469999999</c:v>
                </c:pt>
                <c:pt idx="72">
                  <c:v>1839.6279300000001</c:v>
                </c:pt>
                <c:pt idx="73">
                  <c:v>1837.5217290000001</c:v>
                </c:pt>
                <c:pt idx="74">
                  <c:v>1837.844482</c:v>
                </c:pt>
                <c:pt idx="75">
                  <c:v>1838.3798830000001</c:v>
                </c:pt>
                <c:pt idx="76">
                  <c:v>1837.403198</c:v>
                </c:pt>
                <c:pt idx="77">
                  <c:v>1838.0180660000001</c:v>
                </c:pt>
                <c:pt idx="78">
                  <c:v>1836.6035159999999</c:v>
                </c:pt>
                <c:pt idx="79">
                  <c:v>1836.869019</c:v>
                </c:pt>
                <c:pt idx="80">
                  <c:v>1836.3405760000001</c:v>
                </c:pt>
                <c:pt idx="81">
                  <c:v>1842.344482</c:v>
                </c:pt>
                <c:pt idx="82">
                  <c:v>1841.744751</c:v>
                </c:pt>
                <c:pt idx="83">
                  <c:v>1845.549438</c:v>
                </c:pt>
                <c:pt idx="84">
                  <c:v>1844.2958980000001</c:v>
                </c:pt>
                <c:pt idx="85">
                  <c:v>1841.2280270000001</c:v>
                </c:pt>
                <c:pt idx="86">
                  <c:v>1838.7617190000001</c:v>
                </c:pt>
                <c:pt idx="87">
                  <c:v>1837.2314449999999</c:v>
                </c:pt>
                <c:pt idx="88">
                  <c:v>1836.9411620000001</c:v>
                </c:pt>
                <c:pt idx="89">
                  <c:v>1840.979004</c:v>
                </c:pt>
                <c:pt idx="90">
                  <c:v>1840.2376710000001</c:v>
                </c:pt>
                <c:pt idx="91">
                  <c:v>1841.6397710000001</c:v>
                </c:pt>
                <c:pt idx="92">
                  <c:v>1841.5373540000001</c:v>
                </c:pt>
                <c:pt idx="93">
                  <c:v>1840.8585210000001</c:v>
                </c:pt>
                <c:pt idx="94">
                  <c:v>1839.6235349999999</c:v>
                </c:pt>
                <c:pt idx="95">
                  <c:v>1839.1226810000001</c:v>
                </c:pt>
                <c:pt idx="96">
                  <c:v>1838.800293</c:v>
                </c:pt>
                <c:pt idx="97">
                  <c:v>1837.8364260000001</c:v>
                </c:pt>
                <c:pt idx="98">
                  <c:v>1846.637817</c:v>
                </c:pt>
                <c:pt idx="99">
                  <c:v>1847.306885</c:v>
                </c:pt>
                <c:pt idx="100">
                  <c:v>1846.418091</c:v>
                </c:pt>
                <c:pt idx="101">
                  <c:v>1843.169312</c:v>
                </c:pt>
                <c:pt idx="102">
                  <c:v>1842.1292719999999</c:v>
                </c:pt>
                <c:pt idx="103">
                  <c:v>1840.0711670000001</c:v>
                </c:pt>
                <c:pt idx="104">
                  <c:v>1839.3720699999999</c:v>
                </c:pt>
                <c:pt idx="105">
                  <c:v>1839.086914</c:v>
                </c:pt>
                <c:pt idx="106">
                  <c:v>1838.1295170000001</c:v>
                </c:pt>
                <c:pt idx="107">
                  <c:v>1838.280884</c:v>
                </c:pt>
                <c:pt idx="108">
                  <c:v>1837.7344969999999</c:v>
                </c:pt>
                <c:pt idx="109">
                  <c:v>1837.4754640000001</c:v>
                </c:pt>
                <c:pt idx="110">
                  <c:v>1837.026001</c:v>
                </c:pt>
                <c:pt idx="111">
                  <c:v>1837.3251949999999</c:v>
                </c:pt>
                <c:pt idx="112">
                  <c:v>1836.375</c:v>
                </c:pt>
                <c:pt idx="113">
                  <c:v>1836.417236</c:v>
                </c:pt>
                <c:pt idx="114">
                  <c:v>1836.741943</c:v>
                </c:pt>
                <c:pt idx="115">
                  <c:v>1836.669922</c:v>
                </c:pt>
                <c:pt idx="116">
                  <c:v>1836.496948</c:v>
                </c:pt>
                <c:pt idx="117">
                  <c:v>1838.5922849999999</c:v>
                </c:pt>
                <c:pt idx="118">
                  <c:v>1842.712769</c:v>
                </c:pt>
                <c:pt idx="119">
                  <c:v>1841.557129</c:v>
                </c:pt>
                <c:pt idx="120">
                  <c:v>1840.222534</c:v>
                </c:pt>
                <c:pt idx="121">
                  <c:v>1839.6007079999999</c:v>
                </c:pt>
                <c:pt idx="122">
                  <c:v>1839.2666019999999</c:v>
                </c:pt>
                <c:pt idx="123">
                  <c:v>1839.0708010000001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PANI_1stPhase!$F$1:$F$51</c:f>
              <c:numCache>
                <c:formatCode>General</c:formatCode>
                <c:ptCount val="51"/>
                <c:pt idx="0">
                  <c:v>7.5154922944736056</c:v>
                </c:pt>
                <c:pt idx="1">
                  <c:v>7.5203177194121587</c:v>
                </c:pt>
                <c:pt idx="2">
                  <c:v>7.5245381029743053</c:v>
                </c:pt>
                <c:pt idx="3">
                  <c:v>7.5215431936023629</c:v>
                </c:pt>
                <c:pt idx="4">
                  <c:v>7.5193753945467661</c:v>
                </c:pt>
                <c:pt idx="5">
                  <c:v>7.5175496431233055</c:v>
                </c:pt>
                <c:pt idx="6">
                  <c:v>7.5173699098642253</c:v>
                </c:pt>
                <c:pt idx="7">
                  <c:v>7.519871389182355</c:v>
                </c:pt>
                <c:pt idx="8">
                  <c:v>7.5171438208405901</c:v>
                </c:pt>
                <c:pt idx="9">
                  <c:v>7.5167217667466373</c:v>
                </c:pt>
                <c:pt idx="10">
                  <c:v>7.5173842418159538</c:v>
                </c:pt>
                <c:pt idx="11">
                  <c:v>7.5166297384631262</c:v>
                </c:pt>
                <c:pt idx="12">
                  <c:v>7.5167843762114614</c:v>
                </c:pt>
                <c:pt idx="13">
                  <c:v>7.5163029886579604</c:v>
                </c:pt>
                <c:pt idx="14">
                  <c:v>7.519124192280926</c:v>
                </c:pt>
                <c:pt idx="15">
                  <c:v>7.5189344070394784</c:v>
                </c:pt>
                <c:pt idx="16">
                  <c:v>7.518378888904599</c:v>
                </c:pt>
                <c:pt idx="17">
                  <c:v>7.5174845608141299</c:v>
                </c:pt>
                <c:pt idx="18">
                  <c:v>7.5176289170462516</c:v>
                </c:pt>
                <c:pt idx="19">
                  <c:v>7.5175637730514149</c:v>
                </c:pt>
                <c:pt idx="20">
                  <c:v>7.5169174158555094</c:v>
                </c:pt>
                <c:pt idx="21">
                  <c:v>7.5169948813271787</c:v>
                </c:pt>
                <c:pt idx="22">
                  <c:v>7.5201886383472356</c:v>
                </c:pt>
                <c:pt idx="23">
                  <c:v>7.5178110574020076</c:v>
                </c:pt>
                <c:pt idx="24">
                  <c:v>7.5170172499044403</c:v>
                </c:pt>
                <c:pt idx="25">
                  <c:v>7.5173324861244266</c:v>
                </c:pt>
                <c:pt idx="26">
                  <c:v>7.5168992928020835</c:v>
                </c:pt>
                <c:pt idx="27">
                  <c:v>7.5168618519893959</c:v>
                </c:pt>
                <c:pt idx="28">
                  <c:v>7.5163266350940692</c:v>
                </c:pt>
                <c:pt idx="29">
                  <c:v>7.5162782789305034</c:v>
                </c:pt>
                <c:pt idx="30">
                  <c:v>7.515992410851263</c:v>
                </c:pt>
                <c:pt idx="31">
                  <c:v>7.5198122825056748</c:v>
                </c:pt>
                <c:pt idx="32">
                  <c:v>7.5235257605321877</c:v>
                </c:pt>
                <c:pt idx="33">
                  <c:v>7.5245466012458726</c:v>
                </c:pt>
                <c:pt idx="34">
                  <c:v>7.5242142573020372</c:v>
                </c:pt>
                <c:pt idx="35">
                  <c:v>7.5210978065312863</c:v>
                </c:pt>
                <c:pt idx="36">
                  <c:v>7.5189860136837225</c:v>
                </c:pt>
                <c:pt idx="37">
                  <c:v>7.5177409508357194</c:v>
                </c:pt>
                <c:pt idx="38">
                  <c:v>7.5174752723904472</c:v>
                </c:pt>
                <c:pt idx="39">
                  <c:v>7.5175853333065854</c:v>
                </c:pt>
                <c:pt idx="40">
                  <c:v>7.5171670494358223</c:v>
                </c:pt>
                <c:pt idx="41">
                  <c:v>7.516488625106768</c:v>
                </c:pt>
                <c:pt idx="42">
                  <c:v>7.5176705747199035</c:v>
                </c:pt>
                <c:pt idx="43">
                  <c:v>7.5171012120235989</c:v>
                </c:pt>
                <c:pt idx="44">
                  <c:v>7.5162477231287603</c:v>
                </c:pt>
                <c:pt idx="45">
                  <c:v>7.5160045037038561</c:v>
                </c:pt>
                <c:pt idx="46">
                  <c:v>7.5158745989915294</c:v>
                </c:pt>
                <c:pt idx="47">
                  <c:v>7.5149171672202089</c:v>
                </c:pt>
                <c:pt idx="48">
                  <c:v>7.514433149970996</c:v>
                </c:pt>
                <c:pt idx="49">
                  <c:v>7.5142849369816131</c:v>
                </c:pt>
                <c:pt idx="50">
                  <c:v>7.5145317687237743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PANI_1stPhase!$B$1:$B$51</c:f>
              <c:numCache>
                <c:formatCode>General</c:formatCode>
                <c:ptCount val="51"/>
                <c:pt idx="0">
                  <c:v>1836.27124</c:v>
                </c:pt>
                <c:pt idx="1">
                  <c:v>1845.153442</c:v>
                </c:pt>
                <c:pt idx="2">
                  <c:v>1852.9571530000001</c:v>
                </c:pt>
                <c:pt idx="3">
                  <c:v>1847.4160159999999</c:v>
                </c:pt>
                <c:pt idx="4">
                  <c:v>1843.4155270000001</c:v>
                </c:pt>
                <c:pt idx="5">
                  <c:v>1840.0529790000001</c:v>
                </c:pt>
                <c:pt idx="6">
                  <c:v>1839.7222899999999</c:v>
                </c:pt>
                <c:pt idx="7">
                  <c:v>1844.330078</c:v>
                </c:pt>
                <c:pt idx="8">
                  <c:v>1839.3063959999999</c:v>
                </c:pt>
                <c:pt idx="9">
                  <c:v>1838.5302730000001</c:v>
                </c:pt>
                <c:pt idx="10">
                  <c:v>1839.7486570000001</c:v>
                </c:pt>
                <c:pt idx="11">
                  <c:v>1838.3610839999999</c:v>
                </c:pt>
                <c:pt idx="12">
                  <c:v>1838.6453859999999</c:v>
                </c:pt>
                <c:pt idx="13">
                  <c:v>1837.7604980000001</c:v>
                </c:pt>
                <c:pt idx="14">
                  <c:v>1842.9525149999999</c:v>
                </c:pt>
                <c:pt idx="15">
                  <c:v>1842.602783</c:v>
                </c:pt>
                <c:pt idx="16">
                  <c:v>1841.5794679999999</c:v>
                </c:pt>
                <c:pt idx="17">
                  <c:v>1839.9332280000001</c:v>
                </c:pt>
                <c:pt idx="18">
                  <c:v>1840.1988530000001</c:v>
                </c:pt>
                <c:pt idx="19">
                  <c:v>1840.0789789999999</c:v>
                </c:pt>
                <c:pt idx="20">
                  <c:v>1838.8900149999999</c:v>
                </c:pt>
                <c:pt idx="21">
                  <c:v>1839.032471</c:v>
                </c:pt>
                <c:pt idx="22">
                  <c:v>1844.915283</c:v>
                </c:pt>
                <c:pt idx="23">
                  <c:v>1840.534058</c:v>
                </c:pt>
                <c:pt idx="24">
                  <c:v>1839.0736079999999</c:v>
                </c:pt>
                <c:pt idx="25">
                  <c:v>1839.653442</c:v>
                </c:pt>
                <c:pt idx="26">
                  <c:v>1838.856689</c:v>
                </c:pt>
                <c:pt idx="27">
                  <c:v>1838.787842</c:v>
                </c:pt>
                <c:pt idx="28">
                  <c:v>1837.8039550000001</c:v>
                </c:pt>
                <c:pt idx="29">
                  <c:v>1837.7150879999999</c:v>
                </c:pt>
                <c:pt idx="30">
                  <c:v>1837.1898189999999</c:v>
                </c:pt>
                <c:pt idx="31">
                  <c:v>1844.2210689999999</c:v>
                </c:pt>
                <c:pt idx="32">
                  <c:v>1851.082275</c:v>
                </c:pt>
                <c:pt idx="33">
                  <c:v>1852.9729</c:v>
                </c:pt>
                <c:pt idx="34">
                  <c:v>1852.357178</c:v>
                </c:pt>
                <c:pt idx="35">
                  <c:v>1846.593384</c:v>
                </c:pt>
                <c:pt idx="36">
                  <c:v>1842.697876</c:v>
                </c:pt>
                <c:pt idx="37">
                  <c:v>1840.405029</c:v>
                </c:pt>
                <c:pt idx="38">
                  <c:v>1839.916138</c:v>
                </c:pt>
                <c:pt idx="39">
                  <c:v>1840.1186520000001</c:v>
                </c:pt>
                <c:pt idx="40">
                  <c:v>1839.349121</c:v>
                </c:pt>
                <c:pt idx="41">
                  <c:v>1838.1016850000001</c:v>
                </c:pt>
                <c:pt idx="42">
                  <c:v>1840.275513</c:v>
                </c:pt>
                <c:pt idx="43">
                  <c:v>1839.2280270000001</c:v>
                </c:pt>
                <c:pt idx="44">
                  <c:v>1837.658936</c:v>
                </c:pt>
                <c:pt idx="45">
                  <c:v>1837.2120359999999</c:v>
                </c:pt>
                <c:pt idx="46">
                  <c:v>1836.973389</c:v>
                </c:pt>
                <c:pt idx="47">
                  <c:v>1835.2154539999999</c:v>
                </c:pt>
                <c:pt idx="48">
                  <c:v>1834.327393</c:v>
                </c:pt>
                <c:pt idx="49">
                  <c:v>1834.0555420000001</c:v>
                </c:pt>
                <c:pt idx="50">
                  <c:v>1834.5083010000001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Cu_2ndPhase!$F$1:$F$193</c:f>
              <c:numCache>
                <c:formatCode>General</c:formatCode>
                <c:ptCount val="193"/>
                <c:pt idx="0">
                  <c:v>7.796815919006753</c:v>
                </c:pt>
                <c:pt idx="1">
                  <c:v>7.7911441276214344</c:v>
                </c:pt>
                <c:pt idx="2">
                  <c:v>7.7853407116384252</c:v>
                </c:pt>
                <c:pt idx="3">
                  <c:v>7.7787685077828614</c:v>
                </c:pt>
                <c:pt idx="4">
                  <c:v>7.7723422705631338</c:v>
                </c:pt>
                <c:pt idx="5">
                  <c:v>7.7687154864434085</c:v>
                </c:pt>
                <c:pt idx="6">
                  <c:v>7.7651438672970716</c:v>
                </c:pt>
                <c:pt idx="7">
                  <c:v>7.7621623998704825</c:v>
                </c:pt>
                <c:pt idx="8">
                  <c:v>7.7579921755966286</c:v>
                </c:pt>
                <c:pt idx="9">
                  <c:v>7.7529623670845567</c:v>
                </c:pt>
                <c:pt idx="10">
                  <c:v>7.7487061355444418</c:v>
                </c:pt>
                <c:pt idx="11">
                  <c:v>7.7462806071232899</c:v>
                </c:pt>
                <c:pt idx="12">
                  <c:v>7.7441014021375629</c:v>
                </c:pt>
                <c:pt idx="13">
                  <c:v>7.7405188621964145</c:v>
                </c:pt>
                <c:pt idx="14">
                  <c:v>7.7348387233826923</c:v>
                </c:pt>
                <c:pt idx="15">
                  <c:v>7.7331170981889681</c:v>
                </c:pt>
                <c:pt idx="16">
                  <c:v>7.7307969672107006</c:v>
                </c:pt>
                <c:pt idx="17">
                  <c:v>7.7287944915714055</c:v>
                </c:pt>
                <c:pt idx="18">
                  <c:v>7.7262655264805451</c:v>
                </c:pt>
                <c:pt idx="19">
                  <c:v>7.7235717583914214</c:v>
                </c:pt>
                <c:pt idx="20">
                  <c:v>7.7213735023791186</c:v>
                </c:pt>
                <c:pt idx="21">
                  <c:v>7.7202041982738132</c:v>
                </c:pt>
                <c:pt idx="22">
                  <c:v>7.7186537022486306</c:v>
                </c:pt>
                <c:pt idx="23">
                  <c:v>7.7173731108431705</c:v>
                </c:pt>
                <c:pt idx="24">
                  <c:v>7.7160814132962035</c:v>
                </c:pt>
                <c:pt idx="25">
                  <c:v>7.715260147387192</c:v>
                </c:pt>
                <c:pt idx="26">
                  <c:v>7.7139463100910888</c:v>
                </c:pt>
                <c:pt idx="27">
                  <c:v>7.7136505973461329</c:v>
                </c:pt>
                <c:pt idx="28">
                  <c:v>7.7125193882185723</c:v>
                </c:pt>
                <c:pt idx="29">
                  <c:v>7.7124135891843384</c:v>
                </c:pt>
                <c:pt idx="30">
                  <c:v>7.7114687619981899</c:v>
                </c:pt>
                <c:pt idx="31">
                  <c:v>7.7088380137405617</c:v>
                </c:pt>
                <c:pt idx="32">
                  <c:v>7.7065475659001335</c:v>
                </c:pt>
                <c:pt idx="33">
                  <c:v>7.7046244263115859</c:v>
                </c:pt>
                <c:pt idx="34">
                  <c:v>7.7028639434811099</c:v>
                </c:pt>
                <c:pt idx="35">
                  <c:v>7.7008992386996571</c:v>
                </c:pt>
                <c:pt idx="36">
                  <c:v>7.6976308668225855</c:v>
                </c:pt>
                <c:pt idx="37">
                  <c:v>7.6973159899766266</c:v>
                </c:pt>
                <c:pt idx="38">
                  <c:v>7.6948941878438069</c:v>
                </c:pt>
                <c:pt idx="39">
                  <c:v>7.6926677673416437</c:v>
                </c:pt>
                <c:pt idx="40">
                  <c:v>7.6920234126858924</c:v>
                </c:pt>
                <c:pt idx="41">
                  <c:v>7.6908740402605043</c:v>
                </c:pt>
                <c:pt idx="42">
                  <c:v>7.6896543150199168</c:v>
                </c:pt>
                <c:pt idx="43">
                  <c:v>7.6888571068040621</c:v>
                </c:pt>
                <c:pt idx="44">
                  <c:v>7.6873645726722657</c:v>
                </c:pt>
                <c:pt idx="45">
                  <c:v>7.6866445274246393</c:v>
                </c:pt>
                <c:pt idx="46">
                  <c:v>7.6852764810568308</c:v>
                </c:pt>
                <c:pt idx="47">
                  <c:v>7.6837807241446248</c:v>
                </c:pt>
                <c:pt idx="48">
                  <c:v>7.6820838666512667</c:v>
                </c:pt>
                <c:pt idx="49">
                  <c:v>7.6812914112662289</c:v>
                </c:pt>
                <c:pt idx="50">
                  <c:v>7.6799892193661119</c:v>
                </c:pt>
                <c:pt idx="51">
                  <c:v>7.6798983077571092</c:v>
                </c:pt>
                <c:pt idx="52">
                  <c:v>7.6794031134770506</c:v>
                </c:pt>
                <c:pt idx="53">
                  <c:v>7.6787286952708849</c:v>
                </c:pt>
                <c:pt idx="54">
                  <c:v>7.6776737085947584</c:v>
                </c:pt>
                <c:pt idx="55">
                  <c:v>7.6766902594590718</c:v>
                </c:pt>
                <c:pt idx="56">
                  <c:v>7.6754725877780858</c:v>
                </c:pt>
                <c:pt idx="57">
                  <c:v>7.6744245930186894</c:v>
                </c:pt>
                <c:pt idx="58">
                  <c:v>7.6740961956951139</c:v>
                </c:pt>
                <c:pt idx="59">
                  <c:v>7.6738844665706356</c:v>
                </c:pt>
                <c:pt idx="60">
                  <c:v>7.672833328418216</c:v>
                </c:pt>
                <c:pt idx="61">
                  <c:v>7.6718258882370076</c:v>
                </c:pt>
                <c:pt idx="62">
                  <c:v>7.6699562992371018</c:v>
                </c:pt>
                <c:pt idx="63">
                  <c:v>7.6694897799376394</c:v>
                </c:pt>
                <c:pt idx="64">
                  <c:v>7.6686207725910709</c:v>
                </c:pt>
                <c:pt idx="65">
                  <c:v>7.6681433576862652</c:v>
                </c:pt>
                <c:pt idx="66">
                  <c:v>7.6671355203859335</c:v>
                </c:pt>
                <c:pt idx="67">
                  <c:v>7.6670931338726342</c:v>
                </c:pt>
                <c:pt idx="68">
                  <c:v>7.6660117255862881</c:v>
                </c:pt>
                <c:pt idx="69">
                  <c:v>7.6666057302204722</c:v>
                </c:pt>
                <c:pt idx="70">
                  <c:v>7.6659658596253459</c:v>
                </c:pt>
                <c:pt idx="71">
                  <c:v>7.6649563968816379</c:v>
                </c:pt>
                <c:pt idx="72">
                  <c:v>7.6645568390040664</c:v>
                </c:pt>
                <c:pt idx="73">
                  <c:v>7.6631593653989736</c:v>
                </c:pt>
                <c:pt idx="74">
                  <c:v>7.6629601072627231</c:v>
                </c:pt>
                <c:pt idx="75">
                  <c:v>7.6618602061016023</c:v>
                </c:pt>
                <c:pt idx="76">
                  <c:v>7.6608571647792116</c:v>
                </c:pt>
                <c:pt idx="77">
                  <c:v>7.6609023460167318</c:v>
                </c:pt>
                <c:pt idx="78">
                  <c:v>7.6595781476557079</c:v>
                </c:pt>
                <c:pt idx="79">
                  <c:v>7.6593557228414095</c:v>
                </c:pt>
                <c:pt idx="80">
                  <c:v>7.6590367359621077</c:v>
                </c:pt>
                <c:pt idx="81">
                  <c:v>7.6591856472810846</c:v>
                </c:pt>
                <c:pt idx="82">
                  <c:v>7.6570950546570211</c:v>
                </c:pt>
                <c:pt idx="83">
                  <c:v>7.6559440849264382</c:v>
                </c:pt>
                <c:pt idx="84">
                  <c:v>7.6547065396674476</c:v>
                </c:pt>
                <c:pt idx="85">
                  <c:v>7.6539643184470405</c:v>
                </c:pt>
                <c:pt idx="86">
                  <c:v>7.6526332130804242</c:v>
                </c:pt>
                <c:pt idx="87">
                  <c:v>7.6526554687195949</c:v>
                </c:pt>
                <c:pt idx="88">
                  <c:v>7.6518278520120209</c:v>
                </c:pt>
                <c:pt idx="89">
                  <c:v>7.6513212263418309</c:v>
                </c:pt>
                <c:pt idx="90">
                  <c:v>7.6503481007442611</c:v>
                </c:pt>
                <c:pt idx="91">
                  <c:v>7.6505366450443262</c:v>
                </c:pt>
                <c:pt idx="92">
                  <c:v>7.6502550350524121</c:v>
                </c:pt>
                <c:pt idx="93">
                  <c:v>7.6496965765608449</c:v>
                </c:pt>
                <c:pt idx="94">
                  <c:v>7.6491082591942998</c:v>
                </c:pt>
                <c:pt idx="95">
                  <c:v>7.6484240317698644</c:v>
                </c:pt>
                <c:pt idx="96">
                  <c:v>7.6483669921167454</c:v>
                </c:pt>
                <c:pt idx="97">
                  <c:v>7.6472362282886461</c:v>
                </c:pt>
                <c:pt idx="98">
                  <c:v>7.6467324013353268</c:v>
                </c:pt>
                <c:pt idx="99">
                  <c:v>7.6462213199879177</c:v>
                </c:pt>
                <c:pt idx="100">
                  <c:v>7.6462832655922588</c:v>
                </c:pt>
                <c:pt idx="101">
                  <c:v>7.6455500570229651</c:v>
                </c:pt>
                <c:pt idx="102">
                  <c:v>7.6451358942376419</c:v>
                </c:pt>
                <c:pt idx="103">
                  <c:v>7.645273111084375</c:v>
                </c:pt>
                <c:pt idx="104">
                  <c:v>7.6441469079502085</c:v>
                </c:pt>
                <c:pt idx="105">
                  <c:v>7.6436711126524353</c:v>
                </c:pt>
                <c:pt idx="106">
                  <c:v>7.6431748471735474</c:v>
                </c:pt>
                <c:pt idx="107">
                  <c:v>7.6426346648148193</c:v>
                </c:pt>
                <c:pt idx="108">
                  <c:v>7.6425769419512593</c:v>
                </c:pt>
                <c:pt idx="109">
                  <c:v>7.642437012452298</c:v>
                </c:pt>
                <c:pt idx="110">
                  <c:v>7.6415433440629119</c:v>
                </c:pt>
                <c:pt idx="111">
                  <c:v>7.6419477494500665</c:v>
                </c:pt>
                <c:pt idx="112">
                  <c:v>7.6415775683951663</c:v>
                </c:pt>
                <c:pt idx="113">
                  <c:v>7.6416703900409049</c:v>
                </c:pt>
                <c:pt idx="114">
                  <c:v>7.6413889678731381</c:v>
                </c:pt>
                <c:pt idx="115">
                  <c:v>7.6410265544270306</c:v>
                </c:pt>
                <c:pt idx="116">
                  <c:v>7.6403427577194227</c:v>
                </c:pt>
                <c:pt idx="117">
                  <c:v>7.6402617832807804</c:v>
                </c:pt>
                <c:pt idx="118">
                  <c:v>7.6397866011576712</c:v>
                </c:pt>
                <c:pt idx="119">
                  <c:v>7.6394256030078846</c:v>
                </c:pt>
                <c:pt idx="120">
                  <c:v>7.639313777434916</c:v>
                </c:pt>
                <c:pt idx="121">
                  <c:v>7.6399014259959968</c:v>
                </c:pt>
                <c:pt idx="122">
                  <c:v>7.638153790022173</c:v>
                </c:pt>
                <c:pt idx="123">
                  <c:v>7.6394542620052519</c:v>
                </c:pt>
                <c:pt idx="124">
                  <c:v>7.6390785739266107</c:v>
                </c:pt>
                <c:pt idx="125">
                  <c:v>7.6383732198244507</c:v>
                </c:pt>
                <c:pt idx="126">
                  <c:v>7.6379625431000324</c:v>
                </c:pt>
                <c:pt idx="127">
                  <c:v>7.6371974257148327</c:v>
                </c:pt>
                <c:pt idx="128">
                  <c:v>7.6373630430011108</c:v>
                </c:pt>
                <c:pt idx="129">
                  <c:v>7.6370864101458986</c:v>
                </c:pt>
                <c:pt idx="130">
                  <c:v>7.6370928855285998</c:v>
                </c:pt>
                <c:pt idx="131">
                  <c:v>7.636237789166743</c:v>
                </c:pt>
                <c:pt idx="132">
                  <c:v>7.6360657394538176</c:v>
                </c:pt>
                <c:pt idx="133">
                  <c:v>7.6364505715596289</c:v>
                </c:pt>
                <c:pt idx="134">
                  <c:v>7.6364859129943445</c:v>
                </c:pt>
                <c:pt idx="135">
                  <c:v>7.6353380890561349</c:v>
                </c:pt>
                <c:pt idx="136">
                  <c:v>7.6350373009702599</c:v>
                </c:pt>
                <c:pt idx="137">
                  <c:v>7.6349193205360555</c:v>
                </c:pt>
                <c:pt idx="138">
                  <c:v>7.6356043580214656</c:v>
                </c:pt>
                <c:pt idx="139">
                  <c:v>7.6335843429914414</c:v>
                </c:pt>
                <c:pt idx="140">
                  <c:v>7.6337714672943804</c:v>
                </c:pt>
                <c:pt idx="141">
                  <c:v>7.6346032993598199</c:v>
                </c:pt>
                <c:pt idx="142">
                  <c:v>7.6341761936482166</c:v>
                </c:pt>
                <c:pt idx="143">
                  <c:v>7.6335061272973581</c:v>
                </c:pt>
                <c:pt idx="144">
                  <c:v>7.6342632116120139</c:v>
                </c:pt>
                <c:pt idx="145">
                  <c:v>7.6334667814577832</c:v>
                </c:pt>
                <c:pt idx="146">
                  <c:v>7.6329544298962988</c:v>
                </c:pt>
                <c:pt idx="147">
                  <c:v>7.6327219830672481</c:v>
                </c:pt>
                <c:pt idx="148">
                  <c:v>7.632473396276759</c:v>
                </c:pt>
                <c:pt idx="149">
                  <c:v>7.6327054281652531</c:v>
                </c:pt>
                <c:pt idx="150">
                  <c:v>7.6322790488983356</c:v>
                </c:pt>
                <c:pt idx="151">
                  <c:v>7.6324305791715981</c:v>
                </c:pt>
                <c:pt idx="152">
                  <c:v>7.6310477383163295</c:v>
                </c:pt>
                <c:pt idx="153">
                  <c:v>7.6317405223070658</c:v>
                </c:pt>
                <c:pt idx="154">
                  <c:v>7.6316196658172402</c:v>
                </c:pt>
                <c:pt idx="155">
                  <c:v>7.6310383811405398</c:v>
                </c:pt>
                <c:pt idx="156">
                  <c:v>7.6312317857275804</c:v>
                </c:pt>
                <c:pt idx="157">
                  <c:v>7.6309298781794022</c:v>
                </c:pt>
                <c:pt idx="158">
                  <c:v>7.6304601952782036</c:v>
                </c:pt>
                <c:pt idx="159">
                  <c:v>7.631247535599047</c:v>
                </c:pt>
                <c:pt idx="160">
                  <c:v>7.6303460585460465</c:v>
                </c:pt>
                <c:pt idx="161">
                  <c:v>7.6303150035155918</c:v>
                </c:pt>
                <c:pt idx="162">
                  <c:v>7.6302864372794126</c:v>
                </c:pt>
                <c:pt idx="163">
                  <c:v>7.6305570173930866</c:v>
                </c:pt>
                <c:pt idx="164">
                  <c:v>7.6299538894027057</c:v>
                </c:pt>
                <c:pt idx="165">
                  <c:v>7.6308699360319192</c:v>
                </c:pt>
                <c:pt idx="166">
                  <c:v>7.6309933706740143</c:v>
                </c:pt>
                <c:pt idx="167">
                  <c:v>7.6305557136335898</c:v>
                </c:pt>
                <c:pt idx="168">
                  <c:v>7.6293169388492075</c:v>
                </c:pt>
                <c:pt idx="169">
                  <c:v>7.6296668968447614</c:v>
                </c:pt>
                <c:pt idx="170">
                  <c:v>7.6295775801898964</c:v>
                </c:pt>
                <c:pt idx="171">
                  <c:v>7.6298449131419561</c:v>
                </c:pt>
                <c:pt idx="172">
                  <c:v>7.629259154104731</c:v>
                </c:pt>
                <c:pt idx="173">
                  <c:v>7.6292262859225319</c:v>
                </c:pt>
                <c:pt idx="174">
                  <c:v>7.6292468139606955</c:v>
                </c:pt>
                <c:pt idx="175">
                  <c:v>7.629055398778454</c:v>
                </c:pt>
                <c:pt idx="176">
                  <c:v>7.6292097916427979</c:v>
                </c:pt>
                <c:pt idx="177">
                  <c:v>7.6290333238332826</c:v>
                </c:pt>
                <c:pt idx="178">
                  <c:v>7.6277724589287734</c:v>
                </c:pt>
                <c:pt idx="179">
                  <c:v>7.6285967080783816</c:v>
                </c:pt>
                <c:pt idx="180">
                  <c:v>7.6282024266129378</c:v>
                </c:pt>
                <c:pt idx="181">
                  <c:v>7.628141607931707</c:v>
                </c:pt>
                <c:pt idx="182">
                  <c:v>7.6277119704092033</c:v>
                </c:pt>
                <c:pt idx="183">
                  <c:v>7.6273659641527765</c:v>
                </c:pt>
                <c:pt idx="184">
                  <c:v>7.6274678408205805</c:v>
                </c:pt>
                <c:pt idx="185">
                  <c:v>7.6269276682219909</c:v>
                </c:pt>
                <c:pt idx="186">
                  <c:v>7.6268679611775472</c:v>
                </c:pt>
                <c:pt idx="187">
                  <c:v>7.6270470711300522</c:v>
                </c:pt>
                <c:pt idx="188">
                  <c:v>7.6275059978333068</c:v>
                </c:pt>
                <c:pt idx="189">
                  <c:v>7.6271438672518048</c:v>
                </c:pt>
                <c:pt idx="190">
                  <c:v>7.6283341481680464</c:v>
                </c:pt>
                <c:pt idx="191">
                  <c:v>7.6279472484734629</c:v>
                </c:pt>
                <c:pt idx="192">
                  <c:v>7.623602508783768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Cu_2ndPhase!$B$1:$B$196</c:f>
              <c:numCache>
                <c:formatCode>General</c:formatCode>
                <c:ptCount val="196"/>
                <c:pt idx="0">
                  <c:v>2432.8432619999999</c:v>
                </c:pt>
                <c:pt idx="1">
                  <c:v>2419.08374</c:v>
                </c:pt>
                <c:pt idx="2">
                  <c:v>2405.0854490000002</c:v>
                </c:pt>
                <c:pt idx="3">
                  <c:v>2389.3305660000001</c:v>
                </c:pt>
                <c:pt idx="4">
                  <c:v>2374.0253910000001</c:v>
                </c:pt>
                <c:pt idx="5">
                  <c:v>2365.4309079999998</c:v>
                </c:pt>
                <c:pt idx="6">
                  <c:v>2356.9975589999999</c:v>
                </c:pt>
                <c:pt idx="7">
                  <c:v>2349.9807129999999</c:v>
                </c:pt>
                <c:pt idx="8">
                  <c:v>2340.201172</c:v>
                </c:pt>
                <c:pt idx="9">
                  <c:v>2328.459961</c:v>
                </c:pt>
                <c:pt idx="10">
                  <c:v>2318.570557</c:v>
                </c:pt>
                <c:pt idx="11">
                  <c:v>2312.9536130000001</c:v>
                </c:pt>
                <c:pt idx="12">
                  <c:v>2307.9187010000001</c:v>
                </c:pt>
                <c:pt idx="13">
                  <c:v>2299.6652829999998</c:v>
                </c:pt>
                <c:pt idx="14">
                  <c:v>2286.639893</c:v>
                </c:pt>
                <c:pt idx="15">
                  <c:v>2282.7065429999998</c:v>
                </c:pt>
                <c:pt idx="16">
                  <c:v>2277.4165039999998</c:v>
                </c:pt>
                <c:pt idx="17">
                  <c:v>2272.860596</c:v>
                </c:pt>
                <c:pt idx="18">
                  <c:v>2267.1198730000001</c:v>
                </c:pt>
                <c:pt idx="19">
                  <c:v>2261.0209960000002</c:v>
                </c:pt>
                <c:pt idx="20">
                  <c:v>2256.0561520000001</c:v>
                </c:pt>
                <c:pt idx="21">
                  <c:v>2253.4196780000002</c:v>
                </c:pt>
                <c:pt idx="22">
                  <c:v>2249.9284670000002</c:v>
                </c:pt>
                <c:pt idx="23">
                  <c:v>2247.0490719999998</c:v>
                </c:pt>
                <c:pt idx="24">
                  <c:v>2244.1484380000002</c:v>
                </c:pt>
                <c:pt idx="25">
                  <c:v>2242.3061520000001</c:v>
                </c:pt>
                <c:pt idx="26">
                  <c:v>2239.3620609999998</c:v>
                </c:pt>
                <c:pt idx="27">
                  <c:v>2238.6999510000001</c:v>
                </c:pt>
                <c:pt idx="28">
                  <c:v>2236.1689449999999</c:v>
                </c:pt>
                <c:pt idx="29">
                  <c:v>2235.9323730000001</c:v>
                </c:pt>
                <c:pt idx="30">
                  <c:v>2233.8208009999998</c:v>
                </c:pt>
                <c:pt idx="31">
                  <c:v>2227.951904</c:v>
                </c:pt>
                <c:pt idx="32">
                  <c:v>2222.8547359999998</c:v>
                </c:pt>
                <c:pt idx="33">
                  <c:v>2218.5839839999999</c:v>
                </c:pt>
                <c:pt idx="34">
                  <c:v>2214.6816410000001</c:v>
                </c:pt>
                <c:pt idx="35">
                  <c:v>2210.3347170000002</c:v>
                </c:pt>
                <c:pt idx="36">
                  <c:v>2203.1223140000002</c:v>
                </c:pt>
                <c:pt idx="37">
                  <c:v>2202.428711</c:v>
                </c:pt>
                <c:pt idx="38">
                  <c:v>2197.101318</c:v>
                </c:pt>
                <c:pt idx="39">
                  <c:v>2192.2150879999999</c:v>
                </c:pt>
                <c:pt idx="40">
                  <c:v>2190.8029790000001</c:v>
                </c:pt>
                <c:pt idx="41">
                  <c:v>2188.2863769999999</c:v>
                </c:pt>
                <c:pt idx="42">
                  <c:v>2185.6188959999999</c:v>
                </c:pt>
                <c:pt idx="43">
                  <c:v>2183.8771969999998</c:v>
                </c:pt>
                <c:pt idx="44">
                  <c:v>2180.6201169999999</c:v>
                </c:pt>
                <c:pt idx="45">
                  <c:v>2179.0505370000001</c:v>
                </c:pt>
                <c:pt idx="46">
                  <c:v>2176.0715329999998</c:v>
                </c:pt>
                <c:pt idx="47">
                  <c:v>2172.8190920000002</c:v>
                </c:pt>
                <c:pt idx="48">
                  <c:v>2169.1352539999998</c:v>
                </c:pt>
                <c:pt idx="49">
                  <c:v>2167.4169919999999</c:v>
                </c:pt>
                <c:pt idx="50">
                  <c:v>2164.5964359999998</c:v>
                </c:pt>
                <c:pt idx="51">
                  <c:v>2164.3996579999998</c:v>
                </c:pt>
                <c:pt idx="52">
                  <c:v>2163.328125</c:v>
                </c:pt>
                <c:pt idx="53">
                  <c:v>2161.8696289999998</c:v>
                </c:pt>
                <c:pt idx="54">
                  <c:v>2159.5900879999999</c:v>
                </c:pt>
                <c:pt idx="55">
                  <c:v>2157.4672850000002</c:v>
                </c:pt>
                <c:pt idx="56">
                  <c:v>2154.841797</c:v>
                </c:pt>
                <c:pt idx="57">
                  <c:v>2152.5847170000002</c:v>
                </c:pt>
                <c:pt idx="58">
                  <c:v>2151.8779300000001</c:v>
                </c:pt>
                <c:pt idx="59">
                  <c:v>2151.4223630000001</c:v>
                </c:pt>
                <c:pt idx="60">
                  <c:v>2149.1621089999999</c:v>
                </c:pt>
                <c:pt idx="61">
                  <c:v>2146.998047</c:v>
                </c:pt>
                <c:pt idx="62">
                  <c:v>2142.9877929999998</c:v>
                </c:pt>
                <c:pt idx="63">
                  <c:v>2141.9882809999999</c:v>
                </c:pt>
                <c:pt idx="64">
                  <c:v>2140.1276859999998</c:v>
                </c:pt>
                <c:pt idx="65">
                  <c:v>2139.1062010000001</c:v>
                </c:pt>
                <c:pt idx="66">
                  <c:v>2136.9514159999999</c:v>
                </c:pt>
                <c:pt idx="67">
                  <c:v>2136.8608399999998</c:v>
                </c:pt>
                <c:pt idx="68">
                  <c:v>2134.5512699999999</c:v>
                </c:pt>
                <c:pt idx="69">
                  <c:v>2135.8195799999999</c:v>
                </c:pt>
                <c:pt idx="70">
                  <c:v>2134.4533689999998</c:v>
                </c:pt>
                <c:pt idx="71">
                  <c:v>2132.2998050000001</c:v>
                </c:pt>
                <c:pt idx="72">
                  <c:v>2131.4479980000001</c:v>
                </c:pt>
                <c:pt idx="73">
                  <c:v>2128.4714359999998</c:v>
                </c:pt>
                <c:pt idx="74">
                  <c:v>2128.0473630000001</c:v>
                </c:pt>
                <c:pt idx="75">
                  <c:v>2125.7080080000001</c:v>
                </c:pt>
                <c:pt idx="76">
                  <c:v>2123.576904</c:v>
                </c:pt>
                <c:pt idx="77">
                  <c:v>2123.6728520000001</c:v>
                </c:pt>
                <c:pt idx="78">
                  <c:v>2120.8625489999999</c:v>
                </c:pt>
                <c:pt idx="79">
                  <c:v>2120.3908689999998</c:v>
                </c:pt>
                <c:pt idx="80">
                  <c:v>2119.7145999999998</c:v>
                </c:pt>
                <c:pt idx="81">
                  <c:v>2120.0302729999999</c:v>
                </c:pt>
                <c:pt idx="82">
                  <c:v>2115.6027829999998</c:v>
                </c:pt>
                <c:pt idx="83">
                  <c:v>2113.1691890000002</c:v>
                </c:pt>
                <c:pt idx="84">
                  <c:v>2110.555664</c:v>
                </c:pt>
                <c:pt idx="85">
                  <c:v>2108.9897460000002</c:v>
                </c:pt>
                <c:pt idx="86">
                  <c:v>2106.1843260000001</c:v>
                </c:pt>
                <c:pt idx="87">
                  <c:v>2106.2312010000001</c:v>
                </c:pt>
                <c:pt idx="88">
                  <c:v>2104.4887699999999</c:v>
                </c:pt>
                <c:pt idx="89">
                  <c:v>2103.4228520000001</c:v>
                </c:pt>
                <c:pt idx="90">
                  <c:v>2101.376953</c:v>
                </c:pt>
                <c:pt idx="91">
                  <c:v>2101.773193</c:v>
                </c:pt>
                <c:pt idx="92">
                  <c:v>2101.1813959999999</c:v>
                </c:pt>
                <c:pt idx="93">
                  <c:v>2100.0083009999998</c:v>
                </c:pt>
                <c:pt idx="94">
                  <c:v>2098.773193</c:v>
                </c:pt>
                <c:pt idx="95">
                  <c:v>2097.3376459999999</c:v>
                </c:pt>
                <c:pt idx="96">
                  <c:v>2097.218018</c:v>
                </c:pt>
                <c:pt idx="97">
                  <c:v>2094.8479000000002</c:v>
                </c:pt>
                <c:pt idx="98">
                  <c:v>2093.7927249999998</c:v>
                </c:pt>
                <c:pt idx="99">
                  <c:v>2092.7229000000002</c:v>
                </c:pt>
                <c:pt idx="100">
                  <c:v>2092.852539</c:v>
                </c:pt>
                <c:pt idx="101">
                  <c:v>2091.3186040000001</c:v>
                </c:pt>
                <c:pt idx="102">
                  <c:v>2090.4526369999999</c:v>
                </c:pt>
                <c:pt idx="103">
                  <c:v>2090.7395019999999</c:v>
                </c:pt>
                <c:pt idx="104">
                  <c:v>2088.3862300000001</c:v>
                </c:pt>
                <c:pt idx="105">
                  <c:v>2087.3928219999998</c:v>
                </c:pt>
                <c:pt idx="106">
                  <c:v>2086.3571780000002</c:v>
                </c:pt>
                <c:pt idx="107">
                  <c:v>2085.2304690000001</c:v>
                </c:pt>
                <c:pt idx="108">
                  <c:v>2085.110107</c:v>
                </c:pt>
                <c:pt idx="109">
                  <c:v>2084.8183589999999</c:v>
                </c:pt>
                <c:pt idx="110">
                  <c:v>2082.9560550000001</c:v>
                </c:pt>
                <c:pt idx="111">
                  <c:v>2083.7985840000001</c:v>
                </c:pt>
                <c:pt idx="112">
                  <c:v>2083.0273440000001</c:v>
                </c:pt>
                <c:pt idx="113">
                  <c:v>2083.220703</c:v>
                </c:pt>
                <c:pt idx="114">
                  <c:v>2082.6345209999999</c:v>
                </c:pt>
                <c:pt idx="115">
                  <c:v>2081.8798830000001</c:v>
                </c:pt>
                <c:pt idx="116">
                  <c:v>2080.4567870000001</c:v>
                </c:pt>
                <c:pt idx="117">
                  <c:v>2080.2883299999999</c:v>
                </c:pt>
                <c:pt idx="118">
                  <c:v>2079.3000489999999</c:v>
                </c:pt>
                <c:pt idx="119">
                  <c:v>2078.5495609999998</c:v>
                </c:pt>
                <c:pt idx="120">
                  <c:v>2078.3171390000002</c:v>
                </c:pt>
                <c:pt idx="121">
                  <c:v>2079.538818</c:v>
                </c:pt>
                <c:pt idx="122">
                  <c:v>2075.9077149999998</c:v>
                </c:pt>
                <c:pt idx="123">
                  <c:v>2078.6091310000002</c:v>
                </c:pt>
                <c:pt idx="124">
                  <c:v>2077.8283689999998</c:v>
                </c:pt>
                <c:pt idx="125">
                  <c:v>2076.3632809999999</c:v>
                </c:pt>
                <c:pt idx="126">
                  <c:v>2075.5107419999999</c:v>
                </c:pt>
                <c:pt idx="127">
                  <c:v>2073.9233399999998</c:v>
                </c:pt>
                <c:pt idx="128">
                  <c:v>2074.266846</c:v>
                </c:pt>
                <c:pt idx="129">
                  <c:v>2073.693115</c:v>
                </c:pt>
                <c:pt idx="130">
                  <c:v>2073.7065429999998</c:v>
                </c:pt>
                <c:pt idx="131">
                  <c:v>2071.9340820000002</c:v>
                </c:pt>
                <c:pt idx="132">
                  <c:v>2071.5776369999999</c:v>
                </c:pt>
                <c:pt idx="133">
                  <c:v>2072.375</c:v>
                </c:pt>
                <c:pt idx="134">
                  <c:v>2072.4482419999999</c:v>
                </c:pt>
                <c:pt idx="135">
                  <c:v>2070.0708009999998</c:v>
                </c:pt>
                <c:pt idx="136">
                  <c:v>2069.4482419999999</c:v>
                </c:pt>
                <c:pt idx="137">
                  <c:v>2069.2041020000001</c:v>
                </c:pt>
                <c:pt idx="138">
                  <c:v>2070.6220699999999</c:v>
                </c:pt>
                <c:pt idx="139">
                  <c:v>2066.4436040000001</c:v>
                </c:pt>
                <c:pt idx="140">
                  <c:v>2066.8303219999998</c:v>
                </c:pt>
                <c:pt idx="141">
                  <c:v>2068.5502929999998</c:v>
                </c:pt>
                <c:pt idx="142">
                  <c:v>2067.6669919999999</c:v>
                </c:pt>
                <c:pt idx="143">
                  <c:v>2066.281982</c:v>
                </c:pt>
                <c:pt idx="144">
                  <c:v>2067.8469239999999</c:v>
                </c:pt>
                <c:pt idx="145">
                  <c:v>2066.2006839999999</c:v>
                </c:pt>
                <c:pt idx="146">
                  <c:v>2065.1423340000001</c:v>
                </c:pt>
                <c:pt idx="147">
                  <c:v>2064.6623540000001</c:v>
                </c:pt>
                <c:pt idx="148">
                  <c:v>2064.1491700000001</c:v>
                </c:pt>
                <c:pt idx="149">
                  <c:v>2064.6281739999999</c:v>
                </c:pt>
                <c:pt idx="150">
                  <c:v>2063.748047</c:v>
                </c:pt>
                <c:pt idx="151">
                  <c:v>2064.0607909999999</c:v>
                </c:pt>
                <c:pt idx="152">
                  <c:v>2061.2084960000002</c:v>
                </c:pt>
                <c:pt idx="153">
                  <c:v>2062.6369629999999</c:v>
                </c:pt>
                <c:pt idx="154">
                  <c:v>2062.3876949999999</c:v>
                </c:pt>
                <c:pt idx="155">
                  <c:v>2061.1892090000001</c:v>
                </c:pt>
                <c:pt idx="156">
                  <c:v>2061.5878910000001</c:v>
                </c:pt>
                <c:pt idx="157">
                  <c:v>2060.9655760000001</c:v>
                </c:pt>
                <c:pt idx="158">
                  <c:v>2059.9978030000002</c:v>
                </c:pt>
                <c:pt idx="159">
                  <c:v>2061.6203609999998</c:v>
                </c:pt>
                <c:pt idx="160">
                  <c:v>2059.7626949999999</c:v>
                </c:pt>
                <c:pt idx="161">
                  <c:v>2059.6987300000001</c:v>
                </c:pt>
                <c:pt idx="162">
                  <c:v>2059.639893</c:v>
                </c:pt>
                <c:pt idx="163">
                  <c:v>2060.1972660000001</c:v>
                </c:pt>
                <c:pt idx="164">
                  <c:v>2058.955078</c:v>
                </c:pt>
                <c:pt idx="165">
                  <c:v>2060.8420409999999</c:v>
                </c:pt>
                <c:pt idx="166">
                  <c:v>2061.0964359999998</c:v>
                </c:pt>
                <c:pt idx="167">
                  <c:v>2060.1945799999999</c:v>
                </c:pt>
                <c:pt idx="168">
                  <c:v>2057.6440429999998</c:v>
                </c:pt>
                <c:pt idx="169">
                  <c:v>2058.3642580000001</c:v>
                </c:pt>
                <c:pt idx="170">
                  <c:v>2058.1804200000001</c:v>
                </c:pt>
                <c:pt idx="171">
                  <c:v>2058.7307129999999</c:v>
                </c:pt>
                <c:pt idx="172">
                  <c:v>2057.5251459999999</c:v>
                </c:pt>
                <c:pt idx="173">
                  <c:v>2057.4575199999999</c:v>
                </c:pt>
                <c:pt idx="174">
                  <c:v>2057.4997560000002</c:v>
                </c:pt>
                <c:pt idx="175">
                  <c:v>2057.1059570000002</c:v>
                </c:pt>
                <c:pt idx="176">
                  <c:v>2057.4235840000001</c:v>
                </c:pt>
                <c:pt idx="177">
                  <c:v>2057.060547</c:v>
                </c:pt>
                <c:pt idx="178">
                  <c:v>2054.4685060000002</c:v>
                </c:pt>
                <c:pt idx="179">
                  <c:v>2056.1625979999999</c:v>
                </c:pt>
                <c:pt idx="180">
                  <c:v>2055.3520509999998</c:v>
                </c:pt>
                <c:pt idx="181">
                  <c:v>2055.2270509999998</c:v>
                </c:pt>
                <c:pt idx="182">
                  <c:v>2054.3442380000001</c:v>
                </c:pt>
                <c:pt idx="183">
                  <c:v>2053.6335450000001</c:v>
                </c:pt>
                <c:pt idx="184">
                  <c:v>2053.8427729999999</c:v>
                </c:pt>
                <c:pt idx="185">
                  <c:v>2052.733643</c:v>
                </c:pt>
                <c:pt idx="186">
                  <c:v>2052.6110840000001</c:v>
                </c:pt>
                <c:pt idx="187">
                  <c:v>2052.97876</c:v>
                </c:pt>
                <c:pt idx="188">
                  <c:v>2053.921143</c:v>
                </c:pt>
                <c:pt idx="189">
                  <c:v>2053.17749</c:v>
                </c:pt>
                <c:pt idx="190">
                  <c:v>2055.6228030000002</c:v>
                </c:pt>
                <c:pt idx="191">
                  <c:v>2054.8276369999999</c:v>
                </c:pt>
                <c:pt idx="192">
                  <c:v>2045.919312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Cu_2ndPhase!$F$1:$F$51</c:f>
              <c:numCache>
                <c:formatCode>General</c:formatCode>
                <c:ptCount val="51"/>
                <c:pt idx="0">
                  <c:v>7.796815919006753</c:v>
                </c:pt>
                <c:pt idx="1">
                  <c:v>7.7911441276214344</c:v>
                </c:pt>
                <c:pt idx="2">
                  <c:v>7.7853407116384252</c:v>
                </c:pt>
                <c:pt idx="3">
                  <c:v>7.7787685077828614</c:v>
                </c:pt>
                <c:pt idx="4">
                  <c:v>7.7723422705631338</c:v>
                </c:pt>
                <c:pt idx="5">
                  <c:v>7.7687154864434085</c:v>
                </c:pt>
                <c:pt idx="6">
                  <c:v>7.7651438672970716</c:v>
                </c:pt>
                <c:pt idx="7">
                  <c:v>7.7621623998704825</c:v>
                </c:pt>
                <c:pt idx="8">
                  <c:v>7.7579921755966286</c:v>
                </c:pt>
                <c:pt idx="9">
                  <c:v>7.7529623670845567</c:v>
                </c:pt>
                <c:pt idx="10">
                  <c:v>7.7487061355444418</c:v>
                </c:pt>
                <c:pt idx="11">
                  <c:v>7.7462806071232899</c:v>
                </c:pt>
                <c:pt idx="12">
                  <c:v>7.7441014021375629</c:v>
                </c:pt>
                <c:pt idx="13">
                  <c:v>7.7405188621964145</c:v>
                </c:pt>
                <c:pt idx="14">
                  <c:v>7.7348387233826923</c:v>
                </c:pt>
                <c:pt idx="15">
                  <c:v>7.7331170981889681</c:v>
                </c:pt>
                <c:pt idx="16">
                  <c:v>7.7307969672107006</c:v>
                </c:pt>
                <c:pt idx="17">
                  <c:v>7.7287944915714055</c:v>
                </c:pt>
                <c:pt idx="18">
                  <c:v>7.7262655264805451</c:v>
                </c:pt>
                <c:pt idx="19">
                  <c:v>7.7235717583914214</c:v>
                </c:pt>
                <c:pt idx="20">
                  <c:v>7.7213735023791186</c:v>
                </c:pt>
                <c:pt idx="21">
                  <c:v>7.7202041982738132</c:v>
                </c:pt>
                <c:pt idx="22">
                  <c:v>7.7186537022486306</c:v>
                </c:pt>
                <c:pt idx="23">
                  <c:v>7.7173731108431705</c:v>
                </c:pt>
                <c:pt idx="24">
                  <c:v>7.7160814132962035</c:v>
                </c:pt>
                <c:pt idx="25">
                  <c:v>7.715260147387192</c:v>
                </c:pt>
                <c:pt idx="26">
                  <c:v>7.7139463100910888</c:v>
                </c:pt>
                <c:pt idx="27">
                  <c:v>7.7136505973461329</c:v>
                </c:pt>
                <c:pt idx="28">
                  <c:v>7.7125193882185723</c:v>
                </c:pt>
                <c:pt idx="29">
                  <c:v>7.7124135891843384</c:v>
                </c:pt>
                <c:pt idx="30">
                  <c:v>7.7114687619981899</c:v>
                </c:pt>
                <c:pt idx="31">
                  <c:v>7.7088380137405617</c:v>
                </c:pt>
                <c:pt idx="32">
                  <c:v>7.7065475659001335</c:v>
                </c:pt>
                <c:pt idx="33">
                  <c:v>7.7046244263115859</c:v>
                </c:pt>
                <c:pt idx="34">
                  <c:v>7.7028639434811099</c:v>
                </c:pt>
                <c:pt idx="35">
                  <c:v>7.7008992386996571</c:v>
                </c:pt>
                <c:pt idx="36">
                  <c:v>7.6976308668225855</c:v>
                </c:pt>
                <c:pt idx="37">
                  <c:v>7.6973159899766266</c:v>
                </c:pt>
                <c:pt idx="38">
                  <c:v>7.6948941878438069</c:v>
                </c:pt>
                <c:pt idx="39">
                  <c:v>7.6926677673416437</c:v>
                </c:pt>
                <c:pt idx="40">
                  <c:v>7.6920234126858924</c:v>
                </c:pt>
                <c:pt idx="41">
                  <c:v>7.6908740402605043</c:v>
                </c:pt>
                <c:pt idx="42">
                  <c:v>7.6896543150199168</c:v>
                </c:pt>
                <c:pt idx="43">
                  <c:v>7.6888571068040621</c:v>
                </c:pt>
                <c:pt idx="44">
                  <c:v>7.6873645726722657</c:v>
                </c:pt>
                <c:pt idx="45">
                  <c:v>7.6866445274246393</c:v>
                </c:pt>
                <c:pt idx="46">
                  <c:v>7.6852764810568308</c:v>
                </c:pt>
                <c:pt idx="47">
                  <c:v>7.6837807241446248</c:v>
                </c:pt>
                <c:pt idx="48">
                  <c:v>7.6820838666512667</c:v>
                </c:pt>
                <c:pt idx="49">
                  <c:v>7.6812914112662289</c:v>
                </c:pt>
                <c:pt idx="50">
                  <c:v>7.6799892193661119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9748221015080337"/>
                  <c:y val="0.14213254593175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Cu_2ndPhase!$B$1:$B$51</c:f>
              <c:numCache>
                <c:formatCode>General</c:formatCode>
                <c:ptCount val="51"/>
                <c:pt idx="0">
                  <c:v>2432.8432619999999</c:v>
                </c:pt>
                <c:pt idx="1">
                  <c:v>2419.08374</c:v>
                </c:pt>
                <c:pt idx="2">
                  <c:v>2405.0854490000002</c:v>
                </c:pt>
                <c:pt idx="3">
                  <c:v>2389.3305660000001</c:v>
                </c:pt>
                <c:pt idx="4">
                  <c:v>2374.0253910000001</c:v>
                </c:pt>
                <c:pt idx="5">
                  <c:v>2365.4309079999998</c:v>
                </c:pt>
                <c:pt idx="6">
                  <c:v>2356.9975589999999</c:v>
                </c:pt>
                <c:pt idx="7">
                  <c:v>2349.9807129999999</c:v>
                </c:pt>
                <c:pt idx="8">
                  <c:v>2340.201172</c:v>
                </c:pt>
                <c:pt idx="9">
                  <c:v>2328.459961</c:v>
                </c:pt>
                <c:pt idx="10">
                  <c:v>2318.570557</c:v>
                </c:pt>
                <c:pt idx="11">
                  <c:v>2312.9536130000001</c:v>
                </c:pt>
                <c:pt idx="12">
                  <c:v>2307.9187010000001</c:v>
                </c:pt>
                <c:pt idx="13">
                  <c:v>2299.6652829999998</c:v>
                </c:pt>
                <c:pt idx="14">
                  <c:v>2286.639893</c:v>
                </c:pt>
                <c:pt idx="15">
                  <c:v>2282.7065429999998</c:v>
                </c:pt>
                <c:pt idx="16">
                  <c:v>2277.4165039999998</c:v>
                </c:pt>
                <c:pt idx="17">
                  <c:v>2272.860596</c:v>
                </c:pt>
                <c:pt idx="18">
                  <c:v>2267.1198730000001</c:v>
                </c:pt>
                <c:pt idx="19">
                  <c:v>2261.0209960000002</c:v>
                </c:pt>
                <c:pt idx="20">
                  <c:v>2256.0561520000001</c:v>
                </c:pt>
                <c:pt idx="21">
                  <c:v>2253.4196780000002</c:v>
                </c:pt>
                <c:pt idx="22">
                  <c:v>2249.9284670000002</c:v>
                </c:pt>
                <c:pt idx="23">
                  <c:v>2247.0490719999998</c:v>
                </c:pt>
                <c:pt idx="24">
                  <c:v>2244.1484380000002</c:v>
                </c:pt>
                <c:pt idx="25">
                  <c:v>2242.3061520000001</c:v>
                </c:pt>
                <c:pt idx="26">
                  <c:v>2239.3620609999998</c:v>
                </c:pt>
                <c:pt idx="27">
                  <c:v>2238.6999510000001</c:v>
                </c:pt>
                <c:pt idx="28">
                  <c:v>2236.1689449999999</c:v>
                </c:pt>
                <c:pt idx="29">
                  <c:v>2235.9323730000001</c:v>
                </c:pt>
                <c:pt idx="30">
                  <c:v>2233.8208009999998</c:v>
                </c:pt>
                <c:pt idx="31">
                  <c:v>2227.951904</c:v>
                </c:pt>
                <c:pt idx="32">
                  <c:v>2222.8547359999998</c:v>
                </c:pt>
                <c:pt idx="33">
                  <c:v>2218.5839839999999</c:v>
                </c:pt>
                <c:pt idx="34">
                  <c:v>2214.6816410000001</c:v>
                </c:pt>
                <c:pt idx="35">
                  <c:v>2210.3347170000002</c:v>
                </c:pt>
                <c:pt idx="36">
                  <c:v>2203.1223140000002</c:v>
                </c:pt>
                <c:pt idx="37">
                  <c:v>2202.428711</c:v>
                </c:pt>
                <c:pt idx="38">
                  <c:v>2197.101318</c:v>
                </c:pt>
                <c:pt idx="39">
                  <c:v>2192.2150879999999</c:v>
                </c:pt>
                <c:pt idx="40">
                  <c:v>2190.8029790000001</c:v>
                </c:pt>
                <c:pt idx="41">
                  <c:v>2188.2863769999999</c:v>
                </c:pt>
                <c:pt idx="42">
                  <c:v>2185.6188959999999</c:v>
                </c:pt>
                <c:pt idx="43">
                  <c:v>2183.8771969999998</c:v>
                </c:pt>
                <c:pt idx="44">
                  <c:v>2180.6201169999999</c:v>
                </c:pt>
                <c:pt idx="45">
                  <c:v>2179.0505370000001</c:v>
                </c:pt>
                <c:pt idx="46">
                  <c:v>2176.0715329999998</c:v>
                </c:pt>
                <c:pt idx="47">
                  <c:v>2172.8190920000002</c:v>
                </c:pt>
                <c:pt idx="48">
                  <c:v>2169.1352539999998</c:v>
                </c:pt>
                <c:pt idx="49">
                  <c:v>2167.4169919999999</c:v>
                </c:pt>
                <c:pt idx="50">
                  <c:v>2164.5964359999998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PANI_2ndPhase!$F$1:$F$193</c:f>
              <c:numCache>
                <c:formatCode>General</c:formatCode>
                <c:ptCount val="193"/>
                <c:pt idx="0">
                  <c:v>7.5954050765839778</c:v>
                </c:pt>
                <c:pt idx="1">
                  <c:v>7.5751782941340018</c:v>
                </c:pt>
                <c:pt idx="2">
                  <c:v>7.5694242010424553</c:v>
                </c:pt>
                <c:pt idx="3">
                  <c:v>7.5658459402859801</c:v>
                </c:pt>
                <c:pt idx="4">
                  <c:v>7.5627192937902938</c:v>
                </c:pt>
                <c:pt idx="5">
                  <c:v>7.5600837077249032</c:v>
                </c:pt>
                <c:pt idx="6">
                  <c:v>7.5580551633990414</c:v>
                </c:pt>
                <c:pt idx="7">
                  <c:v>7.5564254806760474</c:v>
                </c:pt>
                <c:pt idx="8">
                  <c:v>7.555012663086881</c:v>
                </c:pt>
                <c:pt idx="9">
                  <c:v>7.5540960901499608</c:v>
                </c:pt>
                <c:pt idx="10">
                  <c:v>7.5527395398886723</c:v>
                </c:pt>
                <c:pt idx="11">
                  <c:v>7.5519895917948743</c:v>
                </c:pt>
                <c:pt idx="12">
                  <c:v>7.5512278559463821</c:v>
                </c:pt>
                <c:pt idx="13">
                  <c:v>7.5503895321679222</c:v>
                </c:pt>
                <c:pt idx="14">
                  <c:v>7.5506298588063343</c:v>
                </c:pt>
                <c:pt idx="15">
                  <c:v>7.5527934656734752</c:v>
                </c:pt>
                <c:pt idx="16">
                  <c:v>7.5557420217384452</c:v>
                </c:pt>
                <c:pt idx="17">
                  <c:v>7.5524020209731351</c:v>
                </c:pt>
                <c:pt idx="18">
                  <c:v>7.5501363056652409</c:v>
                </c:pt>
                <c:pt idx="19">
                  <c:v>7.5487649172986329</c:v>
                </c:pt>
                <c:pt idx="20">
                  <c:v>7.5481134566136738</c:v>
                </c:pt>
                <c:pt idx="21">
                  <c:v>7.551191742218581</c:v>
                </c:pt>
                <c:pt idx="22">
                  <c:v>7.5511615290875937</c:v>
                </c:pt>
                <c:pt idx="23">
                  <c:v>7.5503864508844316</c:v>
                </c:pt>
                <c:pt idx="24">
                  <c:v>7.548306919706139</c:v>
                </c:pt>
                <c:pt idx="25">
                  <c:v>7.5470959871349779</c:v>
                </c:pt>
                <c:pt idx="26">
                  <c:v>7.5461807643727017</c:v>
                </c:pt>
                <c:pt idx="27">
                  <c:v>7.5461074613397425</c:v>
                </c:pt>
                <c:pt idx="28">
                  <c:v>7.5453408430247952</c:v>
                </c:pt>
                <c:pt idx="29">
                  <c:v>7.5452186303205897</c:v>
                </c:pt>
                <c:pt idx="30">
                  <c:v>7.544666098833404</c:v>
                </c:pt>
                <c:pt idx="31">
                  <c:v>7.5443574908003264</c:v>
                </c:pt>
                <c:pt idx="32">
                  <c:v>7.5438847397454394</c:v>
                </c:pt>
                <c:pt idx="33">
                  <c:v>7.543641493973297</c:v>
                </c:pt>
                <c:pt idx="34">
                  <c:v>7.5434200403945528</c:v>
                </c:pt>
                <c:pt idx="35">
                  <c:v>7.5431770046706337</c:v>
                </c:pt>
                <c:pt idx="36">
                  <c:v>7.5429524726673183</c:v>
                </c:pt>
                <c:pt idx="37">
                  <c:v>7.5457337068365327</c:v>
                </c:pt>
                <c:pt idx="38">
                  <c:v>7.5457322232020632</c:v>
                </c:pt>
                <c:pt idx="39">
                  <c:v>7.5450448994601702</c:v>
                </c:pt>
                <c:pt idx="40">
                  <c:v>7.544763007266778</c:v>
                </c:pt>
                <c:pt idx="41">
                  <c:v>7.5440808309836038</c:v>
                </c:pt>
                <c:pt idx="42">
                  <c:v>7.5435795101080716</c:v>
                </c:pt>
                <c:pt idx="43">
                  <c:v>7.5429760795386516</c:v>
                </c:pt>
                <c:pt idx="44">
                  <c:v>7.5442846995225139</c:v>
                </c:pt>
                <c:pt idx="45">
                  <c:v>7.5439773308419804</c:v>
                </c:pt>
                <c:pt idx="46">
                  <c:v>7.5431005065575834</c:v>
                </c:pt>
                <c:pt idx="47">
                  <c:v>7.542627484579703</c:v>
                </c:pt>
                <c:pt idx="48">
                  <c:v>7.5420663982971758</c:v>
                </c:pt>
                <c:pt idx="49">
                  <c:v>7.5420123443489429</c:v>
                </c:pt>
                <c:pt idx="50">
                  <c:v>7.5412370067634171</c:v>
                </c:pt>
                <c:pt idx="51">
                  <c:v>7.5413988329568982</c:v>
                </c:pt>
                <c:pt idx="52">
                  <c:v>7.5408855362894665</c:v>
                </c:pt>
                <c:pt idx="53">
                  <c:v>7.5408658339157508</c:v>
                </c:pt>
                <c:pt idx="54">
                  <c:v>7.5407522126295792</c:v>
                </c:pt>
                <c:pt idx="55">
                  <c:v>7.5408463254808584</c:v>
                </c:pt>
                <c:pt idx="56">
                  <c:v>7.5407045045029317</c:v>
                </c:pt>
                <c:pt idx="57">
                  <c:v>7.5405407500361772</c:v>
                </c:pt>
                <c:pt idx="58">
                  <c:v>7.5404318898590086</c:v>
                </c:pt>
                <c:pt idx="59">
                  <c:v>7.5402876109903891</c:v>
                </c:pt>
                <c:pt idx="60">
                  <c:v>7.5401740536215138</c:v>
                </c:pt>
                <c:pt idx="61">
                  <c:v>7.5404128271141699</c:v>
                </c:pt>
                <c:pt idx="62">
                  <c:v>7.5404303988688541</c:v>
                </c:pt>
                <c:pt idx="63">
                  <c:v>7.5403805357332763</c:v>
                </c:pt>
                <c:pt idx="64">
                  <c:v>7.5406203619012935</c:v>
                </c:pt>
                <c:pt idx="65">
                  <c:v>7.5415666570286346</c:v>
                </c:pt>
                <c:pt idx="66">
                  <c:v>7.5423911806986963</c:v>
                </c:pt>
                <c:pt idx="67">
                  <c:v>7.5429732985175244</c:v>
                </c:pt>
                <c:pt idx="68">
                  <c:v>7.543135555433004</c:v>
                </c:pt>
                <c:pt idx="69">
                  <c:v>7.5436685747366248</c:v>
                </c:pt>
                <c:pt idx="70">
                  <c:v>7.5440099582854252</c:v>
                </c:pt>
                <c:pt idx="71">
                  <c:v>7.5442839894356881</c:v>
                </c:pt>
                <c:pt idx="72">
                  <c:v>7.5433854537686722</c:v>
                </c:pt>
                <c:pt idx="73">
                  <c:v>7.5425857539058239</c:v>
                </c:pt>
                <c:pt idx="74">
                  <c:v>7.5417655993967045</c:v>
                </c:pt>
                <c:pt idx="75">
                  <c:v>7.5414405489836085</c:v>
                </c:pt>
                <c:pt idx="76">
                  <c:v>7.5410238322150533</c:v>
                </c:pt>
                <c:pt idx="77">
                  <c:v>7.540864343041525</c:v>
                </c:pt>
                <c:pt idx="78">
                  <c:v>7.540687585954875</c:v>
                </c:pt>
                <c:pt idx="79">
                  <c:v>7.5404803243176035</c:v>
                </c:pt>
                <c:pt idx="80">
                  <c:v>7.541106450893416</c:v>
                </c:pt>
                <c:pt idx="81">
                  <c:v>7.5418669980911623</c:v>
                </c:pt>
                <c:pt idx="82">
                  <c:v>7.5420711237953384</c:v>
                </c:pt>
                <c:pt idx="83">
                  <c:v>7.5428579754931402</c:v>
                </c:pt>
                <c:pt idx="84">
                  <c:v>7.5429211040608823</c:v>
                </c:pt>
                <c:pt idx="85">
                  <c:v>7.5429364976052762</c:v>
                </c:pt>
                <c:pt idx="86">
                  <c:v>7.5432538205614224</c:v>
                </c:pt>
                <c:pt idx="87">
                  <c:v>7.5422893818385512</c:v>
                </c:pt>
                <c:pt idx="88">
                  <c:v>7.5418265304442622</c:v>
                </c:pt>
                <c:pt idx="89">
                  <c:v>7.5417300489126138</c:v>
                </c:pt>
                <c:pt idx="90">
                  <c:v>7.5413612618909234</c:v>
                </c:pt>
                <c:pt idx="91">
                  <c:v>7.5411849158621074</c:v>
                </c:pt>
                <c:pt idx="92">
                  <c:v>7.5416664567727931</c:v>
                </c:pt>
                <c:pt idx="93">
                  <c:v>7.5412977110405111</c:v>
                </c:pt>
                <c:pt idx="94">
                  <c:v>7.5412984232510221</c:v>
                </c:pt>
                <c:pt idx="95">
                  <c:v>7.5412183478697932</c:v>
                </c:pt>
                <c:pt idx="96">
                  <c:v>7.5407384708366747</c:v>
                </c:pt>
                <c:pt idx="97">
                  <c:v>7.5411076170822655</c:v>
                </c:pt>
                <c:pt idx="98">
                  <c:v>7.5410283035869359</c:v>
                </c:pt>
                <c:pt idx="99">
                  <c:v>7.5407730838210529</c:v>
                </c:pt>
                <c:pt idx="100">
                  <c:v>7.540816186821016</c:v>
                </c:pt>
                <c:pt idx="101">
                  <c:v>7.5412413471513258</c:v>
                </c:pt>
                <c:pt idx="102">
                  <c:v>7.5413100844319034</c:v>
                </c:pt>
                <c:pt idx="103">
                  <c:v>7.5413068455529508</c:v>
                </c:pt>
                <c:pt idx="104">
                  <c:v>7.5411332113205738</c:v>
                </c:pt>
                <c:pt idx="105">
                  <c:v>7.542516780920697</c:v>
                </c:pt>
                <c:pt idx="106">
                  <c:v>7.5429606866035561</c:v>
                </c:pt>
                <c:pt idx="107">
                  <c:v>7.5420553934369865</c:v>
                </c:pt>
                <c:pt idx="108">
                  <c:v>7.542426125096755</c:v>
                </c:pt>
                <c:pt idx="109">
                  <c:v>7.5417717505944308</c:v>
                </c:pt>
                <c:pt idx="110">
                  <c:v>7.5417297900387936</c:v>
                </c:pt>
                <c:pt idx="111">
                  <c:v>7.5421932689279938</c:v>
                </c:pt>
                <c:pt idx="112">
                  <c:v>7.5420281400836418</c:v>
                </c:pt>
                <c:pt idx="113">
                  <c:v>7.5423355909422929</c:v>
                </c:pt>
                <c:pt idx="114">
                  <c:v>7.5425204690845407</c:v>
                </c:pt>
                <c:pt idx="115">
                  <c:v>7.5422978604802076</c:v>
                </c:pt>
                <c:pt idx="116">
                  <c:v>7.5423196054922412</c:v>
                </c:pt>
                <c:pt idx="117">
                  <c:v>7.5423464628321222</c:v>
                </c:pt>
                <c:pt idx="118">
                  <c:v>7.5423672366294712</c:v>
                </c:pt>
                <c:pt idx="119">
                  <c:v>7.5423625125303859</c:v>
                </c:pt>
                <c:pt idx="120">
                  <c:v>7.5425593556456683</c:v>
                </c:pt>
                <c:pt idx="121">
                  <c:v>7.5425106337740422</c:v>
                </c:pt>
                <c:pt idx="122">
                  <c:v>7.5425248685723405</c:v>
                </c:pt>
                <c:pt idx="123">
                  <c:v>7.5428077807193006</c:v>
                </c:pt>
                <c:pt idx="124">
                  <c:v>7.5427599766061055</c:v>
                </c:pt>
                <c:pt idx="125">
                  <c:v>7.5425984993437902</c:v>
                </c:pt>
                <c:pt idx="126">
                  <c:v>7.5428444570759448</c:v>
                </c:pt>
                <c:pt idx="127">
                  <c:v>7.5425763072196883</c:v>
                </c:pt>
                <c:pt idx="128">
                  <c:v>7.5427247852561736</c:v>
                </c:pt>
                <c:pt idx="129">
                  <c:v>7.5428573290380276</c:v>
                </c:pt>
                <c:pt idx="130">
                  <c:v>7.5429172234493915</c:v>
                </c:pt>
                <c:pt idx="131">
                  <c:v>7.5430119089318746</c:v>
                </c:pt>
                <c:pt idx="132">
                  <c:v>7.5431877386979647</c:v>
                </c:pt>
                <c:pt idx="133">
                  <c:v>7.5435098298639813</c:v>
                </c:pt>
                <c:pt idx="134">
                  <c:v>7.5439976828276363</c:v>
                </c:pt>
                <c:pt idx="135">
                  <c:v>7.543612474046963</c:v>
                </c:pt>
                <c:pt idx="136">
                  <c:v>7.5443386958626766</c:v>
                </c:pt>
                <c:pt idx="137">
                  <c:v>7.5439217640857565</c:v>
                </c:pt>
                <c:pt idx="138">
                  <c:v>7.543931585527206</c:v>
                </c:pt>
                <c:pt idx="139">
                  <c:v>7.5436919704050629</c:v>
                </c:pt>
                <c:pt idx="140">
                  <c:v>7.54417954086035</c:v>
                </c:pt>
                <c:pt idx="141">
                  <c:v>7.5444857496893611</c:v>
                </c:pt>
                <c:pt idx="142">
                  <c:v>7.5444589497443904</c:v>
                </c:pt>
                <c:pt idx="143">
                  <c:v>7.5448377003261919</c:v>
                </c:pt>
                <c:pt idx="144">
                  <c:v>7.5451308006540323</c:v>
                </c:pt>
                <c:pt idx="145">
                  <c:v>7.545162358009784</c:v>
                </c:pt>
                <c:pt idx="146">
                  <c:v>7.5452147580860549</c:v>
                </c:pt>
                <c:pt idx="147">
                  <c:v>7.5450855601162177</c:v>
                </c:pt>
                <c:pt idx="148">
                  <c:v>7.5448819193136352</c:v>
                </c:pt>
                <c:pt idx="149">
                  <c:v>7.5448739146891146</c:v>
                </c:pt>
                <c:pt idx="150">
                  <c:v>7.5450405755498329</c:v>
                </c:pt>
                <c:pt idx="151">
                  <c:v>7.5454952974241207</c:v>
                </c:pt>
                <c:pt idx="152">
                  <c:v>7.5455281337995039</c:v>
                </c:pt>
                <c:pt idx="153">
                  <c:v>7.545860306430165</c:v>
                </c:pt>
                <c:pt idx="154">
                  <c:v>7.5456051561141937</c:v>
                </c:pt>
                <c:pt idx="155">
                  <c:v>7.5456807532492443</c:v>
                </c:pt>
                <c:pt idx="156">
                  <c:v>7.5457973631434756</c:v>
                </c:pt>
                <c:pt idx="157">
                  <c:v>7.5459721238679336</c:v>
                </c:pt>
                <c:pt idx="158">
                  <c:v>7.5465373387652654</c:v>
                </c:pt>
                <c:pt idx="159">
                  <c:v>7.5464589706031164</c:v>
                </c:pt>
                <c:pt idx="160">
                  <c:v>7.5468085518323935</c:v>
                </c:pt>
                <c:pt idx="161">
                  <c:v>7.5468414095027647</c:v>
                </c:pt>
                <c:pt idx="162">
                  <c:v>7.5469158825755231</c:v>
                </c:pt>
                <c:pt idx="163">
                  <c:v>7.547124584296097</c:v>
                </c:pt>
                <c:pt idx="164">
                  <c:v>7.5469825560033499</c:v>
                </c:pt>
                <c:pt idx="165">
                  <c:v>7.5472117235867602</c:v>
                </c:pt>
                <c:pt idx="166">
                  <c:v>7.5471402994859025</c:v>
                </c:pt>
                <c:pt idx="167">
                  <c:v>7.5477108413195486</c:v>
                </c:pt>
                <c:pt idx="168">
                  <c:v>7.5479853400955292</c:v>
                </c:pt>
                <c:pt idx="169">
                  <c:v>7.5479398426106297</c:v>
                </c:pt>
                <c:pt idx="170">
                  <c:v>7.5477035031651694</c:v>
                </c:pt>
                <c:pt idx="171">
                  <c:v>7.547951297440461</c:v>
                </c:pt>
                <c:pt idx="172">
                  <c:v>7.5480870109496001</c:v>
                </c:pt>
                <c:pt idx="173">
                  <c:v>7.5484389185777694</c:v>
                </c:pt>
                <c:pt idx="174">
                  <c:v>7.5483722778931899</c:v>
                </c:pt>
                <c:pt idx="175">
                  <c:v>7.5484050842241599</c:v>
                </c:pt>
                <c:pt idx="176">
                  <c:v>7.548363400564579</c:v>
                </c:pt>
                <c:pt idx="177">
                  <c:v>7.54845763608356</c:v>
                </c:pt>
                <c:pt idx="178">
                  <c:v>7.5487660751171415</c:v>
                </c:pt>
                <c:pt idx="179">
                  <c:v>7.5490977523000042</c:v>
                </c:pt>
                <c:pt idx="180">
                  <c:v>7.5491991174122353</c:v>
                </c:pt>
                <c:pt idx="181">
                  <c:v>7.5494596497671367</c:v>
                </c:pt>
                <c:pt idx="182">
                  <c:v>7.5498667646045234</c:v>
                </c:pt>
                <c:pt idx="183">
                  <c:v>7.5500686222195466</c:v>
                </c:pt>
                <c:pt idx="184">
                  <c:v>7.5501483776480791</c:v>
                </c:pt>
                <c:pt idx="185">
                  <c:v>7.5503732905048029</c:v>
                </c:pt>
                <c:pt idx="186">
                  <c:v>7.5503164728481957</c:v>
                </c:pt>
                <c:pt idx="187">
                  <c:v>7.55139320438869</c:v>
                </c:pt>
                <c:pt idx="188">
                  <c:v>7.5513918578448447</c:v>
                </c:pt>
                <c:pt idx="189">
                  <c:v>7.5514958763004447</c:v>
                </c:pt>
                <c:pt idx="190">
                  <c:v>7.5518756247933778</c:v>
                </c:pt>
                <c:pt idx="191">
                  <c:v>7.5521128383475027</c:v>
                </c:pt>
                <c:pt idx="192">
                  <c:v>7.5522365185316342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</c:numCache>
            </c:numRef>
          </c:xVal>
          <c:yVal>
            <c:numRef>
              <c:f>PANI_2ndPhase!$B$1:$B$196</c:f>
              <c:numCache>
                <c:formatCode>General</c:formatCode>
                <c:ptCount val="196"/>
                <c:pt idx="0">
                  <c:v>1989.0354</c:v>
                </c:pt>
                <c:pt idx="1">
                  <c:v>1949.207764</c:v>
                </c:pt>
                <c:pt idx="2">
                  <c:v>1938.024048</c:v>
                </c:pt>
                <c:pt idx="3">
                  <c:v>1931.1016850000001</c:v>
                </c:pt>
                <c:pt idx="4">
                  <c:v>1925.0732419999999</c:v>
                </c:pt>
                <c:pt idx="5">
                  <c:v>1920.006226</c:v>
                </c:pt>
                <c:pt idx="6">
                  <c:v>1916.115356</c:v>
                </c:pt>
                <c:pt idx="7">
                  <c:v>1912.9952390000001</c:v>
                </c:pt>
                <c:pt idx="8">
                  <c:v>1910.2944339999999</c:v>
                </c:pt>
                <c:pt idx="9">
                  <c:v>1908.544312</c:v>
                </c:pt>
                <c:pt idx="10">
                  <c:v>1905.9570309999999</c:v>
                </c:pt>
                <c:pt idx="11">
                  <c:v>1904.528198</c:v>
                </c:pt>
                <c:pt idx="12">
                  <c:v>1903.0780030000001</c:v>
                </c:pt>
                <c:pt idx="13">
                  <c:v>1901.4832759999999</c:v>
                </c:pt>
                <c:pt idx="14">
                  <c:v>1901.940308</c:v>
                </c:pt>
                <c:pt idx="15">
                  <c:v>1906.059814</c:v>
                </c:pt>
                <c:pt idx="16">
                  <c:v>1911.688232</c:v>
                </c:pt>
                <c:pt idx="17">
                  <c:v>1905.3138429999999</c:v>
                </c:pt>
                <c:pt idx="18">
                  <c:v>1901.001831</c:v>
                </c:pt>
                <c:pt idx="19">
                  <c:v>1898.396606</c:v>
                </c:pt>
                <c:pt idx="20">
                  <c:v>1897.1602780000001</c:v>
                </c:pt>
                <c:pt idx="21">
                  <c:v>1903.0092770000001</c:v>
                </c:pt>
                <c:pt idx="22">
                  <c:v>1902.9517820000001</c:v>
                </c:pt>
                <c:pt idx="23">
                  <c:v>1901.4774170000001</c:v>
                </c:pt>
                <c:pt idx="24">
                  <c:v>1897.5273440000001</c:v>
                </c:pt>
                <c:pt idx="25">
                  <c:v>1895.230957</c:v>
                </c:pt>
                <c:pt idx="26">
                  <c:v>1893.497192</c:v>
                </c:pt>
                <c:pt idx="27">
                  <c:v>1893.3583980000001</c:v>
                </c:pt>
                <c:pt idx="28">
                  <c:v>1891.907471</c:v>
                </c:pt>
                <c:pt idx="29">
                  <c:v>1891.6762699999999</c:v>
                </c:pt>
                <c:pt idx="30">
                  <c:v>1890.6313479999999</c:v>
                </c:pt>
                <c:pt idx="31">
                  <c:v>1890.0479740000001</c:v>
                </c:pt>
                <c:pt idx="32">
                  <c:v>1889.154663</c:v>
                </c:pt>
                <c:pt idx="33">
                  <c:v>1888.6951899999999</c:v>
                </c:pt>
                <c:pt idx="34">
                  <c:v>1888.2769780000001</c:v>
                </c:pt>
                <c:pt idx="35">
                  <c:v>1887.818115</c:v>
                </c:pt>
                <c:pt idx="36">
                  <c:v>1887.3942870000001</c:v>
                </c:pt>
                <c:pt idx="37">
                  <c:v>1892.650879</c:v>
                </c:pt>
                <c:pt idx="38">
                  <c:v>1892.6480710000001</c:v>
                </c:pt>
                <c:pt idx="39">
                  <c:v>1891.3476559999999</c:v>
                </c:pt>
                <c:pt idx="40">
                  <c:v>1890.8145750000001</c:v>
                </c:pt>
                <c:pt idx="41">
                  <c:v>1889.5251459999999</c:v>
                </c:pt>
                <c:pt idx="42">
                  <c:v>1888.578125</c:v>
                </c:pt>
                <c:pt idx="43">
                  <c:v>1887.4388429999999</c:v>
                </c:pt>
                <c:pt idx="44">
                  <c:v>1889.9104</c:v>
                </c:pt>
                <c:pt idx="45">
                  <c:v>1889.3295900000001</c:v>
                </c:pt>
                <c:pt idx="46">
                  <c:v>1887.673706</c:v>
                </c:pt>
                <c:pt idx="47">
                  <c:v>1886.7810059999999</c:v>
                </c:pt>
                <c:pt idx="48">
                  <c:v>1885.7226559999999</c:v>
                </c:pt>
                <c:pt idx="49">
                  <c:v>1885.6207280000001</c:v>
                </c:pt>
                <c:pt idx="50">
                  <c:v>1884.159302</c:v>
                </c:pt>
                <c:pt idx="51">
                  <c:v>1884.4642329999999</c:v>
                </c:pt>
                <c:pt idx="52">
                  <c:v>1883.497192</c:v>
                </c:pt>
                <c:pt idx="53">
                  <c:v>1883.4600829999999</c:v>
                </c:pt>
                <c:pt idx="54">
                  <c:v>1883.2460940000001</c:v>
                </c:pt>
                <c:pt idx="55">
                  <c:v>1883.4233400000001</c:v>
                </c:pt>
                <c:pt idx="56">
                  <c:v>1883.15625</c:v>
                </c:pt>
                <c:pt idx="57">
                  <c:v>1882.8479</c:v>
                </c:pt>
                <c:pt idx="58">
                  <c:v>1882.6429439999999</c:v>
                </c:pt>
                <c:pt idx="59">
                  <c:v>1882.3713379999999</c:v>
                </c:pt>
                <c:pt idx="60">
                  <c:v>1882.1575929999999</c:v>
                </c:pt>
                <c:pt idx="61">
                  <c:v>1882.6070560000001</c:v>
                </c:pt>
                <c:pt idx="62">
                  <c:v>1882.6401370000001</c:v>
                </c:pt>
                <c:pt idx="63">
                  <c:v>1882.5462649999999</c:v>
                </c:pt>
                <c:pt idx="64">
                  <c:v>1882.997803</c:v>
                </c:pt>
                <c:pt idx="65">
                  <c:v>1884.780518</c:v>
                </c:pt>
                <c:pt idx="66">
                  <c:v>1886.3352050000001</c:v>
                </c:pt>
                <c:pt idx="67">
                  <c:v>1887.4335940000001</c:v>
                </c:pt>
                <c:pt idx="68">
                  <c:v>1887.7398679999999</c:v>
                </c:pt>
                <c:pt idx="69">
                  <c:v>1888.7463379999999</c:v>
                </c:pt>
                <c:pt idx="70">
                  <c:v>1889.3912350000001</c:v>
                </c:pt>
                <c:pt idx="71">
                  <c:v>1889.909058</c:v>
                </c:pt>
                <c:pt idx="72">
                  <c:v>1888.2116699999999</c:v>
                </c:pt>
                <c:pt idx="73">
                  <c:v>1886.7022710000001</c:v>
                </c:pt>
                <c:pt idx="74">
                  <c:v>1885.155518</c:v>
                </c:pt>
                <c:pt idx="75">
                  <c:v>1884.5428469999999</c:v>
                </c:pt>
                <c:pt idx="76">
                  <c:v>1883.7576899999999</c:v>
                </c:pt>
                <c:pt idx="77">
                  <c:v>1883.457275</c:v>
                </c:pt>
                <c:pt idx="78">
                  <c:v>1883.1243899999999</c:v>
                </c:pt>
                <c:pt idx="79">
                  <c:v>1882.7341309999999</c:v>
                </c:pt>
                <c:pt idx="80">
                  <c:v>1883.9133300000001</c:v>
                </c:pt>
                <c:pt idx="81">
                  <c:v>1885.3466800000001</c:v>
                </c:pt>
                <c:pt idx="82">
                  <c:v>1885.731567</c:v>
                </c:pt>
                <c:pt idx="83">
                  <c:v>1887.215942</c:v>
                </c:pt>
                <c:pt idx="84">
                  <c:v>1887.3350829999999</c:v>
                </c:pt>
                <c:pt idx="85">
                  <c:v>1887.3641359999999</c:v>
                </c:pt>
                <c:pt idx="86">
                  <c:v>1887.963135</c:v>
                </c:pt>
                <c:pt idx="87">
                  <c:v>1886.143188</c:v>
                </c:pt>
                <c:pt idx="88">
                  <c:v>1885.2703859999999</c:v>
                </c:pt>
                <c:pt idx="89">
                  <c:v>1885.088501</c:v>
                </c:pt>
                <c:pt idx="90">
                  <c:v>1884.393433</c:v>
                </c:pt>
                <c:pt idx="91">
                  <c:v>1884.0611570000001</c:v>
                </c:pt>
                <c:pt idx="92">
                  <c:v>1884.9686280000001</c:v>
                </c:pt>
                <c:pt idx="93">
                  <c:v>1884.273682</c:v>
                </c:pt>
                <c:pt idx="94">
                  <c:v>1884.275024</c:v>
                </c:pt>
                <c:pt idx="95">
                  <c:v>1884.1241460000001</c:v>
                </c:pt>
                <c:pt idx="96">
                  <c:v>1883.2202150000001</c:v>
                </c:pt>
                <c:pt idx="97">
                  <c:v>1883.9155270000001</c:v>
                </c:pt>
                <c:pt idx="98">
                  <c:v>1883.7661129999999</c:v>
                </c:pt>
                <c:pt idx="99">
                  <c:v>1883.2854</c:v>
                </c:pt>
                <c:pt idx="100">
                  <c:v>1883.366577</c:v>
                </c:pt>
                <c:pt idx="101">
                  <c:v>1884.1674800000001</c:v>
                </c:pt>
                <c:pt idx="102">
                  <c:v>1884.2969969999999</c:v>
                </c:pt>
                <c:pt idx="103">
                  <c:v>1884.290894</c:v>
                </c:pt>
                <c:pt idx="104">
                  <c:v>1883.963745</c:v>
                </c:pt>
                <c:pt idx="105">
                  <c:v>1886.572144</c:v>
                </c:pt>
                <c:pt idx="106">
                  <c:v>1887.4097899999999</c:v>
                </c:pt>
                <c:pt idx="107">
                  <c:v>1885.701904</c:v>
                </c:pt>
                <c:pt idx="108">
                  <c:v>1886.4011230000001</c:v>
                </c:pt>
                <c:pt idx="109">
                  <c:v>1885.1671140000001</c:v>
                </c:pt>
                <c:pt idx="110">
                  <c:v>1885.088013</c:v>
                </c:pt>
                <c:pt idx="111">
                  <c:v>1885.961914</c:v>
                </c:pt>
                <c:pt idx="112">
                  <c:v>1885.650513</c:v>
                </c:pt>
                <c:pt idx="113">
                  <c:v>1886.2303469999999</c:v>
                </c:pt>
                <c:pt idx="114">
                  <c:v>1886.5791019999999</c:v>
                </c:pt>
                <c:pt idx="115">
                  <c:v>1886.1591800000001</c:v>
                </c:pt>
                <c:pt idx="116">
                  <c:v>1886.2001949999999</c:v>
                </c:pt>
                <c:pt idx="117">
                  <c:v>1886.2508539999999</c:v>
                </c:pt>
                <c:pt idx="118">
                  <c:v>1886.290039</c:v>
                </c:pt>
                <c:pt idx="119">
                  <c:v>1886.2811280000001</c:v>
                </c:pt>
                <c:pt idx="120">
                  <c:v>1886.652466</c:v>
                </c:pt>
                <c:pt idx="121">
                  <c:v>1886.560547</c:v>
                </c:pt>
                <c:pt idx="122">
                  <c:v>1886.5874020000001</c:v>
                </c:pt>
                <c:pt idx="123">
                  <c:v>1887.121216</c:v>
                </c:pt>
                <c:pt idx="124">
                  <c:v>1887.0310059999999</c:v>
                </c:pt>
                <c:pt idx="125">
                  <c:v>1886.726318</c:v>
                </c:pt>
                <c:pt idx="126">
                  <c:v>1887.1904300000001</c:v>
                </c:pt>
                <c:pt idx="127">
                  <c:v>1886.684448</c:v>
                </c:pt>
                <c:pt idx="128">
                  <c:v>1886.9646</c:v>
                </c:pt>
                <c:pt idx="129">
                  <c:v>1887.2147219999999</c:v>
                </c:pt>
                <c:pt idx="130">
                  <c:v>1887.327759</c:v>
                </c:pt>
                <c:pt idx="131">
                  <c:v>1887.50647</c:v>
                </c:pt>
                <c:pt idx="132">
                  <c:v>1887.838379</c:v>
                </c:pt>
                <c:pt idx="133">
                  <c:v>1888.446533</c:v>
                </c:pt>
                <c:pt idx="134">
                  <c:v>1889.3680420000001</c:v>
                </c:pt>
                <c:pt idx="135">
                  <c:v>1888.6403809999999</c:v>
                </c:pt>
                <c:pt idx="136">
                  <c:v>1890.0124510000001</c:v>
                </c:pt>
                <c:pt idx="137">
                  <c:v>1889.2246090000001</c:v>
                </c:pt>
                <c:pt idx="138">
                  <c:v>1889.243164</c:v>
                </c:pt>
                <c:pt idx="139">
                  <c:v>1888.7905270000001</c:v>
                </c:pt>
                <c:pt idx="140">
                  <c:v>1889.7116699999999</c:v>
                </c:pt>
                <c:pt idx="141">
                  <c:v>1890.290405</c:v>
                </c:pt>
                <c:pt idx="142">
                  <c:v>1890.239746</c:v>
                </c:pt>
                <c:pt idx="143">
                  <c:v>1890.955811</c:v>
                </c:pt>
                <c:pt idx="144">
                  <c:v>1891.5101320000001</c:v>
                </c:pt>
                <c:pt idx="145">
                  <c:v>1891.5698239999999</c:v>
                </c:pt>
                <c:pt idx="146">
                  <c:v>1891.6689449999999</c:v>
                </c:pt>
                <c:pt idx="147">
                  <c:v>1891.424561</c:v>
                </c:pt>
                <c:pt idx="148">
                  <c:v>1891.0394289999999</c:v>
                </c:pt>
                <c:pt idx="149">
                  <c:v>1891.0242920000001</c:v>
                </c:pt>
                <c:pt idx="150">
                  <c:v>1891.3394780000001</c:v>
                </c:pt>
                <c:pt idx="151">
                  <c:v>1892.199707</c:v>
                </c:pt>
                <c:pt idx="152">
                  <c:v>1892.261841</c:v>
                </c:pt>
                <c:pt idx="153">
                  <c:v>1892.8905030000001</c:v>
                </c:pt>
                <c:pt idx="154">
                  <c:v>1892.4075929999999</c:v>
                </c:pt>
                <c:pt idx="155">
                  <c:v>1892.550659</c:v>
                </c:pt>
                <c:pt idx="156">
                  <c:v>1892.771362</c:v>
                </c:pt>
                <c:pt idx="157">
                  <c:v>1893.102173</c:v>
                </c:pt>
                <c:pt idx="158">
                  <c:v>1894.1724850000001</c:v>
                </c:pt>
                <c:pt idx="159">
                  <c:v>1894.024048</c:v>
                </c:pt>
                <c:pt idx="160">
                  <c:v>1894.686279</c:v>
                </c:pt>
                <c:pt idx="161">
                  <c:v>1894.7485349999999</c:v>
                </c:pt>
                <c:pt idx="162">
                  <c:v>1894.8896480000001</c:v>
                </c:pt>
                <c:pt idx="163">
                  <c:v>1895.2851559999999</c:v>
                </c:pt>
                <c:pt idx="164">
                  <c:v>1895.015991</c:v>
                </c:pt>
                <c:pt idx="165">
                  <c:v>1895.450317</c:v>
                </c:pt>
                <c:pt idx="166">
                  <c:v>1895.3149410000001</c:v>
                </c:pt>
                <c:pt idx="167">
                  <c:v>1896.396606</c:v>
                </c:pt>
                <c:pt idx="168">
                  <c:v>1896.917236</c:v>
                </c:pt>
                <c:pt idx="169">
                  <c:v>1896.830933</c:v>
                </c:pt>
                <c:pt idx="170">
                  <c:v>1896.3826899999999</c:v>
                </c:pt>
                <c:pt idx="171">
                  <c:v>1896.8526609999999</c:v>
                </c:pt>
                <c:pt idx="172">
                  <c:v>1897.110107</c:v>
                </c:pt>
                <c:pt idx="173">
                  <c:v>1897.777832</c:v>
                </c:pt>
                <c:pt idx="174">
                  <c:v>1897.6513669999999</c:v>
                </c:pt>
                <c:pt idx="175">
                  <c:v>1897.7136230000001</c:v>
                </c:pt>
                <c:pt idx="176">
                  <c:v>1897.6345209999999</c:v>
                </c:pt>
                <c:pt idx="177">
                  <c:v>1897.8133539999999</c:v>
                </c:pt>
                <c:pt idx="178">
                  <c:v>1898.3988039999999</c:v>
                </c:pt>
                <c:pt idx="179">
                  <c:v>1899.028564</c:v>
                </c:pt>
                <c:pt idx="180">
                  <c:v>1899.2210689999999</c:v>
                </c:pt>
                <c:pt idx="181">
                  <c:v>1899.715942</c:v>
                </c:pt>
                <c:pt idx="182">
                  <c:v>1900.4895019999999</c:v>
                </c:pt>
                <c:pt idx="183">
                  <c:v>1900.873169</c:v>
                </c:pt>
                <c:pt idx="184">
                  <c:v>1901.02478</c:v>
                </c:pt>
                <c:pt idx="185">
                  <c:v>1901.452393</c:v>
                </c:pt>
                <c:pt idx="186">
                  <c:v>1901.3443600000001</c:v>
                </c:pt>
                <c:pt idx="187">
                  <c:v>1903.3927000000001</c:v>
                </c:pt>
                <c:pt idx="188">
                  <c:v>1903.3901370000001</c:v>
                </c:pt>
                <c:pt idx="189">
                  <c:v>1903.588135</c:v>
                </c:pt>
                <c:pt idx="190">
                  <c:v>1904.3111570000001</c:v>
                </c:pt>
                <c:pt idx="191">
                  <c:v>1904.762939</c:v>
                </c:pt>
                <c:pt idx="192">
                  <c:v>1904.9985349999999</c:v>
                </c:pt>
                <c:pt idx="193">
                  <c:v>1905.4724120000001</c:v>
                </c:pt>
                <c:pt idx="194">
                  <c:v>1906.3740230000001</c:v>
                </c:pt>
                <c:pt idx="195">
                  <c:v>1910.6967770000001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PANI_2ndPhase!$F$1:$F$51</c:f>
              <c:numCache>
                <c:formatCode>General</c:formatCode>
                <c:ptCount val="51"/>
                <c:pt idx="0">
                  <c:v>7.5954050765839778</c:v>
                </c:pt>
                <c:pt idx="1">
                  <c:v>7.5751782941340018</c:v>
                </c:pt>
                <c:pt idx="2">
                  <c:v>7.5694242010424553</c:v>
                </c:pt>
                <c:pt idx="3">
                  <c:v>7.5658459402859801</c:v>
                </c:pt>
                <c:pt idx="4">
                  <c:v>7.5627192937902938</c:v>
                </c:pt>
                <c:pt idx="5">
                  <c:v>7.5600837077249032</c:v>
                </c:pt>
                <c:pt idx="6">
                  <c:v>7.5580551633990414</c:v>
                </c:pt>
                <c:pt idx="7">
                  <c:v>7.5564254806760474</c:v>
                </c:pt>
                <c:pt idx="8">
                  <c:v>7.555012663086881</c:v>
                </c:pt>
                <c:pt idx="9">
                  <c:v>7.5540960901499608</c:v>
                </c:pt>
                <c:pt idx="10">
                  <c:v>7.5527395398886723</c:v>
                </c:pt>
                <c:pt idx="11">
                  <c:v>7.5519895917948743</c:v>
                </c:pt>
                <c:pt idx="12">
                  <c:v>7.5512278559463821</c:v>
                </c:pt>
                <c:pt idx="13">
                  <c:v>7.5503895321679222</c:v>
                </c:pt>
                <c:pt idx="14">
                  <c:v>7.5506298588063343</c:v>
                </c:pt>
                <c:pt idx="15">
                  <c:v>7.5527934656734752</c:v>
                </c:pt>
                <c:pt idx="16">
                  <c:v>7.5557420217384452</c:v>
                </c:pt>
                <c:pt idx="17">
                  <c:v>7.5524020209731351</c:v>
                </c:pt>
                <c:pt idx="18">
                  <c:v>7.5501363056652409</c:v>
                </c:pt>
                <c:pt idx="19">
                  <c:v>7.5487649172986329</c:v>
                </c:pt>
                <c:pt idx="20">
                  <c:v>7.5481134566136738</c:v>
                </c:pt>
                <c:pt idx="21">
                  <c:v>7.551191742218581</c:v>
                </c:pt>
                <c:pt idx="22">
                  <c:v>7.5511615290875937</c:v>
                </c:pt>
                <c:pt idx="23">
                  <c:v>7.5503864508844316</c:v>
                </c:pt>
                <c:pt idx="24">
                  <c:v>7.548306919706139</c:v>
                </c:pt>
                <c:pt idx="25">
                  <c:v>7.5470959871349779</c:v>
                </c:pt>
                <c:pt idx="26">
                  <c:v>7.5461807643727017</c:v>
                </c:pt>
                <c:pt idx="27">
                  <c:v>7.5461074613397425</c:v>
                </c:pt>
                <c:pt idx="28">
                  <c:v>7.5453408430247952</c:v>
                </c:pt>
                <c:pt idx="29">
                  <c:v>7.5452186303205897</c:v>
                </c:pt>
                <c:pt idx="30">
                  <c:v>7.544666098833404</c:v>
                </c:pt>
                <c:pt idx="31">
                  <c:v>7.5443574908003264</c:v>
                </c:pt>
                <c:pt idx="32">
                  <c:v>7.5438847397454394</c:v>
                </c:pt>
                <c:pt idx="33">
                  <c:v>7.543641493973297</c:v>
                </c:pt>
                <c:pt idx="34">
                  <c:v>7.5434200403945528</c:v>
                </c:pt>
                <c:pt idx="35">
                  <c:v>7.5431770046706337</c:v>
                </c:pt>
                <c:pt idx="36">
                  <c:v>7.5429524726673183</c:v>
                </c:pt>
                <c:pt idx="37">
                  <c:v>7.5457337068365327</c:v>
                </c:pt>
                <c:pt idx="38">
                  <c:v>7.5457322232020632</c:v>
                </c:pt>
                <c:pt idx="39">
                  <c:v>7.5450448994601702</c:v>
                </c:pt>
                <c:pt idx="40">
                  <c:v>7.544763007266778</c:v>
                </c:pt>
                <c:pt idx="41">
                  <c:v>7.5440808309836038</c:v>
                </c:pt>
                <c:pt idx="42">
                  <c:v>7.5435795101080716</c:v>
                </c:pt>
                <c:pt idx="43">
                  <c:v>7.5429760795386516</c:v>
                </c:pt>
                <c:pt idx="44">
                  <c:v>7.5442846995225139</c:v>
                </c:pt>
                <c:pt idx="45">
                  <c:v>7.5439773308419804</c:v>
                </c:pt>
                <c:pt idx="46">
                  <c:v>7.5431005065575834</c:v>
                </c:pt>
                <c:pt idx="47">
                  <c:v>7.542627484579703</c:v>
                </c:pt>
                <c:pt idx="48">
                  <c:v>7.5420663982971758</c:v>
                </c:pt>
                <c:pt idx="49">
                  <c:v>7.5420123443489429</c:v>
                </c:pt>
                <c:pt idx="50">
                  <c:v>7.5412370067634171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PANI_2ndPhase!$B$1:$B$51</c:f>
              <c:numCache>
                <c:formatCode>General</c:formatCode>
                <c:ptCount val="51"/>
                <c:pt idx="0">
                  <c:v>1989.0354</c:v>
                </c:pt>
                <c:pt idx="1">
                  <c:v>1949.207764</c:v>
                </c:pt>
                <c:pt idx="2">
                  <c:v>1938.024048</c:v>
                </c:pt>
                <c:pt idx="3">
                  <c:v>1931.1016850000001</c:v>
                </c:pt>
                <c:pt idx="4">
                  <c:v>1925.0732419999999</c:v>
                </c:pt>
                <c:pt idx="5">
                  <c:v>1920.006226</c:v>
                </c:pt>
                <c:pt idx="6">
                  <c:v>1916.115356</c:v>
                </c:pt>
                <c:pt idx="7">
                  <c:v>1912.9952390000001</c:v>
                </c:pt>
                <c:pt idx="8">
                  <c:v>1910.2944339999999</c:v>
                </c:pt>
                <c:pt idx="9">
                  <c:v>1908.544312</c:v>
                </c:pt>
                <c:pt idx="10">
                  <c:v>1905.9570309999999</c:v>
                </c:pt>
                <c:pt idx="11">
                  <c:v>1904.528198</c:v>
                </c:pt>
                <c:pt idx="12">
                  <c:v>1903.0780030000001</c:v>
                </c:pt>
                <c:pt idx="13">
                  <c:v>1901.4832759999999</c:v>
                </c:pt>
                <c:pt idx="14">
                  <c:v>1901.940308</c:v>
                </c:pt>
                <c:pt idx="15">
                  <c:v>1906.059814</c:v>
                </c:pt>
                <c:pt idx="16">
                  <c:v>1911.688232</c:v>
                </c:pt>
                <c:pt idx="17">
                  <c:v>1905.3138429999999</c:v>
                </c:pt>
                <c:pt idx="18">
                  <c:v>1901.001831</c:v>
                </c:pt>
                <c:pt idx="19">
                  <c:v>1898.396606</c:v>
                </c:pt>
                <c:pt idx="20">
                  <c:v>1897.1602780000001</c:v>
                </c:pt>
                <c:pt idx="21">
                  <c:v>1903.0092770000001</c:v>
                </c:pt>
                <c:pt idx="22">
                  <c:v>1902.9517820000001</c:v>
                </c:pt>
                <c:pt idx="23">
                  <c:v>1901.4774170000001</c:v>
                </c:pt>
                <c:pt idx="24">
                  <c:v>1897.5273440000001</c:v>
                </c:pt>
                <c:pt idx="25">
                  <c:v>1895.230957</c:v>
                </c:pt>
                <c:pt idx="26">
                  <c:v>1893.497192</c:v>
                </c:pt>
                <c:pt idx="27">
                  <c:v>1893.3583980000001</c:v>
                </c:pt>
                <c:pt idx="28">
                  <c:v>1891.907471</c:v>
                </c:pt>
                <c:pt idx="29">
                  <c:v>1891.6762699999999</c:v>
                </c:pt>
                <c:pt idx="30">
                  <c:v>1890.6313479999999</c:v>
                </c:pt>
                <c:pt idx="31">
                  <c:v>1890.0479740000001</c:v>
                </c:pt>
                <c:pt idx="32">
                  <c:v>1889.154663</c:v>
                </c:pt>
                <c:pt idx="33">
                  <c:v>1888.6951899999999</c:v>
                </c:pt>
                <c:pt idx="34">
                  <c:v>1888.2769780000001</c:v>
                </c:pt>
                <c:pt idx="35">
                  <c:v>1887.818115</c:v>
                </c:pt>
                <c:pt idx="36">
                  <c:v>1887.3942870000001</c:v>
                </c:pt>
                <c:pt idx="37">
                  <c:v>1892.650879</c:v>
                </c:pt>
                <c:pt idx="38">
                  <c:v>1892.6480710000001</c:v>
                </c:pt>
                <c:pt idx="39">
                  <c:v>1891.3476559999999</c:v>
                </c:pt>
                <c:pt idx="40">
                  <c:v>1890.8145750000001</c:v>
                </c:pt>
                <c:pt idx="41">
                  <c:v>1889.5251459999999</c:v>
                </c:pt>
                <c:pt idx="42">
                  <c:v>1888.578125</c:v>
                </c:pt>
                <c:pt idx="43">
                  <c:v>1887.4388429999999</c:v>
                </c:pt>
                <c:pt idx="44">
                  <c:v>1889.9104</c:v>
                </c:pt>
                <c:pt idx="45">
                  <c:v>1889.3295900000001</c:v>
                </c:pt>
                <c:pt idx="46">
                  <c:v>1887.673706</c:v>
                </c:pt>
                <c:pt idx="47">
                  <c:v>1886.7810059999999</c:v>
                </c:pt>
                <c:pt idx="48">
                  <c:v>1885.7226559999999</c:v>
                </c:pt>
                <c:pt idx="49">
                  <c:v>1885.6207280000001</c:v>
                </c:pt>
                <c:pt idx="50">
                  <c:v>1884.159302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Cu_3rdPhase!$F$1:$F$193</c:f>
              <c:numCache>
                <c:formatCode>General</c:formatCode>
                <c:ptCount val="193"/>
                <c:pt idx="0">
                  <c:v>7.6086011419899879</c:v>
                </c:pt>
                <c:pt idx="1">
                  <c:v>7.6048733252093559</c:v>
                </c:pt>
                <c:pt idx="2">
                  <c:v>7.6018747042589796</c:v>
                </c:pt>
                <c:pt idx="3">
                  <c:v>7.5993291400237561</c:v>
                </c:pt>
                <c:pt idx="4">
                  <c:v>7.5969388653704915</c:v>
                </c:pt>
                <c:pt idx="5">
                  <c:v>7.595736428552744</c:v>
                </c:pt>
                <c:pt idx="6">
                  <c:v>7.5941932354482855</c:v>
                </c:pt>
                <c:pt idx="7">
                  <c:v>7.5932970123091756</c:v>
                </c:pt>
                <c:pt idx="8">
                  <c:v>7.5923956147214833</c:v>
                </c:pt>
                <c:pt idx="9">
                  <c:v>7.5916408923267724</c:v>
                </c:pt>
                <c:pt idx="10">
                  <c:v>7.5907912102172315</c:v>
                </c:pt>
                <c:pt idx="11">
                  <c:v>7.5900568090248512</c:v>
                </c:pt>
                <c:pt idx="12">
                  <c:v>7.5895361662771261</c:v>
                </c:pt>
                <c:pt idx="13">
                  <c:v>7.5885861406102419</c:v>
                </c:pt>
                <c:pt idx="14">
                  <c:v>7.5878245786289664</c:v>
                </c:pt>
                <c:pt idx="15">
                  <c:v>7.5874320120717789</c:v>
                </c:pt>
                <c:pt idx="16">
                  <c:v>7.5867749982442509</c:v>
                </c:pt>
                <c:pt idx="17">
                  <c:v>7.5860530040916849</c:v>
                </c:pt>
                <c:pt idx="18">
                  <c:v>7.5847128471398433</c:v>
                </c:pt>
                <c:pt idx="19">
                  <c:v>7.5850701457798291</c:v>
                </c:pt>
                <c:pt idx="20">
                  <c:v>7.5850552634037989</c:v>
                </c:pt>
                <c:pt idx="21">
                  <c:v>7.5843998499429608</c:v>
                </c:pt>
                <c:pt idx="22">
                  <c:v>7.5830772324508375</c:v>
                </c:pt>
                <c:pt idx="23">
                  <c:v>7.5832376469008906</c:v>
                </c:pt>
                <c:pt idx="24">
                  <c:v>7.5831870156025181</c:v>
                </c:pt>
                <c:pt idx="25">
                  <c:v>7.58238265677456</c:v>
                </c:pt>
                <c:pt idx="26">
                  <c:v>7.5823196079169923</c:v>
                </c:pt>
                <c:pt idx="27">
                  <c:v>7.5815952598113965</c:v>
                </c:pt>
                <c:pt idx="28">
                  <c:v>7.5816591010859264</c:v>
                </c:pt>
                <c:pt idx="29">
                  <c:v>7.5813451464639092</c:v>
                </c:pt>
                <c:pt idx="30">
                  <c:v>7.5811226740050275</c:v>
                </c:pt>
                <c:pt idx="31">
                  <c:v>7.5809352081761041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Cu_3rdPhase!$B$1:$B$196</c:f>
              <c:numCache>
                <c:formatCode>General</c:formatCode>
                <c:ptCount val="196"/>
                <c:pt idx="0">
                  <c:v>2015.4567870000001</c:v>
                </c:pt>
                <c:pt idx="1">
                  <c:v>2007.9575199999999</c:v>
                </c:pt>
                <c:pt idx="2">
                  <c:v>2001.9454350000001</c:v>
                </c:pt>
                <c:pt idx="3">
                  <c:v>1996.8558350000001</c:v>
                </c:pt>
                <c:pt idx="4">
                  <c:v>1992.088501</c:v>
                </c:pt>
                <c:pt idx="5">
                  <c:v>1989.6945800000001</c:v>
                </c:pt>
                <c:pt idx="6">
                  <c:v>1986.6264650000001</c:v>
                </c:pt>
                <c:pt idx="7">
                  <c:v>1984.846802</c:v>
                </c:pt>
                <c:pt idx="8">
                  <c:v>1983.0584719999999</c:v>
                </c:pt>
                <c:pt idx="9">
                  <c:v>1981.5623780000001</c:v>
                </c:pt>
                <c:pt idx="10">
                  <c:v>1979.8793949999999</c:v>
                </c:pt>
                <c:pt idx="11">
                  <c:v>1978.4259030000001</c:v>
                </c:pt>
                <c:pt idx="12">
                  <c:v>1977.3961179999999</c:v>
                </c:pt>
                <c:pt idx="13">
                  <c:v>1975.518433</c:v>
                </c:pt>
                <c:pt idx="14">
                  <c:v>1974.0145259999999</c:v>
                </c:pt>
                <c:pt idx="15">
                  <c:v>1973.239746</c:v>
                </c:pt>
                <c:pt idx="16">
                  <c:v>1971.943726</c:v>
                </c:pt>
                <c:pt idx="17">
                  <c:v>1970.5205080000001</c:v>
                </c:pt>
                <c:pt idx="18">
                  <c:v>1967.88147</c:v>
                </c:pt>
                <c:pt idx="19">
                  <c:v>1968.584717</c:v>
                </c:pt>
                <c:pt idx="20">
                  <c:v>1968.5554199999999</c:v>
                </c:pt>
                <c:pt idx="21">
                  <c:v>1967.265625</c:v>
                </c:pt>
                <c:pt idx="22">
                  <c:v>1964.665405</c:v>
                </c:pt>
                <c:pt idx="23">
                  <c:v>1964.980591</c:v>
                </c:pt>
                <c:pt idx="24">
                  <c:v>1964.8811040000001</c:v>
                </c:pt>
                <c:pt idx="25">
                  <c:v>1963.3012699999999</c:v>
                </c:pt>
                <c:pt idx="26">
                  <c:v>1963.17749</c:v>
                </c:pt>
                <c:pt idx="27">
                  <c:v>1961.755981</c:v>
                </c:pt>
                <c:pt idx="28">
                  <c:v>1961.881226</c:v>
                </c:pt>
                <c:pt idx="29">
                  <c:v>1961.2653809999999</c:v>
                </c:pt>
                <c:pt idx="30">
                  <c:v>1960.8291019999999</c:v>
                </c:pt>
                <c:pt idx="31">
                  <c:v>1960.461548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PANI_3rdPhase!$F$1:$F$193</c:f>
              <c:numCache>
                <c:formatCode>General</c:formatCode>
                <c:ptCount val="193"/>
                <c:pt idx="0">
                  <c:v>7.7451707283767099</c:v>
                </c:pt>
                <c:pt idx="1">
                  <c:v>7.6789361265981819</c:v>
                </c:pt>
                <c:pt idx="2">
                  <c:v>7.6453922116086979</c:v>
                </c:pt>
                <c:pt idx="3">
                  <c:v>7.637232505470438</c:v>
                </c:pt>
                <c:pt idx="4">
                  <c:v>7.6321387355907957</c:v>
                </c:pt>
                <c:pt idx="5">
                  <c:v>7.6284688209093705</c:v>
                </c:pt>
                <c:pt idx="6">
                  <c:v>7.6254154638087224</c:v>
                </c:pt>
                <c:pt idx="7">
                  <c:v>7.6228551008615772</c:v>
                </c:pt>
                <c:pt idx="8">
                  <c:v>7.6201913019322225</c:v>
                </c:pt>
                <c:pt idx="9">
                  <c:v>7.6183477895164042</c:v>
                </c:pt>
                <c:pt idx="10">
                  <c:v>7.6164574258348878</c:v>
                </c:pt>
                <c:pt idx="11">
                  <c:v>7.6148884869959659</c:v>
                </c:pt>
                <c:pt idx="12">
                  <c:v>7.6138244690959471</c:v>
                </c:pt>
                <c:pt idx="13">
                  <c:v>7.6126415139324566</c:v>
                </c:pt>
                <c:pt idx="14">
                  <c:v>7.6115766105524436</c:v>
                </c:pt>
                <c:pt idx="15">
                  <c:v>7.6106653163874531</c:v>
                </c:pt>
                <c:pt idx="16">
                  <c:v>7.6093753133247315</c:v>
                </c:pt>
                <c:pt idx="17">
                  <c:v>7.6092364704972946</c:v>
                </c:pt>
                <c:pt idx="18">
                  <c:v>7.6084055518135081</c:v>
                </c:pt>
                <c:pt idx="19">
                  <c:v>7.6074700789379897</c:v>
                </c:pt>
                <c:pt idx="20">
                  <c:v>7.6068642059633715</c:v>
                </c:pt>
                <c:pt idx="21">
                  <c:v>7.606462595795926</c:v>
                </c:pt>
                <c:pt idx="22">
                  <c:v>7.6059402246675161</c:v>
                </c:pt>
                <c:pt idx="23">
                  <c:v>7.6055525197345979</c:v>
                </c:pt>
                <c:pt idx="24">
                  <c:v>7.6048502233581692</c:v>
                </c:pt>
                <c:pt idx="25">
                  <c:v>7.6044533984893521</c:v>
                </c:pt>
                <c:pt idx="26">
                  <c:v>7.6040363378118192</c:v>
                </c:pt>
                <c:pt idx="27">
                  <c:v>7.6036691975901034</c:v>
                </c:pt>
                <c:pt idx="28">
                  <c:v>7.6034219878632516</c:v>
                </c:pt>
                <c:pt idx="29">
                  <c:v>7.6030062629948798</c:v>
                </c:pt>
                <c:pt idx="30">
                  <c:v>7.6029933506050655</c:v>
                </c:pt>
                <c:pt idx="31">
                  <c:v>7.6027296467184176</c:v>
                </c:pt>
                <c:pt idx="32">
                  <c:v>7.602210624521045</c:v>
                </c:pt>
                <c:pt idx="33">
                  <c:v>7.6019748213565679</c:v>
                </c:pt>
                <c:pt idx="34">
                  <c:v>7.6019259226250195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PANI_3rdPhase!$B$1:$B$196</c:f>
              <c:numCache>
                <c:formatCode>General</c:formatCode>
                <c:ptCount val="196"/>
                <c:pt idx="0">
                  <c:v>2310.3879390000002</c:v>
                </c:pt>
                <c:pt idx="1">
                  <c:v>2162.318115</c:v>
                </c:pt>
                <c:pt idx="2">
                  <c:v>2090.9885250000002</c:v>
                </c:pt>
                <c:pt idx="3">
                  <c:v>2073.9960940000001</c:v>
                </c:pt>
                <c:pt idx="4">
                  <c:v>2063.4584960000002</c:v>
                </c:pt>
                <c:pt idx="5">
                  <c:v>2055.8996579999998</c:v>
                </c:pt>
                <c:pt idx="6">
                  <c:v>2049.631836</c:v>
                </c:pt>
                <c:pt idx="7">
                  <c:v>2044.3907469999999</c:v>
                </c:pt>
                <c:pt idx="8">
                  <c:v>2038.9521480000001</c:v>
                </c:pt>
                <c:pt idx="9">
                  <c:v>2035.1967770000001</c:v>
                </c:pt>
                <c:pt idx="10">
                  <c:v>2031.353149</c:v>
                </c:pt>
                <c:pt idx="11">
                  <c:v>2028.1685789999999</c:v>
                </c:pt>
                <c:pt idx="12">
                  <c:v>2026.0117190000001</c:v>
                </c:pt>
                <c:pt idx="13">
                  <c:v>2023.6164550000001</c:v>
                </c:pt>
                <c:pt idx="14">
                  <c:v>2021.4626459999999</c:v>
                </c:pt>
                <c:pt idx="15">
                  <c:v>2019.6213379999999</c:v>
                </c:pt>
                <c:pt idx="16">
                  <c:v>2017.0177000000001</c:v>
                </c:pt>
                <c:pt idx="17">
                  <c:v>2016.7376710000001</c:v>
                </c:pt>
                <c:pt idx="18">
                  <c:v>2015.0626219999999</c:v>
                </c:pt>
                <c:pt idx="19">
                  <c:v>2013.178467</c:v>
                </c:pt>
                <c:pt idx="20">
                  <c:v>2011.959106</c:v>
                </c:pt>
                <c:pt idx="21">
                  <c:v>2011.151245</c:v>
                </c:pt>
                <c:pt idx="22">
                  <c:v>2010.100952</c:v>
                </c:pt>
                <c:pt idx="23">
                  <c:v>2009.3217770000001</c:v>
                </c:pt>
                <c:pt idx="24">
                  <c:v>2007.9111330000001</c:v>
                </c:pt>
                <c:pt idx="25">
                  <c:v>2007.1145019999999</c:v>
                </c:pt>
                <c:pt idx="26">
                  <c:v>2006.2775879999999</c:v>
                </c:pt>
                <c:pt idx="27">
                  <c:v>2005.541138</c:v>
                </c:pt>
                <c:pt idx="28">
                  <c:v>2005.0454099999999</c:v>
                </c:pt>
                <c:pt idx="29">
                  <c:v>2004.2120359999999</c:v>
                </c:pt>
                <c:pt idx="30">
                  <c:v>2004.1861570000001</c:v>
                </c:pt>
                <c:pt idx="31">
                  <c:v>2003.6577150000001</c:v>
                </c:pt>
                <c:pt idx="32">
                  <c:v>2002.6180420000001</c:v>
                </c:pt>
                <c:pt idx="33">
                  <c:v>2002.145874</c:v>
                </c:pt>
                <c:pt idx="34">
                  <c:v>2002.0479740000001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77010</xdr:rowOff>
    </xdr:from>
    <xdr:to>
      <xdr:col>12</xdr:col>
      <xdr:colOff>561975</xdr:colOff>
      <xdr:row>33</xdr:row>
      <xdr:rowOff>152631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5</xdr:row>
      <xdr:rowOff>0</xdr:rowOff>
    </xdr:from>
    <xdr:to>
      <xdr:col>18</xdr:col>
      <xdr:colOff>198905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552682</xdr:colOff>
      <xdr:row>19</xdr:row>
      <xdr:rowOff>76432</xdr:rowOff>
    </xdr:from>
    <xdr:to>
      <xdr:col>18</xdr:col>
      <xdr:colOff>199137</xdr:colOff>
      <xdr:row>33</xdr:row>
      <xdr:rowOff>152632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866</xdr:colOff>
      <xdr:row>19</xdr:row>
      <xdr:rowOff>77066</xdr:rowOff>
    </xdr:from>
    <xdr:to>
      <xdr:col>13</xdr:col>
      <xdr:colOff>250758</xdr:colOff>
      <xdr:row>33</xdr:row>
      <xdr:rowOff>153266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760639</xdr:colOff>
      <xdr:row>19</xdr:row>
      <xdr:rowOff>69396</xdr:rowOff>
    </xdr:from>
    <xdr:to>
      <xdr:col>12</xdr:col>
      <xdr:colOff>551089</xdr:colOff>
      <xdr:row>33</xdr:row>
      <xdr:rowOff>145596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549729</xdr:colOff>
      <xdr:row>4</xdr:row>
      <xdr:rowOff>185057</xdr:rowOff>
    </xdr:from>
    <xdr:to>
      <xdr:col>18</xdr:col>
      <xdr:colOff>194823</xdr:colOff>
      <xdr:row>19</xdr:row>
      <xdr:rowOff>70757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548368</xdr:colOff>
      <xdr:row>19</xdr:row>
      <xdr:rowOff>69396</xdr:rowOff>
    </xdr:from>
    <xdr:to>
      <xdr:col>18</xdr:col>
      <xdr:colOff>193462</xdr:colOff>
      <xdr:row>33</xdr:row>
      <xdr:rowOff>145596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761499</xdr:colOff>
      <xdr:row>19</xdr:row>
      <xdr:rowOff>75698</xdr:rowOff>
    </xdr:from>
    <xdr:to>
      <xdr:col>13</xdr:col>
      <xdr:colOff>249391</xdr:colOff>
      <xdr:row>33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4329</xdr:colOff>
      <xdr:row>5</xdr:row>
      <xdr:rowOff>4330</xdr:rowOff>
    </xdr:from>
    <xdr:to>
      <xdr:col>12</xdr:col>
      <xdr:colOff>556779</xdr:colOff>
      <xdr:row>19</xdr:row>
      <xdr:rowOff>80530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5195</xdr:colOff>
      <xdr:row>19</xdr:row>
      <xdr:rowOff>81396</xdr:rowOff>
    </xdr:from>
    <xdr:to>
      <xdr:col>12</xdr:col>
      <xdr:colOff>557645</xdr:colOff>
      <xdr:row>33</xdr:row>
      <xdr:rowOff>157596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2956</xdr:colOff>
      <xdr:row>19</xdr:row>
      <xdr:rowOff>79156</xdr:rowOff>
    </xdr:from>
    <xdr:to>
      <xdr:col>13</xdr:col>
      <xdr:colOff>252848</xdr:colOff>
      <xdr:row>33</xdr:row>
      <xdr:rowOff>155356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topLeftCell="A40" zoomScale="85" zoomScaleNormal="85" workbookViewId="0">
      <selection sqref="A1:D118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3.85546875" bestFit="1" customWidth="1"/>
    <col min="14" max="14" width="16.7109375" bestFit="1" customWidth="1"/>
  </cols>
  <sheetData>
    <row r="1" spans="1:13" x14ac:dyDescent="0.25">
      <c r="A1">
        <v>1000</v>
      </c>
      <c r="B1">
        <v>2122.9262699999999</v>
      </c>
      <c r="C1">
        <v>-18.802696000000001</v>
      </c>
      <c r="D1" t="s">
        <v>459</v>
      </c>
      <c r="E1">
        <v>50</v>
      </c>
      <c r="F1">
        <f t="shared" ref="F1:F32" si="0">LN(B1)</f>
        <v>7.6605507319433315</v>
      </c>
      <c r="I1" s="1" t="s">
        <v>194</v>
      </c>
      <c r="J1" s="1" t="s">
        <v>195</v>
      </c>
      <c r="M1" t="s">
        <v>704</v>
      </c>
    </row>
    <row r="2" spans="1:13" x14ac:dyDescent="0.25">
      <c r="A2">
        <v>1000</v>
      </c>
      <c r="B2">
        <v>2119.203125</v>
      </c>
      <c r="C2">
        <v>-18.649439000000001</v>
      </c>
      <c r="D2" t="s">
        <v>460</v>
      </c>
      <c r="E2">
        <v>60</v>
      </c>
      <c r="F2">
        <f t="shared" si="0"/>
        <v>7.6587954125698339</v>
      </c>
      <c r="H2" t="s">
        <v>197</v>
      </c>
      <c r="I2">
        <f>1/(0.00008)</f>
        <v>12499.999999999998</v>
      </c>
      <c r="J2">
        <f>1/(0.0001)</f>
        <v>10000</v>
      </c>
      <c r="K2" s="3" t="s">
        <v>577</v>
      </c>
      <c r="M2">
        <v>1478</v>
      </c>
    </row>
    <row r="3" spans="1:13" x14ac:dyDescent="0.25">
      <c r="A3">
        <v>1000</v>
      </c>
      <c r="B3">
        <v>2115.4089359999998</v>
      </c>
      <c r="C3">
        <v>-18.522385</v>
      </c>
      <c r="D3" t="s">
        <v>461</v>
      </c>
      <c r="E3">
        <v>70</v>
      </c>
      <c r="F3">
        <f t="shared" si="0"/>
        <v>7.6570034231452171</v>
      </c>
      <c r="I3">
        <f>I2/60</f>
        <v>208.33333333333331</v>
      </c>
      <c r="J3">
        <f>J2/60</f>
        <v>166.66666666666666</v>
      </c>
      <c r="K3" s="3" t="s">
        <v>578</v>
      </c>
    </row>
    <row r="4" spans="1:13" x14ac:dyDescent="0.25">
      <c r="A4">
        <v>1000</v>
      </c>
      <c r="B4">
        <v>2112.3813479999999</v>
      </c>
      <c r="C4">
        <v>-18.460611</v>
      </c>
      <c r="D4" t="s">
        <v>462</v>
      </c>
      <c r="E4">
        <v>80</v>
      </c>
      <c r="F4">
        <f t="shared" si="0"/>
        <v>7.6555711910267057</v>
      </c>
      <c r="I4">
        <f>I3/60</f>
        <v>3.4722222222222219</v>
      </c>
      <c r="J4">
        <f>J3/60</f>
        <v>2.7777777777777777</v>
      </c>
      <c r="K4" s="3" t="s">
        <v>579</v>
      </c>
    </row>
    <row r="5" spans="1:13" x14ac:dyDescent="0.25">
      <c r="A5">
        <v>1000</v>
      </c>
      <c r="B5">
        <v>2109.8793949999999</v>
      </c>
      <c r="C5">
        <v>-18.377174</v>
      </c>
      <c r="D5" t="s">
        <v>463</v>
      </c>
      <c r="E5">
        <v>90</v>
      </c>
      <c r="F5">
        <f t="shared" si="0"/>
        <v>7.6543860660687146</v>
      </c>
    </row>
    <row r="6" spans="1:13" x14ac:dyDescent="0.25">
      <c r="A6">
        <v>1000</v>
      </c>
      <c r="B6">
        <v>2105.8591310000002</v>
      </c>
      <c r="C6">
        <v>-18.246378</v>
      </c>
      <c r="D6" t="s">
        <v>464</v>
      </c>
      <c r="E6">
        <v>100</v>
      </c>
      <c r="F6">
        <f t="shared" si="0"/>
        <v>7.6524788010930047</v>
      </c>
    </row>
    <row r="7" spans="1:13" x14ac:dyDescent="0.25">
      <c r="A7">
        <v>1000</v>
      </c>
      <c r="B7">
        <v>2104.2700199999999</v>
      </c>
      <c r="C7">
        <v>-18.232140999999999</v>
      </c>
      <c r="D7" t="s">
        <v>465</v>
      </c>
      <c r="E7">
        <v>110</v>
      </c>
      <c r="F7">
        <f t="shared" si="0"/>
        <v>7.6517239021250774</v>
      </c>
    </row>
    <row r="8" spans="1:13" x14ac:dyDescent="0.25">
      <c r="A8">
        <v>1000</v>
      </c>
      <c r="B8">
        <v>2102.056885</v>
      </c>
      <c r="C8">
        <v>-18.150808000000001</v>
      </c>
      <c r="D8" t="s">
        <v>466</v>
      </c>
      <c r="E8">
        <v>120</v>
      </c>
      <c r="F8">
        <f t="shared" si="0"/>
        <v>7.6506716133923165</v>
      </c>
    </row>
    <row r="9" spans="1:13" x14ac:dyDescent="0.25">
      <c r="A9">
        <v>1000</v>
      </c>
      <c r="B9">
        <v>2098.9270019999999</v>
      </c>
      <c r="C9">
        <v>-18.056334</v>
      </c>
      <c r="D9" t="s">
        <v>467</v>
      </c>
      <c r="E9">
        <v>130</v>
      </c>
      <c r="F9">
        <f t="shared" si="0"/>
        <v>7.64918154170278</v>
      </c>
    </row>
    <row r="10" spans="1:13" x14ac:dyDescent="0.25">
      <c r="A10">
        <v>1000</v>
      </c>
      <c r="B10">
        <v>2095.6994629999999</v>
      </c>
      <c r="C10">
        <v>-17.969017000000001</v>
      </c>
      <c r="D10" t="s">
        <v>468</v>
      </c>
      <c r="E10">
        <v>140</v>
      </c>
      <c r="F10">
        <f t="shared" si="0"/>
        <v>7.6476426491868992</v>
      </c>
    </row>
    <row r="11" spans="1:13" x14ac:dyDescent="0.25">
      <c r="A11">
        <v>1000</v>
      </c>
      <c r="B11">
        <v>2092.4433589999999</v>
      </c>
      <c r="C11">
        <v>-17.842358000000001</v>
      </c>
      <c r="D11" t="s">
        <v>469</v>
      </c>
      <c r="E11">
        <v>150</v>
      </c>
      <c r="F11">
        <f t="shared" si="0"/>
        <v>7.646087733419014</v>
      </c>
    </row>
    <row r="12" spans="1:13" x14ac:dyDescent="0.25">
      <c r="A12">
        <v>1000</v>
      </c>
      <c r="B12">
        <v>2088.4584960000002</v>
      </c>
      <c r="C12">
        <v>-17.718596000000002</v>
      </c>
      <c r="D12" t="s">
        <v>470</v>
      </c>
      <c r="E12">
        <v>160</v>
      </c>
      <c r="F12">
        <f t="shared" si="0"/>
        <v>7.6441815111039038</v>
      </c>
    </row>
    <row r="13" spans="1:13" x14ac:dyDescent="0.25">
      <c r="A13">
        <v>1000</v>
      </c>
      <c r="B13">
        <v>2084.6674800000001</v>
      </c>
      <c r="C13">
        <v>-17.596485000000001</v>
      </c>
      <c r="D13" t="s">
        <v>471</v>
      </c>
      <c r="E13">
        <v>170</v>
      </c>
      <c r="F13">
        <f t="shared" si="0"/>
        <v>7.6423646394999043</v>
      </c>
    </row>
    <row r="14" spans="1:13" x14ac:dyDescent="0.25">
      <c r="A14">
        <v>1000</v>
      </c>
      <c r="B14">
        <v>2080.9260250000002</v>
      </c>
      <c r="C14">
        <v>-17.463514</v>
      </c>
      <c r="D14" t="s">
        <v>472</v>
      </c>
      <c r="E14">
        <v>180</v>
      </c>
      <c r="F14">
        <f t="shared" si="0"/>
        <v>7.6405682779482449</v>
      </c>
    </row>
    <row r="15" spans="1:13" x14ac:dyDescent="0.25">
      <c r="A15">
        <v>1000</v>
      </c>
      <c r="B15">
        <v>2077.6218260000001</v>
      </c>
      <c r="C15">
        <v>-17.404173</v>
      </c>
      <c r="D15" t="s">
        <v>473</v>
      </c>
      <c r="E15">
        <v>190</v>
      </c>
      <c r="F15">
        <f t="shared" si="0"/>
        <v>7.6389791656841934</v>
      </c>
    </row>
    <row r="16" spans="1:13" x14ac:dyDescent="0.25">
      <c r="A16">
        <v>1000</v>
      </c>
      <c r="B16">
        <v>2077.2211910000001</v>
      </c>
      <c r="C16">
        <v>-17.395907999999999</v>
      </c>
      <c r="D16" t="s">
        <v>474</v>
      </c>
      <c r="E16">
        <v>200</v>
      </c>
      <c r="F16">
        <f t="shared" si="0"/>
        <v>7.6387863136319725</v>
      </c>
    </row>
    <row r="17" spans="1:6" x14ac:dyDescent="0.25">
      <c r="A17">
        <v>1000</v>
      </c>
      <c r="B17">
        <v>2077.2136230000001</v>
      </c>
      <c r="C17">
        <v>-17.458841</v>
      </c>
      <c r="D17" t="s">
        <v>475</v>
      </c>
      <c r="E17">
        <v>210</v>
      </c>
      <c r="F17">
        <f t="shared" si="0"/>
        <v>7.6387826702964343</v>
      </c>
    </row>
    <row r="18" spans="1:6" x14ac:dyDescent="0.25">
      <c r="A18">
        <v>1000</v>
      </c>
      <c r="B18">
        <v>2074.1940920000002</v>
      </c>
      <c r="C18">
        <v>-17.419622</v>
      </c>
      <c r="D18" t="s">
        <v>476</v>
      </c>
      <c r="E18">
        <v>220</v>
      </c>
      <c r="F18">
        <f t="shared" si="0"/>
        <v>7.6373279678245112</v>
      </c>
    </row>
    <row r="19" spans="1:6" x14ac:dyDescent="0.25">
      <c r="A19">
        <v>1000</v>
      </c>
      <c r="B19">
        <v>2072.4716800000001</v>
      </c>
      <c r="C19">
        <v>-17.313016999999999</v>
      </c>
      <c r="D19" t="s">
        <v>477</v>
      </c>
      <c r="E19">
        <v>230</v>
      </c>
      <c r="F19">
        <f t="shared" si="0"/>
        <v>7.6364972222598757</v>
      </c>
    </row>
    <row r="20" spans="1:6" x14ac:dyDescent="0.25">
      <c r="A20">
        <v>1000</v>
      </c>
      <c r="B20">
        <v>2070.5285640000002</v>
      </c>
      <c r="C20">
        <v>-17.276326999999998</v>
      </c>
      <c r="D20" t="s">
        <v>478</v>
      </c>
      <c r="E20">
        <v>240</v>
      </c>
      <c r="F20">
        <f t="shared" si="0"/>
        <v>7.6355591985919835</v>
      </c>
    </row>
    <row r="21" spans="1:6" x14ac:dyDescent="0.25">
      <c r="A21">
        <v>1000</v>
      </c>
      <c r="B21">
        <v>2067.8991700000001</v>
      </c>
      <c r="C21">
        <v>-17.176645000000001</v>
      </c>
      <c r="D21" t="s">
        <v>479</v>
      </c>
      <c r="E21">
        <v>250</v>
      </c>
      <c r="F21">
        <f t="shared" si="0"/>
        <v>7.6342884771862618</v>
      </c>
    </row>
    <row r="22" spans="1:6" x14ac:dyDescent="0.25">
      <c r="A22">
        <v>1000</v>
      </c>
      <c r="B22">
        <v>2064.8229980000001</v>
      </c>
      <c r="C22">
        <v>-17.124476999999999</v>
      </c>
      <c r="D22" t="s">
        <v>480</v>
      </c>
      <c r="E22">
        <v>260</v>
      </c>
      <c r="F22">
        <f t="shared" si="0"/>
        <v>7.6327997864671335</v>
      </c>
    </row>
    <row r="23" spans="1:6" x14ac:dyDescent="0.25">
      <c r="A23">
        <v>1000</v>
      </c>
      <c r="B23">
        <v>2062.4038089999999</v>
      </c>
      <c r="C23">
        <v>-17.031969</v>
      </c>
      <c r="D23" t="s">
        <v>481</v>
      </c>
      <c r="E23">
        <v>270</v>
      </c>
      <c r="F23">
        <f t="shared" si="0"/>
        <v>7.6316274790606418</v>
      </c>
    </row>
    <row r="24" spans="1:6" x14ac:dyDescent="0.25">
      <c r="A24">
        <v>1000</v>
      </c>
      <c r="B24">
        <v>2060.0107419999999</v>
      </c>
      <c r="C24">
        <v>-16.964884000000001</v>
      </c>
      <c r="D24" t="s">
        <v>482</v>
      </c>
      <c r="E24">
        <v>280</v>
      </c>
      <c r="F24">
        <f t="shared" si="0"/>
        <v>7.6304664763331376</v>
      </c>
    </row>
    <row r="25" spans="1:6" x14ac:dyDescent="0.25">
      <c r="A25">
        <v>1000</v>
      </c>
      <c r="B25">
        <v>2057.1125489999999</v>
      </c>
      <c r="C25">
        <v>-16.886309000000001</v>
      </c>
      <c r="D25" t="s">
        <v>483</v>
      </c>
      <c r="E25">
        <v>290</v>
      </c>
      <c r="F25">
        <f t="shared" si="0"/>
        <v>7.6290586032752454</v>
      </c>
    </row>
    <row r="26" spans="1:6" x14ac:dyDescent="0.25">
      <c r="A26">
        <v>1000</v>
      </c>
      <c r="B26">
        <v>2054.8911130000001</v>
      </c>
      <c r="C26">
        <v>-16.809508999999998</v>
      </c>
      <c r="D26" t="s">
        <v>484</v>
      </c>
      <c r="E26">
        <v>300</v>
      </c>
      <c r="F26">
        <f t="shared" si="0"/>
        <v>7.6279781391518116</v>
      </c>
    </row>
    <row r="27" spans="1:6" x14ac:dyDescent="0.25">
      <c r="A27">
        <v>1000</v>
      </c>
      <c r="B27">
        <v>2052.8632809999999</v>
      </c>
      <c r="C27">
        <v>-16.751439999999999</v>
      </c>
      <c r="D27" t="s">
        <v>485</v>
      </c>
      <c r="E27">
        <v>310</v>
      </c>
      <c r="F27">
        <f t="shared" si="0"/>
        <v>7.6269908200619998</v>
      </c>
    </row>
    <row r="28" spans="1:6" x14ac:dyDescent="0.25">
      <c r="A28">
        <v>1000</v>
      </c>
      <c r="B28">
        <v>2049.7561040000001</v>
      </c>
      <c r="C28">
        <v>-16.666758999999999</v>
      </c>
      <c r="D28" t="s">
        <v>486</v>
      </c>
      <c r="E28">
        <v>320</v>
      </c>
      <c r="F28">
        <f t="shared" si="0"/>
        <v>7.6254760913959903</v>
      </c>
    </row>
    <row r="29" spans="1:6" x14ac:dyDescent="0.25">
      <c r="A29">
        <v>1000</v>
      </c>
      <c r="B29">
        <v>2048.289307</v>
      </c>
      <c r="C29">
        <v>-16.611405999999999</v>
      </c>
      <c r="D29" t="s">
        <v>487</v>
      </c>
      <c r="E29">
        <v>330</v>
      </c>
      <c r="F29">
        <f t="shared" si="0"/>
        <v>7.6247602393662879</v>
      </c>
    </row>
    <row r="30" spans="1:6" x14ac:dyDescent="0.25">
      <c r="A30">
        <v>1000</v>
      </c>
      <c r="B30">
        <v>2044.7392580000001</v>
      </c>
      <c r="C30">
        <v>-16.511071999999999</v>
      </c>
      <c r="D30" t="s">
        <v>488</v>
      </c>
      <c r="E30">
        <v>340</v>
      </c>
      <c r="F30">
        <f t="shared" si="0"/>
        <v>7.623025558147317</v>
      </c>
    </row>
    <row r="31" spans="1:6" x14ac:dyDescent="0.25">
      <c r="A31">
        <v>1000</v>
      </c>
      <c r="B31">
        <v>2042.057861</v>
      </c>
      <c r="C31">
        <v>-16.405272</v>
      </c>
      <c r="D31" t="s">
        <v>489</v>
      </c>
      <c r="E31">
        <v>350</v>
      </c>
      <c r="F31">
        <f t="shared" si="0"/>
        <v>7.6217133337786054</v>
      </c>
    </row>
    <row r="32" spans="1:6" x14ac:dyDescent="0.25">
      <c r="A32">
        <v>1000</v>
      </c>
      <c r="B32">
        <v>2039.2945560000001</v>
      </c>
      <c r="C32">
        <v>-16.312477000000001</v>
      </c>
      <c r="D32" t="s">
        <v>490</v>
      </c>
      <c r="E32">
        <v>360</v>
      </c>
      <c r="F32">
        <f t="shared" si="0"/>
        <v>7.6203592211512676</v>
      </c>
    </row>
    <row r="33" spans="1:6" x14ac:dyDescent="0.25">
      <c r="A33">
        <v>1000</v>
      </c>
      <c r="B33">
        <v>2036.3819579999999</v>
      </c>
      <c r="C33">
        <v>-16.251455</v>
      </c>
      <c r="D33" t="s">
        <v>491</v>
      </c>
      <c r="E33">
        <v>370</v>
      </c>
      <c r="F33">
        <f t="shared" ref="F33:F64" si="1">LN(B33)</f>
        <v>7.6189299622364288</v>
      </c>
    </row>
    <row r="34" spans="1:6" x14ac:dyDescent="0.25">
      <c r="A34">
        <v>1000</v>
      </c>
      <c r="B34">
        <v>2035.5817870000001</v>
      </c>
      <c r="C34">
        <v>-16.203112000000001</v>
      </c>
      <c r="D34" t="s">
        <v>492</v>
      </c>
      <c r="E34">
        <v>380</v>
      </c>
      <c r="F34">
        <f t="shared" si="1"/>
        <v>7.6185369474355076</v>
      </c>
    </row>
    <row r="35" spans="1:6" x14ac:dyDescent="0.25">
      <c r="A35">
        <v>1000</v>
      </c>
      <c r="B35">
        <v>2032.951294</v>
      </c>
      <c r="C35">
        <v>-16.120246999999999</v>
      </c>
      <c r="D35" t="s">
        <v>493</v>
      </c>
      <c r="E35">
        <v>390</v>
      </c>
      <c r="F35">
        <f t="shared" si="1"/>
        <v>7.6172438556433733</v>
      </c>
    </row>
    <row r="36" spans="1:6" x14ac:dyDescent="0.25">
      <c r="A36">
        <v>1000</v>
      </c>
      <c r="B36">
        <v>2031.1632079999999</v>
      </c>
      <c r="C36">
        <v>-16.082806000000001</v>
      </c>
      <c r="D36" t="s">
        <v>494</v>
      </c>
      <c r="E36">
        <v>400</v>
      </c>
      <c r="F36">
        <f t="shared" si="1"/>
        <v>7.6163639167959341</v>
      </c>
    </row>
    <row r="37" spans="1:6" x14ac:dyDescent="0.25">
      <c r="A37">
        <v>1000</v>
      </c>
      <c r="B37">
        <v>2028.1842039999999</v>
      </c>
      <c r="C37">
        <v>-15.981336000000001</v>
      </c>
      <c r="D37" t="s">
        <v>495</v>
      </c>
      <c r="E37">
        <v>410</v>
      </c>
      <c r="F37">
        <f t="shared" si="1"/>
        <v>7.6148961909609989</v>
      </c>
    </row>
    <row r="38" spans="1:6" x14ac:dyDescent="0.25">
      <c r="A38">
        <v>1000</v>
      </c>
      <c r="B38">
        <v>2025.501221</v>
      </c>
      <c r="C38">
        <v>-15.916817999999999</v>
      </c>
      <c r="D38" t="s">
        <v>496</v>
      </c>
      <c r="E38">
        <v>420</v>
      </c>
      <c r="F38">
        <f t="shared" si="1"/>
        <v>7.6135724654566834</v>
      </c>
    </row>
    <row r="39" spans="1:6" x14ac:dyDescent="0.25">
      <c r="A39">
        <v>1000</v>
      </c>
      <c r="B39">
        <v>2022.406982</v>
      </c>
      <c r="C39">
        <v>-15.789339</v>
      </c>
      <c r="D39" t="s">
        <v>497</v>
      </c>
      <c r="E39">
        <v>430</v>
      </c>
      <c r="F39">
        <f t="shared" si="1"/>
        <v>7.6120436562804397</v>
      </c>
    </row>
    <row r="40" spans="1:6" x14ac:dyDescent="0.25">
      <c r="A40">
        <v>1000</v>
      </c>
      <c r="B40">
        <v>2020.505249</v>
      </c>
      <c r="C40">
        <v>-15.718522999999999</v>
      </c>
      <c r="D40" t="s">
        <v>498</v>
      </c>
      <c r="E40">
        <v>440</v>
      </c>
      <c r="F40">
        <f t="shared" si="1"/>
        <v>7.6111028823869677</v>
      </c>
    </row>
    <row r="41" spans="1:6" x14ac:dyDescent="0.25">
      <c r="A41">
        <v>1000</v>
      </c>
      <c r="B41">
        <v>2018.4385990000001</v>
      </c>
      <c r="C41">
        <v>-15.660698999999999</v>
      </c>
      <c r="D41" t="s">
        <v>499</v>
      </c>
      <c r="E41">
        <v>450</v>
      </c>
      <c r="F41">
        <f t="shared" si="1"/>
        <v>7.6100795207072132</v>
      </c>
    </row>
    <row r="42" spans="1:6" x14ac:dyDescent="0.25">
      <c r="A42">
        <v>1000</v>
      </c>
      <c r="B42">
        <v>2017.2535399999999</v>
      </c>
      <c r="C42">
        <v>-15.595881</v>
      </c>
      <c r="D42" t="s">
        <v>500</v>
      </c>
      <c r="E42">
        <v>460</v>
      </c>
      <c r="F42">
        <f t="shared" si="1"/>
        <v>7.6094922315913713</v>
      </c>
    </row>
    <row r="43" spans="1:6" x14ac:dyDescent="0.25">
      <c r="A43">
        <v>1000</v>
      </c>
      <c r="B43">
        <v>2015.4094239999999</v>
      </c>
      <c r="C43">
        <v>-15.540350999999999</v>
      </c>
      <c r="D43" t="s">
        <v>501</v>
      </c>
      <c r="E43">
        <v>470</v>
      </c>
      <c r="F43">
        <f t="shared" si="1"/>
        <v>7.6085776418302089</v>
      </c>
    </row>
    <row r="44" spans="1:6" x14ac:dyDescent="0.25">
      <c r="A44">
        <v>1000</v>
      </c>
      <c r="B44">
        <v>2013.6427000000001</v>
      </c>
      <c r="C44">
        <v>-15.483128000000001</v>
      </c>
      <c r="D44" t="s">
        <v>502</v>
      </c>
      <c r="E44">
        <v>480</v>
      </c>
      <c r="F44">
        <f t="shared" si="1"/>
        <v>7.6077006493968229</v>
      </c>
    </row>
    <row r="45" spans="1:6" x14ac:dyDescent="0.25">
      <c r="A45">
        <v>1000</v>
      </c>
      <c r="B45">
        <v>2011.892578</v>
      </c>
      <c r="C45">
        <v>-15.41398</v>
      </c>
      <c r="D45" t="s">
        <v>503</v>
      </c>
      <c r="E45">
        <v>490</v>
      </c>
      <c r="F45">
        <f t="shared" si="1"/>
        <v>7.6068311391382339</v>
      </c>
    </row>
    <row r="46" spans="1:6" x14ac:dyDescent="0.25">
      <c r="A46">
        <v>1000</v>
      </c>
      <c r="B46">
        <v>2009.88562</v>
      </c>
      <c r="C46">
        <v>-15.333847</v>
      </c>
      <c r="D46" t="s">
        <v>504</v>
      </c>
      <c r="E46">
        <v>500</v>
      </c>
      <c r="F46">
        <f t="shared" si="1"/>
        <v>7.6058330939613068</v>
      </c>
    </row>
    <row r="47" spans="1:6" x14ac:dyDescent="0.25">
      <c r="A47">
        <v>1000</v>
      </c>
      <c r="B47">
        <v>2007.627563</v>
      </c>
      <c r="C47">
        <v>-15.280436</v>
      </c>
      <c r="D47" t="s">
        <v>505</v>
      </c>
      <c r="E47">
        <v>510</v>
      </c>
      <c r="F47">
        <f t="shared" si="1"/>
        <v>7.6047089870150835</v>
      </c>
    </row>
    <row r="48" spans="1:6" x14ac:dyDescent="0.25">
      <c r="A48">
        <v>1000</v>
      </c>
      <c r="B48">
        <v>2006.0295410000001</v>
      </c>
      <c r="C48">
        <v>-15.230548000000001</v>
      </c>
      <c r="D48" t="s">
        <v>506</v>
      </c>
      <c r="E48">
        <v>520</v>
      </c>
      <c r="F48">
        <f t="shared" si="1"/>
        <v>7.6039126947344862</v>
      </c>
    </row>
    <row r="49" spans="1:6" x14ac:dyDescent="0.25">
      <c r="A49">
        <v>1000</v>
      </c>
      <c r="B49">
        <v>2003.856567</v>
      </c>
      <c r="C49">
        <v>-15.143286</v>
      </c>
      <c r="D49" t="s">
        <v>507</v>
      </c>
      <c r="E49">
        <v>530</v>
      </c>
      <c r="F49">
        <f t="shared" si="1"/>
        <v>7.6028288862899673</v>
      </c>
    </row>
    <row r="50" spans="1:6" x14ac:dyDescent="0.25">
      <c r="A50">
        <v>1000</v>
      </c>
      <c r="B50">
        <v>2002.1527100000001</v>
      </c>
      <c r="C50">
        <v>-15.070667</v>
      </c>
      <c r="D50" t="s">
        <v>508</v>
      </c>
      <c r="E50">
        <v>540</v>
      </c>
      <c r="F50">
        <f t="shared" si="1"/>
        <v>7.6019782356873709</v>
      </c>
    </row>
    <row r="51" spans="1:6" x14ac:dyDescent="0.25">
      <c r="A51">
        <v>1000</v>
      </c>
      <c r="B51">
        <v>2001.7685550000001</v>
      </c>
      <c r="C51">
        <v>-15.022869</v>
      </c>
      <c r="D51" t="s">
        <v>509</v>
      </c>
      <c r="E51">
        <v>550</v>
      </c>
      <c r="F51">
        <f t="shared" si="1"/>
        <v>7.6017863462990674</v>
      </c>
    </row>
    <row r="52" spans="1:6" x14ac:dyDescent="0.25">
      <c r="A52">
        <v>1000</v>
      </c>
      <c r="B52">
        <v>2000.38501</v>
      </c>
      <c r="C52">
        <v>-15.011339</v>
      </c>
      <c r="D52" t="s">
        <v>510</v>
      </c>
      <c r="E52">
        <v>560</v>
      </c>
      <c r="F52">
        <f t="shared" si="1"/>
        <v>7.6010949460153725</v>
      </c>
    </row>
    <row r="53" spans="1:6" x14ac:dyDescent="0.25">
      <c r="A53">
        <v>1000</v>
      </c>
      <c r="B53">
        <v>1999.052124</v>
      </c>
      <c r="C53">
        <v>-14.972557</v>
      </c>
      <c r="D53" t="s">
        <v>511</v>
      </c>
      <c r="E53">
        <v>570</v>
      </c>
      <c r="F53">
        <f t="shared" si="1"/>
        <v>7.6004284091979706</v>
      </c>
    </row>
    <row r="54" spans="1:6" x14ac:dyDescent="0.25">
      <c r="A54">
        <v>1000</v>
      </c>
      <c r="B54">
        <v>1997.071533</v>
      </c>
      <c r="C54">
        <v>-14.892903</v>
      </c>
      <c r="D54" t="s">
        <v>512</v>
      </c>
      <c r="E54">
        <v>580</v>
      </c>
      <c r="F54">
        <f t="shared" si="1"/>
        <v>7.5994371530046312</v>
      </c>
    </row>
    <row r="55" spans="1:6" x14ac:dyDescent="0.25">
      <c r="A55">
        <v>1000</v>
      </c>
      <c r="B55">
        <v>1996.7801509999999</v>
      </c>
      <c r="C55">
        <v>-14.892289</v>
      </c>
      <c r="D55" t="s">
        <v>513</v>
      </c>
      <c r="E55">
        <v>590</v>
      </c>
      <c r="F55">
        <f t="shared" si="1"/>
        <v>7.5992912377210553</v>
      </c>
    </row>
    <row r="56" spans="1:6" x14ac:dyDescent="0.25">
      <c r="A56">
        <v>1000</v>
      </c>
      <c r="B56">
        <v>1995.3170170000001</v>
      </c>
      <c r="C56">
        <v>-14.827785</v>
      </c>
      <c r="D56" t="s">
        <v>514</v>
      </c>
      <c r="E56">
        <v>600</v>
      </c>
      <c r="F56">
        <f t="shared" si="1"/>
        <v>7.5985582224641917</v>
      </c>
    </row>
    <row r="57" spans="1:6" x14ac:dyDescent="0.25">
      <c r="A57">
        <v>1000</v>
      </c>
      <c r="B57">
        <v>1992.680908</v>
      </c>
      <c r="C57">
        <v>-14.73189</v>
      </c>
      <c r="D57" t="s">
        <v>515</v>
      </c>
      <c r="E57">
        <v>610</v>
      </c>
      <c r="F57">
        <f t="shared" si="1"/>
        <v>7.5972362010220982</v>
      </c>
    </row>
    <row r="58" spans="1:6" x14ac:dyDescent="0.25">
      <c r="A58">
        <v>1000</v>
      </c>
      <c r="B58">
        <v>1989.8989260000001</v>
      </c>
      <c r="C58">
        <v>-14.609465</v>
      </c>
      <c r="D58" t="s">
        <v>516</v>
      </c>
      <c r="E58">
        <v>620</v>
      </c>
      <c r="F58">
        <f t="shared" si="1"/>
        <v>7.5958391254738604</v>
      </c>
    </row>
    <row r="59" spans="1:6" x14ac:dyDescent="0.25">
      <c r="A59">
        <v>1000</v>
      </c>
      <c r="B59">
        <v>1988.071533</v>
      </c>
      <c r="C59">
        <v>-14.506397</v>
      </c>
      <c r="D59" t="s">
        <v>517</v>
      </c>
      <c r="E59">
        <v>630</v>
      </c>
      <c r="F59">
        <f t="shared" si="1"/>
        <v>7.5949203689635345</v>
      </c>
    </row>
    <row r="60" spans="1:6" x14ac:dyDescent="0.25">
      <c r="A60">
        <v>1000</v>
      </c>
      <c r="B60">
        <v>1987.336914</v>
      </c>
      <c r="C60">
        <v>-14.483556999999999</v>
      </c>
      <c r="D60" t="s">
        <v>518</v>
      </c>
      <c r="E60">
        <v>640</v>
      </c>
      <c r="F60">
        <f t="shared" si="1"/>
        <v>7.5945507873126648</v>
      </c>
    </row>
    <row r="61" spans="1:6" x14ac:dyDescent="0.25">
      <c r="A61">
        <v>1000</v>
      </c>
      <c r="B61">
        <v>1986.2261960000001</v>
      </c>
      <c r="C61">
        <v>-14.458955</v>
      </c>
      <c r="D61" t="s">
        <v>519</v>
      </c>
      <c r="E61">
        <v>650</v>
      </c>
      <c r="F61">
        <f t="shared" si="1"/>
        <v>7.5939917333864129</v>
      </c>
    </row>
    <row r="62" spans="1:6" x14ac:dyDescent="0.25">
      <c r="A62">
        <v>1000</v>
      </c>
      <c r="B62">
        <v>1984.2113039999999</v>
      </c>
      <c r="C62">
        <v>-14.394204999999999</v>
      </c>
      <c r="D62" t="s">
        <v>520</v>
      </c>
      <c r="E62">
        <v>660</v>
      </c>
      <c r="F62">
        <f t="shared" si="1"/>
        <v>7.5929767862059245</v>
      </c>
    </row>
    <row r="63" spans="1:6" x14ac:dyDescent="0.25">
      <c r="A63">
        <v>1000</v>
      </c>
      <c r="B63">
        <v>1983.4754640000001</v>
      </c>
      <c r="C63">
        <v>-14.342444</v>
      </c>
      <c r="D63" t="s">
        <v>521</v>
      </c>
      <c r="E63">
        <v>670</v>
      </c>
      <c r="F63">
        <f t="shared" si="1"/>
        <v>7.5926058698249381</v>
      </c>
    </row>
    <row r="64" spans="1:6" x14ac:dyDescent="0.25">
      <c r="A64">
        <v>1000</v>
      </c>
      <c r="B64">
        <v>1981.6877440000001</v>
      </c>
      <c r="C64">
        <v>-14.270784000000001</v>
      </c>
      <c r="D64" t="s">
        <v>522</v>
      </c>
      <c r="E64">
        <v>680</v>
      </c>
      <c r="F64">
        <f t="shared" si="1"/>
        <v>7.5917041565650534</v>
      </c>
    </row>
    <row r="65" spans="1:6" x14ac:dyDescent="0.25">
      <c r="A65">
        <v>1000</v>
      </c>
      <c r="B65">
        <v>1980.023193</v>
      </c>
      <c r="C65">
        <v>-14.201539</v>
      </c>
      <c r="D65" t="s">
        <v>523</v>
      </c>
      <c r="E65">
        <v>690</v>
      </c>
      <c r="F65">
        <f t="shared" ref="F65:F96" si="2">LN(B65)</f>
        <v>7.5908638372563404</v>
      </c>
    </row>
    <row r="66" spans="1:6" x14ac:dyDescent="0.25">
      <c r="A66">
        <v>1000</v>
      </c>
      <c r="B66">
        <v>1979.200562</v>
      </c>
      <c r="C66">
        <v>-14.16325</v>
      </c>
      <c r="D66" t="s">
        <v>524</v>
      </c>
      <c r="E66">
        <v>700</v>
      </c>
      <c r="F66">
        <f t="shared" si="2"/>
        <v>7.5904482855912958</v>
      </c>
    </row>
    <row r="67" spans="1:6" x14ac:dyDescent="0.25">
      <c r="A67">
        <v>1000</v>
      </c>
      <c r="B67">
        <v>1977.8397219999999</v>
      </c>
      <c r="C67">
        <v>-14.126023999999999</v>
      </c>
      <c r="D67" t="s">
        <v>525</v>
      </c>
      <c r="E67">
        <v>710</v>
      </c>
      <c r="F67">
        <f t="shared" si="2"/>
        <v>7.5897604785658519</v>
      </c>
    </row>
    <row r="68" spans="1:6" x14ac:dyDescent="0.25">
      <c r="A68">
        <v>1000</v>
      </c>
      <c r="B68">
        <v>1977.109741</v>
      </c>
      <c r="C68">
        <v>-14.073978</v>
      </c>
      <c r="D68" t="s">
        <v>526</v>
      </c>
      <c r="E68">
        <v>720</v>
      </c>
      <c r="F68">
        <f t="shared" si="2"/>
        <v>7.5893913304818534</v>
      </c>
    </row>
    <row r="69" spans="1:6" x14ac:dyDescent="0.25">
      <c r="A69">
        <v>1000</v>
      </c>
      <c r="B69">
        <v>1975.414673</v>
      </c>
      <c r="C69">
        <v>-13.967483</v>
      </c>
      <c r="D69" t="s">
        <v>527</v>
      </c>
      <c r="E69">
        <v>730</v>
      </c>
      <c r="F69">
        <f t="shared" si="2"/>
        <v>7.5885336163091521</v>
      </c>
    </row>
    <row r="70" spans="1:6" x14ac:dyDescent="0.25">
      <c r="A70">
        <v>1000</v>
      </c>
      <c r="B70">
        <v>1973.853149</v>
      </c>
      <c r="C70">
        <v>-13.93993</v>
      </c>
      <c r="D70" t="s">
        <v>528</v>
      </c>
      <c r="E70">
        <v>740</v>
      </c>
      <c r="F70">
        <f t="shared" si="2"/>
        <v>7.5877428246223095</v>
      </c>
    </row>
    <row r="71" spans="1:6" x14ac:dyDescent="0.25">
      <c r="A71">
        <v>1000</v>
      </c>
      <c r="B71">
        <v>1972.895874</v>
      </c>
      <c r="C71">
        <v>-13.892923</v>
      </c>
      <c r="D71" t="s">
        <v>529</v>
      </c>
      <c r="E71">
        <v>750</v>
      </c>
      <c r="F71">
        <f t="shared" si="2"/>
        <v>7.5872577291611121</v>
      </c>
    </row>
    <row r="72" spans="1:6" x14ac:dyDescent="0.25">
      <c r="A72">
        <v>1000</v>
      </c>
      <c r="B72">
        <v>1971.092529</v>
      </c>
      <c r="C72">
        <v>-13.82174</v>
      </c>
      <c r="D72" t="s">
        <v>530</v>
      </c>
      <c r="E72">
        <v>760</v>
      </c>
      <c r="F72">
        <f t="shared" si="2"/>
        <v>7.5863432512563076</v>
      </c>
    </row>
    <row r="73" spans="1:6" x14ac:dyDescent="0.25">
      <c r="A73">
        <v>1000</v>
      </c>
      <c r="B73">
        <v>1969.9685059999999</v>
      </c>
      <c r="C73">
        <v>-13.765636000000001</v>
      </c>
      <c r="D73" t="s">
        <v>531</v>
      </c>
      <c r="E73">
        <v>770</v>
      </c>
      <c r="F73">
        <f t="shared" si="2"/>
        <v>7.5857728348022135</v>
      </c>
    </row>
    <row r="74" spans="1:6" x14ac:dyDescent="0.25">
      <c r="A74">
        <v>1000</v>
      </c>
      <c r="B74">
        <v>1968.0352780000001</v>
      </c>
      <c r="C74">
        <v>-13.686707</v>
      </c>
      <c r="D74" t="s">
        <v>532</v>
      </c>
      <c r="E74">
        <v>780</v>
      </c>
      <c r="F74">
        <f t="shared" si="2"/>
        <v>7.5847910032645416</v>
      </c>
    </row>
    <row r="75" spans="1:6" x14ac:dyDescent="0.25">
      <c r="A75">
        <v>1000</v>
      </c>
      <c r="B75">
        <v>1967.700317</v>
      </c>
      <c r="C75">
        <v>-13.669153</v>
      </c>
      <c r="D75" t="s">
        <v>533</v>
      </c>
      <c r="E75">
        <v>790</v>
      </c>
      <c r="F75">
        <f t="shared" si="2"/>
        <v>7.5846207880695804</v>
      </c>
    </row>
    <row r="76" spans="1:6" x14ac:dyDescent="0.25">
      <c r="A76">
        <v>1000</v>
      </c>
      <c r="B76">
        <v>1967.1829829999999</v>
      </c>
      <c r="C76">
        <v>-13.60469</v>
      </c>
      <c r="D76" t="s">
        <v>534</v>
      </c>
      <c r="E76">
        <v>800</v>
      </c>
      <c r="F76">
        <f t="shared" si="2"/>
        <v>7.5843578404985657</v>
      </c>
    </row>
    <row r="77" spans="1:6" x14ac:dyDescent="0.25">
      <c r="A77">
        <v>1000</v>
      </c>
      <c r="B77">
        <v>1965.376587</v>
      </c>
      <c r="C77">
        <v>-13.575825999999999</v>
      </c>
      <c r="D77" t="s">
        <v>535</v>
      </c>
      <c r="E77">
        <v>810</v>
      </c>
      <c r="F77">
        <f t="shared" si="2"/>
        <v>7.5834391532696026</v>
      </c>
    </row>
    <row r="78" spans="1:6" x14ac:dyDescent="0.25">
      <c r="A78">
        <v>1000</v>
      </c>
      <c r="B78">
        <v>1965.3811040000001</v>
      </c>
      <c r="C78">
        <v>-13.553872999999999</v>
      </c>
      <c r="D78" t="s">
        <v>536</v>
      </c>
      <c r="E78">
        <v>820</v>
      </c>
      <c r="F78">
        <f t="shared" si="2"/>
        <v>7.5834414515542363</v>
      </c>
    </row>
    <row r="79" spans="1:6" x14ac:dyDescent="0.25">
      <c r="A79">
        <v>1000</v>
      </c>
      <c r="B79">
        <v>1963.9780270000001</v>
      </c>
      <c r="C79">
        <v>-13.517414</v>
      </c>
      <c r="D79" t="s">
        <v>537</v>
      </c>
      <c r="E79">
        <v>830</v>
      </c>
      <c r="F79">
        <f t="shared" si="2"/>
        <v>7.5827273009699523</v>
      </c>
    </row>
    <row r="80" spans="1:6" x14ac:dyDescent="0.25">
      <c r="A80">
        <v>1000</v>
      </c>
      <c r="B80">
        <v>1963.304932</v>
      </c>
      <c r="C80">
        <v>-13.515295999999999</v>
      </c>
      <c r="D80" t="s">
        <v>538</v>
      </c>
      <c r="E80">
        <v>840</v>
      </c>
      <c r="F80">
        <f t="shared" si="2"/>
        <v>7.5823845219985273</v>
      </c>
    </row>
    <row r="81" spans="1:6" x14ac:dyDescent="0.25">
      <c r="A81">
        <v>1000</v>
      </c>
      <c r="B81">
        <v>1963.2232670000001</v>
      </c>
      <c r="C81">
        <v>-13.502169</v>
      </c>
      <c r="D81" t="s">
        <v>539</v>
      </c>
      <c r="E81">
        <v>850</v>
      </c>
      <c r="F81">
        <f t="shared" si="2"/>
        <v>7.5823429254552845</v>
      </c>
    </row>
    <row r="82" spans="1:6" x14ac:dyDescent="0.25">
      <c r="A82">
        <v>1000</v>
      </c>
      <c r="B82">
        <v>1963.942749</v>
      </c>
      <c r="C82">
        <v>-13.563504</v>
      </c>
      <c r="D82" t="s">
        <v>540</v>
      </c>
      <c r="E82">
        <v>860</v>
      </c>
      <c r="F82">
        <f t="shared" si="2"/>
        <v>7.5827093382858699</v>
      </c>
    </row>
    <row r="83" spans="1:6" x14ac:dyDescent="0.25">
      <c r="A83">
        <v>1000</v>
      </c>
      <c r="B83">
        <v>1963.474976</v>
      </c>
      <c r="C83">
        <v>-13.545294</v>
      </c>
      <c r="D83" t="s">
        <v>541</v>
      </c>
      <c r="E83">
        <v>870</v>
      </c>
      <c r="F83">
        <f t="shared" si="2"/>
        <v>7.5824711293481064</v>
      </c>
    </row>
    <row r="84" spans="1:6" x14ac:dyDescent="0.25">
      <c r="A84">
        <v>1000</v>
      </c>
      <c r="B84">
        <v>1963.161865</v>
      </c>
      <c r="C84">
        <v>-13.584459000000001</v>
      </c>
      <c r="D84" t="s">
        <v>542</v>
      </c>
      <c r="E84">
        <v>880</v>
      </c>
      <c r="F84">
        <f t="shared" si="2"/>
        <v>7.5823116488494806</v>
      </c>
    </row>
    <row r="85" spans="1:6" x14ac:dyDescent="0.25">
      <c r="A85">
        <v>1000</v>
      </c>
      <c r="B85">
        <v>1963.804077</v>
      </c>
      <c r="C85">
        <v>-13.621314999999999</v>
      </c>
      <c r="D85" t="s">
        <v>543</v>
      </c>
      <c r="E85">
        <v>890</v>
      </c>
      <c r="F85">
        <f t="shared" si="2"/>
        <v>7.5826387268100284</v>
      </c>
    </row>
    <row r="86" spans="1:6" x14ac:dyDescent="0.25">
      <c r="A86">
        <v>1000</v>
      </c>
      <c r="B86">
        <v>1964.484741</v>
      </c>
      <c r="C86">
        <v>-13.661189</v>
      </c>
      <c r="D86" t="s">
        <v>544</v>
      </c>
      <c r="E86">
        <v>900</v>
      </c>
      <c r="F86">
        <f t="shared" si="2"/>
        <v>7.5829852715975159</v>
      </c>
    </row>
    <row r="87" spans="1:6" x14ac:dyDescent="0.25">
      <c r="A87">
        <v>1000</v>
      </c>
      <c r="B87">
        <v>1963.9571530000001</v>
      </c>
      <c r="C87">
        <v>-13.634907</v>
      </c>
      <c r="D87" t="s">
        <v>545</v>
      </c>
      <c r="E87">
        <v>910</v>
      </c>
      <c r="F87">
        <f t="shared" si="2"/>
        <v>7.582716672484989</v>
      </c>
    </row>
    <row r="88" spans="1:6" x14ac:dyDescent="0.25">
      <c r="A88">
        <v>1000</v>
      </c>
      <c r="B88">
        <v>1963.423706</v>
      </c>
      <c r="C88">
        <v>-13.634743</v>
      </c>
      <c r="D88" t="s">
        <v>546</v>
      </c>
      <c r="E88">
        <v>920</v>
      </c>
      <c r="F88">
        <f t="shared" si="2"/>
        <v>7.5824450171388778</v>
      </c>
    </row>
    <row r="89" spans="1:6" x14ac:dyDescent="0.25">
      <c r="A89">
        <v>1000</v>
      </c>
      <c r="B89">
        <v>1962.674683</v>
      </c>
      <c r="C89">
        <v>-13.592559</v>
      </c>
      <c r="D89" t="s">
        <v>547</v>
      </c>
      <c r="E89">
        <v>930</v>
      </c>
      <c r="F89">
        <f t="shared" si="2"/>
        <v>7.5820634561412286</v>
      </c>
    </row>
    <row r="90" spans="1:6" x14ac:dyDescent="0.25">
      <c r="A90">
        <v>1000</v>
      </c>
      <c r="B90">
        <v>1960.88147</v>
      </c>
      <c r="C90">
        <v>-13.547207</v>
      </c>
      <c r="D90" t="s">
        <v>548</v>
      </c>
      <c r="E90">
        <v>940</v>
      </c>
      <c r="F90">
        <f t="shared" si="2"/>
        <v>7.5811493807183572</v>
      </c>
    </row>
    <row r="91" spans="1:6" x14ac:dyDescent="0.25">
      <c r="A91">
        <v>1000</v>
      </c>
      <c r="B91">
        <v>1961.0798339999999</v>
      </c>
      <c r="C91">
        <v>-13.529544</v>
      </c>
      <c r="D91" t="s">
        <v>549</v>
      </c>
      <c r="E91">
        <v>950</v>
      </c>
      <c r="F91">
        <f t="shared" si="2"/>
        <v>7.5812505362294864</v>
      </c>
    </row>
    <row r="92" spans="1:6" x14ac:dyDescent="0.25">
      <c r="A92">
        <v>1000</v>
      </c>
      <c r="B92">
        <v>1958.429077</v>
      </c>
      <c r="C92">
        <v>-13.432186</v>
      </c>
      <c r="D92" t="s">
        <v>550</v>
      </c>
      <c r="E92">
        <v>960</v>
      </c>
      <c r="F92">
        <f t="shared" si="2"/>
        <v>7.5798979395321329</v>
      </c>
    </row>
    <row r="93" spans="1:6" x14ac:dyDescent="0.25">
      <c r="A93">
        <v>1000</v>
      </c>
      <c r="B93">
        <v>1957.33313</v>
      </c>
      <c r="C93">
        <v>-13.377504</v>
      </c>
      <c r="D93" t="s">
        <v>551</v>
      </c>
      <c r="E93">
        <v>970</v>
      </c>
      <c r="F93">
        <f t="shared" si="2"/>
        <v>7.579338177743403</v>
      </c>
    </row>
    <row r="94" spans="1:6" x14ac:dyDescent="0.25">
      <c r="A94">
        <v>1000</v>
      </c>
      <c r="B94">
        <v>1956.541138</v>
      </c>
      <c r="C94">
        <v>-13.295842</v>
      </c>
      <c r="D94" t="s">
        <v>552</v>
      </c>
      <c r="E94">
        <v>980</v>
      </c>
      <c r="F94">
        <f t="shared" si="2"/>
        <v>7.5789334677519316</v>
      </c>
    </row>
    <row r="95" spans="1:6" x14ac:dyDescent="0.25">
      <c r="A95">
        <v>1000</v>
      </c>
      <c r="B95">
        <v>1955.675293</v>
      </c>
      <c r="C95">
        <v>-13.274778</v>
      </c>
      <c r="D95" t="s">
        <v>553</v>
      </c>
      <c r="E95">
        <v>990</v>
      </c>
      <c r="F95">
        <f t="shared" si="2"/>
        <v>7.5784908311905825</v>
      </c>
    </row>
    <row r="96" spans="1:6" x14ac:dyDescent="0.25">
      <c r="A96">
        <v>1000</v>
      </c>
      <c r="B96">
        <v>1952.7589109999999</v>
      </c>
      <c r="C96">
        <v>-13.116879000000001</v>
      </c>
      <c r="D96" t="s">
        <v>554</v>
      </c>
      <c r="E96">
        <v>1000</v>
      </c>
      <c r="F96">
        <f t="shared" si="2"/>
        <v>7.5769984777881501</v>
      </c>
    </row>
    <row r="97" spans="1:6" x14ac:dyDescent="0.25">
      <c r="A97">
        <v>1000</v>
      </c>
      <c r="B97">
        <v>1951.7554929999999</v>
      </c>
      <c r="C97">
        <v>-13.085896</v>
      </c>
      <c r="D97" t="s">
        <v>555</v>
      </c>
      <c r="E97">
        <v>1010</v>
      </c>
      <c r="F97">
        <f t="shared" ref="F97:F118" si="3">LN(B97)</f>
        <v>7.5764844993937759</v>
      </c>
    </row>
    <row r="98" spans="1:6" x14ac:dyDescent="0.25">
      <c r="A98">
        <v>1000</v>
      </c>
      <c r="B98">
        <v>1949.89563</v>
      </c>
      <c r="C98">
        <v>-13.015271</v>
      </c>
      <c r="D98" t="s">
        <v>556</v>
      </c>
      <c r="E98">
        <v>1020</v>
      </c>
      <c r="F98">
        <f t="shared" si="3"/>
        <v>7.5755311270484587</v>
      </c>
    </row>
    <row r="99" spans="1:6" x14ac:dyDescent="0.25">
      <c r="A99">
        <v>1000</v>
      </c>
      <c r="B99">
        <v>1949.2338870000001</v>
      </c>
      <c r="C99">
        <v>-12.938132</v>
      </c>
      <c r="D99" t="s">
        <v>557</v>
      </c>
      <c r="E99">
        <v>1030</v>
      </c>
      <c r="F99">
        <f t="shared" si="3"/>
        <v>7.5751916958992913</v>
      </c>
    </row>
    <row r="100" spans="1:6" x14ac:dyDescent="0.25">
      <c r="A100">
        <v>1000</v>
      </c>
      <c r="B100">
        <v>1948.189331</v>
      </c>
      <c r="C100">
        <v>-12.912545</v>
      </c>
      <c r="D100" t="s">
        <v>558</v>
      </c>
      <c r="E100">
        <v>1040</v>
      </c>
      <c r="F100">
        <f t="shared" si="3"/>
        <v>7.5746556719847282</v>
      </c>
    </row>
    <row r="101" spans="1:6" x14ac:dyDescent="0.25">
      <c r="A101">
        <v>1000</v>
      </c>
      <c r="B101">
        <v>1947.253418</v>
      </c>
      <c r="C101">
        <v>-12.877098</v>
      </c>
      <c r="D101" t="s">
        <v>559</v>
      </c>
      <c r="E101">
        <v>1050</v>
      </c>
      <c r="F101">
        <f t="shared" si="3"/>
        <v>7.5741751550944478</v>
      </c>
    </row>
    <row r="102" spans="1:6" x14ac:dyDescent="0.25">
      <c r="A102">
        <v>1000</v>
      </c>
      <c r="B102">
        <v>1946.588013</v>
      </c>
      <c r="C102">
        <v>-12.827878999999999</v>
      </c>
      <c r="D102" t="s">
        <v>560</v>
      </c>
      <c r="E102">
        <v>1060</v>
      </c>
      <c r="F102">
        <f t="shared" si="3"/>
        <v>7.5738333820570665</v>
      </c>
    </row>
    <row r="103" spans="1:6" x14ac:dyDescent="0.25">
      <c r="A103">
        <v>1000</v>
      </c>
      <c r="B103">
        <v>1944.947754</v>
      </c>
      <c r="C103">
        <v>-12.762486000000001</v>
      </c>
      <c r="D103" t="s">
        <v>561</v>
      </c>
      <c r="E103">
        <v>1070</v>
      </c>
      <c r="F103">
        <f t="shared" si="3"/>
        <v>7.5729903939951067</v>
      </c>
    </row>
    <row r="104" spans="1:6" x14ac:dyDescent="0.25">
      <c r="A104">
        <v>1000</v>
      </c>
      <c r="B104">
        <v>1943.7875979999999</v>
      </c>
      <c r="C104">
        <v>-12.671741000000001</v>
      </c>
      <c r="D104" t="s">
        <v>562</v>
      </c>
      <c r="E104">
        <v>1080</v>
      </c>
      <c r="F104">
        <f t="shared" si="3"/>
        <v>7.572393718762978</v>
      </c>
    </row>
    <row r="105" spans="1:6" x14ac:dyDescent="0.25">
      <c r="A105">
        <v>1000</v>
      </c>
      <c r="B105">
        <v>1942.5117190000001</v>
      </c>
      <c r="C105">
        <v>-12.633464999999999</v>
      </c>
      <c r="D105" t="s">
        <v>563</v>
      </c>
      <c r="E105">
        <v>1090</v>
      </c>
      <c r="F105">
        <f t="shared" si="3"/>
        <v>7.571737115170837</v>
      </c>
    </row>
    <row r="106" spans="1:6" x14ac:dyDescent="0.25">
      <c r="A106">
        <v>1000</v>
      </c>
      <c r="B106">
        <v>1941.905029</v>
      </c>
      <c r="C106">
        <v>-12.581253999999999</v>
      </c>
      <c r="D106" t="s">
        <v>564</v>
      </c>
      <c r="E106">
        <v>1100</v>
      </c>
      <c r="F106">
        <f t="shared" si="3"/>
        <v>7.5714247439479267</v>
      </c>
    </row>
    <row r="107" spans="1:6" x14ac:dyDescent="0.25">
      <c r="A107">
        <v>1000</v>
      </c>
      <c r="B107">
        <v>1939.564331</v>
      </c>
      <c r="C107">
        <v>-12.508635999999999</v>
      </c>
      <c r="D107" t="s">
        <v>565</v>
      </c>
      <c r="E107">
        <v>1110</v>
      </c>
      <c r="F107">
        <f t="shared" si="3"/>
        <v>7.5702186551879009</v>
      </c>
    </row>
    <row r="108" spans="1:6" x14ac:dyDescent="0.25">
      <c r="A108">
        <v>1000</v>
      </c>
      <c r="B108">
        <v>1939.1517329999999</v>
      </c>
      <c r="C108">
        <v>-12.453407</v>
      </c>
      <c r="D108" t="s">
        <v>566</v>
      </c>
      <c r="E108">
        <v>1120</v>
      </c>
      <c r="F108">
        <f t="shared" si="3"/>
        <v>7.5700059054043392</v>
      </c>
    </row>
    <row r="109" spans="1:6" x14ac:dyDescent="0.25">
      <c r="A109">
        <v>1000</v>
      </c>
      <c r="B109">
        <v>1938.4099120000001</v>
      </c>
      <c r="C109">
        <v>-12.408013</v>
      </c>
      <c r="D109" t="s">
        <v>567</v>
      </c>
      <c r="E109">
        <v>1130</v>
      </c>
      <c r="F109">
        <f t="shared" si="3"/>
        <v>7.5696232829849084</v>
      </c>
    </row>
    <row r="110" spans="1:6" x14ac:dyDescent="0.25">
      <c r="A110">
        <v>1000</v>
      </c>
      <c r="B110">
        <v>1937.4765629999999</v>
      </c>
      <c r="C110">
        <v>-12.338715000000001</v>
      </c>
      <c r="D110" t="s">
        <v>568</v>
      </c>
      <c r="E110">
        <v>1140</v>
      </c>
      <c r="F110">
        <f t="shared" si="3"/>
        <v>7.5691416646382095</v>
      </c>
    </row>
    <row r="111" spans="1:6" x14ac:dyDescent="0.25">
      <c r="A111">
        <v>1000</v>
      </c>
      <c r="B111">
        <v>1935.6929929999999</v>
      </c>
      <c r="C111">
        <v>-12.238597</v>
      </c>
      <c r="D111" t="s">
        <v>569</v>
      </c>
      <c r="E111">
        <v>1150</v>
      </c>
      <c r="F111">
        <f t="shared" si="3"/>
        <v>7.5682206772658347</v>
      </c>
    </row>
    <row r="112" spans="1:6" x14ac:dyDescent="0.25">
      <c r="A112">
        <v>1000</v>
      </c>
      <c r="B112">
        <v>1934.744751</v>
      </c>
      <c r="C112">
        <v>-12.144641999999999</v>
      </c>
      <c r="D112" t="s">
        <v>570</v>
      </c>
      <c r="E112">
        <v>1160</v>
      </c>
      <c r="F112">
        <f t="shared" si="3"/>
        <v>7.5677306851348716</v>
      </c>
    </row>
    <row r="113" spans="1:6" x14ac:dyDescent="0.25">
      <c r="A113">
        <v>1000</v>
      </c>
      <c r="B113">
        <v>1932.665039</v>
      </c>
      <c r="C113">
        <v>-12.073197</v>
      </c>
      <c r="D113" t="s">
        <v>571</v>
      </c>
      <c r="E113">
        <v>1170</v>
      </c>
      <c r="F113">
        <f t="shared" si="3"/>
        <v>7.5666551786261751</v>
      </c>
    </row>
    <row r="114" spans="1:6" x14ac:dyDescent="0.25">
      <c r="A114">
        <v>1000</v>
      </c>
      <c r="B114">
        <v>1932.4047849999999</v>
      </c>
      <c r="C114">
        <v>-12.030222</v>
      </c>
      <c r="D114" t="s">
        <v>572</v>
      </c>
      <c r="E114">
        <v>1180</v>
      </c>
      <c r="F114">
        <f t="shared" si="3"/>
        <v>7.5665205088725909</v>
      </c>
    </row>
    <row r="115" spans="1:6" x14ac:dyDescent="0.25">
      <c r="A115">
        <v>1000</v>
      </c>
      <c r="B115">
        <v>1929.5322269999999</v>
      </c>
      <c r="C115">
        <v>-11.950651000000001</v>
      </c>
      <c r="D115" t="s">
        <v>573</v>
      </c>
      <c r="E115">
        <v>1190</v>
      </c>
      <c r="F115">
        <f t="shared" si="3"/>
        <v>7.5650328830926625</v>
      </c>
    </row>
    <row r="116" spans="1:6" x14ac:dyDescent="0.25">
      <c r="A116">
        <v>1000</v>
      </c>
      <c r="B116">
        <v>1929.6011960000001</v>
      </c>
      <c r="C116">
        <v>-11.877745000000001</v>
      </c>
      <c r="D116" t="s">
        <v>574</v>
      </c>
      <c r="E116">
        <v>1200</v>
      </c>
      <c r="F116">
        <f t="shared" si="3"/>
        <v>7.5650686263502527</v>
      </c>
    </row>
    <row r="117" spans="1:6" x14ac:dyDescent="0.25">
      <c r="A117">
        <v>1000</v>
      </c>
      <c r="B117">
        <v>1927.7985839999999</v>
      </c>
      <c r="C117">
        <v>-11.850369000000001</v>
      </c>
      <c r="D117" t="s">
        <v>575</v>
      </c>
      <c r="E117">
        <v>1210</v>
      </c>
      <c r="F117">
        <f t="shared" si="3"/>
        <v>7.5641340008335689</v>
      </c>
    </row>
    <row r="118" spans="1:6" x14ac:dyDescent="0.25">
      <c r="A118">
        <v>1000</v>
      </c>
      <c r="B118">
        <v>1926.6694339999999</v>
      </c>
      <c r="C118">
        <v>-11.777177999999999</v>
      </c>
      <c r="D118" t="s">
        <v>576</v>
      </c>
      <c r="E118">
        <v>1220</v>
      </c>
      <c r="F118">
        <f t="shared" si="3"/>
        <v>7.5635481093294619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topLeftCell="A22" zoomScaleNormal="100" workbookViewId="0">
      <selection sqref="A1:D124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  <col min="13" max="13" width="13.140625" bestFit="1" customWidth="1"/>
  </cols>
  <sheetData>
    <row r="1" spans="1:13" x14ac:dyDescent="0.25">
      <c r="A1">
        <v>1000</v>
      </c>
      <c r="B1">
        <v>1836.27124</v>
      </c>
      <c r="C1">
        <v>-9.9795250000000006</v>
      </c>
      <c r="D1" t="s">
        <v>580</v>
      </c>
      <c r="E1">
        <v>0</v>
      </c>
      <c r="F1">
        <f>LN(B1)</f>
        <v>7.5154922944736056</v>
      </c>
      <c r="I1" s="1" t="s">
        <v>194</v>
      </c>
      <c r="J1" s="1" t="s">
        <v>195</v>
      </c>
      <c r="L1" s="2"/>
      <c r="M1" t="s">
        <v>704</v>
      </c>
    </row>
    <row r="2" spans="1:13" x14ac:dyDescent="0.25">
      <c r="A2">
        <v>1000</v>
      </c>
      <c r="B2">
        <v>1845.153442</v>
      </c>
      <c r="C2">
        <v>-10.261065</v>
      </c>
      <c r="D2" t="s">
        <v>581</v>
      </c>
      <c r="E2">
        <v>10</v>
      </c>
      <c r="F2">
        <f t="shared" ref="F2:F65" si="0">LN(B2)</f>
        <v>7.5203177194121587</v>
      </c>
      <c r="H2" t="s">
        <v>197</v>
      </c>
      <c r="I2">
        <f>1/(0.000001)</f>
        <v>1000000</v>
      </c>
      <c r="J2">
        <f>1/(0.000005)</f>
        <v>199999.99999999997</v>
      </c>
      <c r="L2" s="2"/>
      <c r="M2">
        <v>1484</v>
      </c>
    </row>
    <row r="3" spans="1:13" x14ac:dyDescent="0.25">
      <c r="A3">
        <v>1000</v>
      </c>
      <c r="B3">
        <v>1852.9571530000001</v>
      </c>
      <c r="C3">
        <v>-10.711625</v>
      </c>
      <c r="D3" t="s">
        <v>582</v>
      </c>
      <c r="E3">
        <v>20</v>
      </c>
      <c r="F3">
        <f t="shared" si="0"/>
        <v>7.5245381029743053</v>
      </c>
      <c r="I3">
        <f>I2/60</f>
        <v>16666.666666666668</v>
      </c>
      <c r="J3">
        <f>J2/60</f>
        <v>3333.333333333333</v>
      </c>
      <c r="K3" s="3" t="s">
        <v>578</v>
      </c>
    </row>
    <row r="4" spans="1:13" x14ac:dyDescent="0.25">
      <c r="A4">
        <v>1000</v>
      </c>
      <c r="B4">
        <v>1847.4160159999999</v>
      </c>
      <c r="C4">
        <v>-10.343916</v>
      </c>
      <c r="D4" t="s">
        <v>583</v>
      </c>
      <c r="E4">
        <v>30</v>
      </c>
      <c r="F4">
        <f t="shared" si="0"/>
        <v>7.5215431936023629</v>
      </c>
      <c r="I4">
        <f>I3/60</f>
        <v>277.77777777777777</v>
      </c>
      <c r="J4">
        <f>J3/60</f>
        <v>55.55555555555555</v>
      </c>
      <c r="K4" s="3" t="s">
        <v>579</v>
      </c>
    </row>
    <row r="5" spans="1:13" x14ac:dyDescent="0.25">
      <c r="A5">
        <v>1000</v>
      </c>
      <c r="B5">
        <v>1843.4155270000001</v>
      </c>
      <c r="C5">
        <v>-10.025779</v>
      </c>
      <c r="D5" t="s">
        <v>584</v>
      </c>
      <c r="E5">
        <v>40</v>
      </c>
      <c r="F5">
        <f t="shared" si="0"/>
        <v>7.5193753945467661</v>
      </c>
    </row>
    <row r="6" spans="1:13" x14ac:dyDescent="0.25">
      <c r="A6">
        <v>1000</v>
      </c>
      <c r="B6">
        <v>1840.0529790000001</v>
      </c>
      <c r="C6">
        <v>-9.7462199999999992</v>
      </c>
      <c r="D6" t="s">
        <v>585</v>
      </c>
      <c r="E6">
        <v>50</v>
      </c>
      <c r="F6">
        <f t="shared" si="0"/>
        <v>7.5175496431233055</v>
      </c>
    </row>
    <row r="7" spans="1:13" x14ac:dyDescent="0.25">
      <c r="A7">
        <v>1000</v>
      </c>
      <c r="B7">
        <v>1839.7222899999999</v>
      </c>
      <c r="C7">
        <v>-9.7233789999999996</v>
      </c>
      <c r="D7" t="s">
        <v>586</v>
      </c>
      <c r="E7">
        <v>60</v>
      </c>
      <c r="F7">
        <f t="shared" si="0"/>
        <v>7.5173699098642253</v>
      </c>
    </row>
    <row r="8" spans="1:13" x14ac:dyDescent="0.25">
      <c r="A8">
        <v>1000</v>
      </c>
      <c r="B8">
        <v>1844.330078</v>
      </c>
      <c r="C8">
        <v>-10.102769</v>
      </c>
      <c r="D8" t="s">
        <v>587</v>
      </c>
      <c r="E8">
        <v>70</v>
      </c>
      <c r="F8">
        <f t="shared" si="0"/>
        <v>7.519871389182355</v>
      </c>
    </row>
    <row r="9" spans="1:13" x14ac:dyDescent="0.25">
      <c r="A9">
        <v>1000</v>
      </c>
      <c r="B9">
        <v>1839.3063959999999</v>
      </c>
      <c r="C9">
        <v>-9.7269450000000006</v>
      </c>
      <c r="D9" t="s">
        <v>588</v>
      </c>
      <c r="E9">
        <v>80</v>
      </c>
      <c r="F9">
        <f t="shared" si="0"/>
        <v>7.5171438208405901</v>
      </c>
    </row>
    <row r="10" spans="1:13" x14ac:dyDescent="0.25">
      <c r="A10">
        <v>1000</v>
      </c>
      <c r="B10">
        <v>1838.5302730000001</v>
      </c>
      <c r="C10">
        <v>-9.6791330000000002</v>
      </c>
      <c r="D10" t="s">
        <v>589</v>
      </c>
      <c r="E10">
        <v>90</v>
      </c>
      <c r="F10">
        <f t="shared" si="0"/>
        <v>7.5167217667466373</v>
      </c>
    </row>
    <row r="11" spans="1:13" x14ac:dyDescent="0.25">
      <c r="A11">
        <v>1000</v>
      </c>
      <c r="B11">
        <v>1839.7486570000001</v>
      </c>
      <c r="C11">
        <v>-9.759347</v>
      </c>
      <c r="D11" t="s">
        <v>590</v>
      </c>
      <c r="E11">
        <v>100</v>
      </c>
      <c r="F11">
        <f t="shared" si="0"/>
        <v>7.5173842418159538</v>
      </c>
    </row>
    <row r="12" spans="1:13" x14ac:dyDescent="0.25">
      <c r="A12">
        <v>1000</v>
      </c>
      <c r="B12">
        <v>1838.3610839999999</v>
      </c>
      <c r="C12">
        <v>-9.6993779999999994</v>
      </c>
      <c r="D12" t="s">
        <v>591</v>
      </c>
      <c r="E12">
        <v>110</v>
      </c>
      <c r="F12">
        <f t="shared" si="0"/>
        <v>7.5166297384631262</v>
      </c>
    </row>
    <row r="13" spans="1:13" x14ac:dyDescent="0.25">
      <c r="A13">
        <v>1000</v>
      </c>
      <c r="B13">
        <v>1838.6453859999999</v>
      </c>
      <c r="C13">
        <v>-9.6812100000000001</v>
      </c>
      <c r="D13" t="s">
        <v>592</v>
      </c>
      <c r="E13">
        <v>120</v>
      </c>
      <c r="F13">
        <f t="shared" si="0"/>
        <v>7.5167843762114614</v>
      </c>
    </row>
    <row r="14" spans="1:13" x14ac:dyDescent="0.25">
      <c r="A14">
        <v>1000</v>
      </c>
      <c r="B14">
        <v>1837.7604980000001</v>
      </c>
      <c r="C14">
        <v>-9.6901159999999997</v>
      </c>
      <c r="D14" t="s">
        <v>593</v>
      </c>
      <c r="E14">
        <v>130</v>
      </c>
      <c r="F14">
        <f t="shared" si="0"/>
        <v>7.5163029886579604</v>
      </c>
    </row>
    <row r="15" spans="1:13" x14ac:dyDescent="0.25">
      <c r="A15">
        <v>1000</v>
      </c>
      <c r="B15">
        <v>1842.9525149999999</v>
      </c>
      <c r="C15">
        <v>-10.090707</v>
      </c>
      <c r="D15" t="s">
        <v>594</v>
      </c>
      <c r="E15">
        <v>140</v>
      </c>
      <c r="F15">
        <f t="shared" si="0"/>
        <v>7.519124192280926</v>
      </c>
    </row>
    <row r="16" spans="1:13" x14ac:dyDescent="0.25">
      <c r="A16">
        <v>1000</v>
      </c>
      <c r="B16">
        <v>1842.602783</v>
      </c>
      <c r="C16">
        <v>-10.090652</v>
      </c>
      <c r="D16" t="s">
        <v>595</v>
      </c>
      <c r="E16">
        <v>150</v>
      </c>
      <c r="F16">
        <f t="shared" si="0"/>
        <v>7.5189344070394784</v>
      </c>
    </row>
    <row r="17" spans="1:6" x14ac:dyDescent="0.25">
      <c r="A17">
        <v>1000</v>
      </c>
      <c r="B17">
        <v>1841.5794679999999</v>
      </c>
      <c r="C17">
        <v>-10.024508000000001</v>
      </c>
      <c r="D17" t="s">
        <v>596</v>
      </c>
      <c r="E17">
        <v>160</v>
      </c>
      <c r="F17">
        <f t="shared" si="0"/>
        <v>7.518378888904599</v>
      </c>
    </row>
    <row r="18" spans="1:6" x14ac:dyDescent="0.25">
      <c r="A18">
        <v>1000</v>
      </c>
      <c r="B18">
        <v>1839.9332280000001</v>
      </c>
      <c r="C18">
        <v>-9.9262639999999998</v>
      </c>
      <c r="D18" t="s">
        <v>597</v>
      </c>
      <c r="E18">
        <v>170</v>
      </c>
      <c r="F18">
        <f t="shared" si="0"/>
        <v>7.5174845608141299</v>
      </c>
    </row>
    <row r="19" spans="1:6" x14ac:dyDescent="0.25">
      <c r="A19">
        <v>1000</v>
      </c>
      <c r="B19">
        <v>1840.1988530000001</v>
      </c>
      <c r="C19">
        <v>-9.9418360000000003</v>
      </c>
      <c r="D19" t="s">
        <v>598</v>
      </c>
      <c r="E19">
        <v>180</v>
      </c>
      <c r="F19">
        <f t="shared" si="0"/>
        <v>7.5176289170462516</v>
      </c>
    </row>
    <row r="20" spans="1:6" x14ac:dyDescent="0.25">
      <c r="A20">
        <v>1000</v>
      </c>
      <c r="B20">
        <v>1840.0789789999999</v>
      </c>
      <c r="C20">
        <v>-9.9363309999999991</v>
      </c>
      <c r="D20" t="s">
        <v>599</v>
      </c>
      <c r="E20">
        <v>190</v>
      </c>
      <c r="F20">
        <f t="shared" si="0"/>
        <v>7.5175637730514149</v>
      </c>
    </row>
    <row r="21" spans="1:6" x14ac:dyDescent="0.25">
      <c r="A21">
        <v>1000</v>
      </c>
      <c r="B21">
        <v>1838.8900149999999</v>
      </c>
      <c r="C21">
        <v>-9.8554480000000009</v>
      </c>
      <c r="D21" t="s">
        <v>600</v>
      </c>
      <c r="E21">
        <v>200</v>
      </c>
      <c r="F21">
        <f t="shared" si="0"/>
        <v>7.5169174158555094</v>
      </c>
    </row>
    <row r="22" spans="1:6" x14ac:dyDescent="0.25">
      <c r="A22">
        <v>1000</v>
      </c>
      <c r="B22">
        <v>1839.032471</v>
      </c>
      <c r="C22">
        <v>-9.8621269999999992</v>
      </c>
      <c r="D22" t="s">
        <v>601</v>
      </c>
      <c r="E22">
        <v>210</v>
      </c>
      <c r="F22">
        <f t="shared" si="0"/>
        <v>7.5169948813271787</v>
      </c>
    </row>
    <row r="23" spans="1:6" x14ac:dyDescent="0.25">
      <c r="A23">
        <v>1000</v>
      </c>
      <c r="B23">
        <v>1844.915283</v>
      </c>
      <c r="C23">
        <v>-10.332482000000001</v>
      </c>
      <c r="D23" t="s">
        <v>602</v>
      </c>
      <c r="E23">
        <v>220</v>
      </c>
      <c r="F23">
        <f t="shared" si="0"/>
        <v>7.5201886383472356</v>
      </c>
    </row>
    <row r="24" spans="1:6" x14ac:dyDescent="0.25">
      <c r="A24">
        <v>1000</v>
      </c>
      <c r="B24">
        <v>1840.534058</v>
      </c>
      <c r="C24">
        <v>-9.9818739999999995</v>
      </c>
      <c r="D24" t="s">
        <v>603</v>
      </c>
      <c r="E24">
        <v>230</v>
      </c>
      <c r="F24">
        <f t="shared" si="0"/>
        <v>7.5178110574020076</v>
      </c>
    </row>
    <row r="25" spans="1:6" x14ac:dyDescent="0.25">
      <c r="A25">
        <v>1000</v>
      </c>
      <c r="B25">
        <v>1839.0736079999999</v>
      </c>
      <c r="C25">
        <v>-9.9180399999999995</v>
      </c>
      <c r="D25" t="s">
        <v>604</v>
      </c>
      <c r="E25">
        <v>240</v>
      </c>
      <c r="F25">
        <f t="shared" si="0"/>
        <v>7.5170172499044403</v>
      </c>
    </row>
    <row r="26" spans="1:6" x14ac:dyDescent="0.25">
      <c r="A26">
        <v>1000</v>
      </c>
      <c r="B26">
        <v>1839.653442</v>
      </c>
      <c r="C26">
        <v>-9.9017300000000006</v>
      </c>
      <c r="D26" t="s">
        <v>605</v>
      </c>
      <c r="E26">
        <v>250</v>
      </c>
      <c r="F26">
        <f t="shared" si="0"/>
        <v>7.5173324861244266</v>
      </c>
    </row>
    <row r="27" spans="1:6" x14ac:dyDescent="0.25">
      <c r="A27">
        <v>1000</v>
      </c>
      <c r="B27">
        <v>1838.856689</v>
      </c>
      <c r="C27">
        <v>-9.8549830000000007</v>
      </c>
      <c r="D27" t="s">
        <v>606</v>
      </c>
      <c r="E27">
        <v>260</v>
      </c>
      <c r="F27">
        <f t="shared" si="0"/>
        <v>7.5168992928020835</v>
      </c>
    </row>
    <row r="28" spans="1:6" x14ac:dyDescent="0.25">
      <c r="A28">
        <v>1000</v>
      </c>
      <c r="B28">
        <v>1838.787842</v>
      </c>
      <c r="C28">
        <v>-9.869491</v>
      </c>
      <c r="D28" t="s">
        <v>607</v>
      </c>
      <c r="E28">
        <v>270</v>
      </c>
      <c r="F28">
        <f t="shared" si="0"/>
        <v>7.5168618519893959</v>
      </c>
    </row>
    <row r="29" spans="1:6" x14ac:dyDescent="0.25">
      <c r="A29">
        <v>1000</v>
      </c>
      <c r="B29">
        <v>1837.8039550000001</v>
      </c>
      <c r="C29">
        <v>-9.7893869999999996</v>
      </c>
      <c r="D29" t="s">
        <v>608</v>
      </c>
      <c r="E29">
        <v>280</v>
      </c>
      <c r="F29">
        <f t="shared" si="0"/>
        <v>7.5163266350940692</v>
      </c>
    </row>
    <row r="30" spans="1:6" x14ac:dyDescent="0.25">
      <c r="A30">
        <v>1000</v>
      </c>
      <c r="B30">
        <v>1837.7150879999999</v>
      </c>
      <c r="C30">
        <v>-9.7809720000000002</v>
      </c>
      <c r="D30" t="s">
        <v>609</v>
      </c>
      <c r="E30">
        <v>290</v>
      </c>
      <c r="F30">
        <f t="shared" si="0"/>
        <v>7.5162782789305034</v>
      </c>
    </row>
    <row r="31" spans="1:6" x14ac:dyDescent="0.25">
      <c r="A31">
        <v>1000</v>
      </c>
      <c r="B31">
        <v>1837.1898189999999</v>
      </c>
      <c r="C31">
        <v>-9.7737999999999996</v>
      </c>
      <c r="D31" t="s">
        <v>610</v>
      </c>
      <c r="E31">
        <v>300</v>
      </c>
      <c r="F31">
        <f t="shared" si="0"/>
        <v>7.515992410851263</v>
      </c>
    </row>
    <row r="32" spans="1:6" x14ac:dyDescent="0.25">
      <c r="A32">
        <v>1000</v>
      </c>
      <c r="B32">
        <v>1844.2210689999999</v>
      </c>
      <c r="C32">
        <v>-10.310611</v>
      </c>
      <c r="D32" t="s">
        <v>611</v>
      </c>
      <c r="E32">
        <v>310</v>
      </c>
      <c r="F32">
        <f t="shared" si="0"/>
        <v>7.5198122825056748</v>
      </c>
    </row>
    <row r="33" spans="1:6" x14ac:dyDescent="0.25">
      <c r="A33">
        <v>1000</v>
      </c>
      <c r="B33">
        <v>1851.082275</v>
      </c>
      <c r="C33">
        <v>-10.741611000000001</v>
      </c>
      <c r="D33" t="s">
        <v>612</v>
      </c>
      <c r="E33">
        <v>320</v>
      </c>
      <c r="F33">
        <f t="shared" si="0"/>
        <v>7.5235257605321877</v>
      </c>
    </row>
    <row r="34" spans="1:6" x14ac:dyDescent="0.25">
      <c r="A34">
        <v>1000</v>
      </c>
      <c r="B34">
        <v>1852.9729</v>
      </c>
      <c r="C34">
        <v>-10.848352999999999</v>
      </c>
      <c r="D34" t="s">
        <v>613</v>
      </c>
      <c r="E34">
        <v>330</v>
      </c>
      <c r="F34">
        <f t="shared" si="0"/>
        <v>7.5245466012458726</v>
      </c>
    </row>
    <row r="35" spans="1:6" x14ac:dyDescent="0.25">
      <c r="A35">
        <v>1000</v>
      </c>
      <c r="B35">
        <v>1852.357178</v>
      </c>
      <c r="C35">
        <v>-10.813518999999999</v>
      </c>
      <c r="D35" t="s">
        <v>614</v>
      </c>
      <c r="E35">
        <v>340</v>
      </c>
      <c r="F35">
        <f t="shared" si="0"/>
        <v>7.5242142573020372</v>
      </c>
    </row>
    <row r="36" spans="1:6" x14ac:dyDescent="0.25">
      <c r="A36">
        <v>1000</v>
      </c>
      <c r="B36">
        <v>1846.593384</v>
      </c>
      <c r="C36">
        <v>-10.441039999999999</v>
      </c>
      <c r="D36" t="s">
        <v>615</v>
      </c>
      <c r="E36">
        <v>350</v>
      </c>
      <c r="F36">
        <f t="shared" si="0"/>
        <v>7.5210978065312863</v>
      </c>
    </row>
    <row r="37" spans="1:6" x14ac:dyDescent="0.25">
      <c r="A37">
        <v>1000</v>
      </c>
      <c r="B37">
        <v>1842.697876</v>
      </c>
      <c r="C37">
        <v>-10.152151</v>
      </c>
      <c r="D37" t="s">
        <v>616</v>
      </c>
      <c r="E37">
        <v>360</v>
      </c>
      <c r="F37">
        <f t="shared" si="0"/>
        <v>7.5189860136837225</v>
      </c>
    </row>
    <row r="38" spans="1:6" x14ac:dyDescent="0.25">
      <c r="A38">
        <v>1000</v>
      </c>
      <c r="B38">
        <v>1840.405029</v>
      </c>
      <c r="C38">
        <v>-10.008853999999999</v>
      </c>
      <c r="D38" t="s">
        <v>617</v>
      </c>
      <c r="E38">
        <v>370</v>
      </c>
      <c r="F38">
        <f t="shared" si="0"/>
        <v>7.5177409508357194</v>
      </c>
    </row>
    <row r="39" spans="1:6" x14ac:dyDescent="0.25">
      <c r="A39">
        <v>1000</v>
      </c>
      <c r="B39">
        <v>1839.916138</v>
      </c>
      <c r="C39">
        <v>-9.9628999999999994</v>
      </c>
      <c r="D39" t="s">
        <v>618</v>
      </c>
      <c r="E39">
        <v>380</v>
      </c>
      <c r="F39">
        <f t="shared" si="0"/>
        <v>7.5174752723904472</v>
      </c>
    </row>
    <row r="40" spans="1:6" x14ac:dyDescent="0.25">
      <c r="A40">
        <v>1000</v>
      </c>
      <c r="B40">
        <v>1840.1186520000001</v>
      </c>
      <c r="C40">
        <v>-9.9637200000000004</v>
      </c>
      <c r="D40" t="s">
        <v>619</v>
      </c>
      <c r="E40">
        <v>390</v>
      </c>
      <c r="F40">
        <f t="shared" si="0"/>
        <v>7.5175853333065854</v>
      </c>
    </row>
    <row r="41" spans="1:6" x14ac:dyDescent="0.25">
      <c r="A41">
        <v>1000</v>
      </c>
      <c r="B41">
        <v>1839.349121</v>
      </c>
      <c r="C41">
        <v>-9.9249519999999993</v>
      </c>
      <c r="D41" t="s">
        <v>620</v>
      </c>
      <c r="E41">
        <v>400</v>
      </c>
      <c r="F41">
        <f t="shared" si="0"/>
        <v>7.5171670494358223</v>
      </c>
    </row>
    <row r="42" spans="1:6" x14ac:dyDescent="0.25">
      <c r="A42">
        <v>1000</v>
      </c>
      <c r="B42">
        <v>1838.1016850000001</v>
      </c>
      <c r="C42">
        <v>-9.8117619999999999</v>
      </c>
      <c r="D42" t="s">
        <v>621</v>
      </c>
      <c r="E42">
        <v>410</v>
      </c>
      <c r="F42">
        <f t="shared" si="0"/>
        <v>7.516488625106768</v>
      </c>
    </row>
    <row r="43" spans="1:6" x14ac:dyDescent="0.25">
      <c r="A43">
        <v>1000</v>
      </c>
      <c r="B43">
        <v>1840.275513</v>
      </c>
      <c r="C43">
        <v>-9.9902619999999995</v>
      </c>
      <c r="D43" t="s">
        <v>622</v>
      </c>
      <c r="E43">
        <v>420</v>
      </c>
      <c r="F43">
        <f t="shared" si="0"/>
        <v>7.5176705747199035</v>
      </c>
    </row>
    <row r="44" spans="1:6" x14ac:dyDescent="0.25">
      <c r="A44">
        <v>1000</v>
      </c>
      <c r="B44">
        <v>1839.2280270000001</v>
      </c>
      <c r="C44">
        <v>-9.93032</v>
      </c>
      <c r="D44" t="s">
        <v>623</v>
      </c>
      <c r="E44">
        <v>430</v>
      </c>
      <c r="F44">
        <f t="shared" si="0"/>
        <v>7.5171012120235989</v>
      </c>
    </row>
    <row r="45" spans="1:6" x14ac:dyDescent="0.25">
      <c r="A45">
        <v>1000</v>
      </c>
      <c r="B45">
        <v>1837.658936</v>
      </c>
      <c r="C45">
        <v>-9.7684320000000007</v>
      </c>
      <c r="D45" t="s">
        <v>624</v>
      </c>
      <c r="E45">
        <v>440</v>
      </c>
      <c r="F45">
        <f t="shared" si="0"/>
        <v>7.5162477231287603</v>
      </c>
    </row>
    <row r="46" spans="1:6" x14ac:dyDescent="0.25">
      <c r="A46">
        <v>1000</v>
      </c>
      <c r="B46">
        <v>1837.2120359999999</v>
      </c>
      <c r="C46">
        <v>-9.7325870000000005</v>
      </c>
      <c r="D46" t="s">
        <v>625</v>
      </c>
      <c r="E46">
        <v>450</v>
      </c>
      <c r="F46">
        <f t="shared" si="0"/>
        <v>7.5160045037038561</v>
      </c>
    </row>
    <row r="47" spans="1:6" x14ac:dyDescent="0.25">
      <c r="A47">
        <v>1000</v>
      </c>
      <c r="B47">
        <v>1836.973389</v>
      </c>
      <c r="C47">
        <v>-9.7215489999999996</v>
      </c>
      <c r="D47" t="s">
        <v>626</v>
      </c>
      <c r="E47">
        <v>460</v>
      </c>
      <c r="F47">
        <f t="shared" si="0"/>
        <v>7.5158745989915294</v>
      </c>
    </row>
    <row r="48" spans="1:6" x14ac:dyDescent="0.25">
      <c r="A48">
        <v>1000</v>
      </c>
      <c r="B48">
        <v>1835.2154539999999</v>
      </c>
      <c r="C48">
        <v>-9.5694820000000007</v>
      </c>
      <c r="D48" t="s">
        <v>627</v>
      </c>
      <c r="E48">
        <v>470</v>
      </c>
      <c r="F48">
        <f t="shared" si="0"/>
        <v>7.5149171672202089</v>
      </c>
    </row>
    <row r="49" spans="1:6" x14ac:dyDescent="0.25">
      <c r="A49">
        <v>1000</v>
      </c>
      <c r="B49">
        <v>1834.327393</v>
      </c>
      <c r="C49">
        <v>-9.4954560000000008</v>
      </c>
      <c r="D49" t="s">
        <v>628</v>
      </c>
      <c r="E49">
        <v>480</v>
      </c>
      <c r="F49">
        <f t="shared" si="0"/>
        <v>7.514433149970996</v>
      </c>
    </row>
    <row r="50" spans="1:6" x14ac:dyDescent="0.25">
      <c r="A50">
        <v>1000</v>
      </c>
      <c r="B50">
        <v>1834.0555420000001</v>
      </c>
      <c r="C50">
        <v>-9.4392019999999999</v>
      </c>
      <c r="D50" t="s">
        <v>629</v>
      </c>
      <c r="E50">
        <v>490</v>
      </c>
      <c r="F50">
        <f t="shared" si="0"/>
        <v>7.5142849369816131</v>
      </c>
    </row>
    <row r="51" spans="1:6" x14ac:dyDescent="0.25">
      <c r="A51">
        <v>1000</v>
      </c>
      <c r="B51">
        <v>1834.5083010000001</v>
      </c>
      <c r="C51">
        <v>-9.5506709999999995</v>
      </c>
      <c r="D51" t="s">
        <v>630</v>
      </c>
      <c r="E51">
        <v>500</v>
      </c>
      <c r="F51">
        <f t="shared" si="0"/>
        <v>7.5145317687237743</v>
      </c>
    </row>
    <row r="52" spans="1:6" x14ac:dyDescent="0.25">
      <c r="A52">
        <v>1000</v>
      </c>
      <c r="B52">
        <v>1833.5081789999999</v>
      </c>
      <c r="C52">
        <v>-9.4310329999999993</v>
      </c>
      <c r="D52" t="s">
        <v>631</v>
      </c>
      <c r="E52">
        <v>510</v>
      </c>
      <c r="F52">
        <f t="shared" si="0"/>
        <v>7.5139864483686249</v>
      </c>
    </row>
    <row r="53" spans="1:6" x14ac:dyDescent="0.25">
      <c r="A53">
        <v>1000</v>
      </c>
      <c r="B53">
        <v>1832.707275</v>
      </c>
      <c r="C53">
        <v>-9.3596170000000001</v>
      </c>
      <c r="D53" t="s">
        <v>632</v>
      </c>
      <c r="E53">
        <v>520</v>
      </c>
      <c r="F53">
        <f t="shared" si="0"/>
        <v>7.5135495378690704</v>
      </c>
    </row>
    <row r="54" spans="1:6" x14ac:dyDescent="0.25">
      <c r="A54">
        <v>1000</v>
      </c>
      <c r="B54">
        <v>1832.5303960000001</v>
      </c>
      <c r="C54">
        <v>-9.3392769999999992</v>
      </c>
      <c r="D54" t="s">
        <v>633</v>
      </c>
      <c r="E54">
        <v>530</v>
      </c>
      <c r="F54">
        <f t="shared" si="0"/>
        <v>7.5134530207992301</v>
      </c>
    </row>
    <row r="55" spans="1:6" x14ac:dyDescent="0.25">
      <c r="A55">
        <v>1000</v>
      </c>
      <c r="B55">
        <v>1832.942749</v>
      </c>
      <c r="C55">
        <v>-9.3597950000000001</v>
      </c>
      <c r="D55" t="s">
        <v>634</v>
      </c>
      <c r="E55">
        <v>540</v>
      </c>
      <c r="F55">
        <f t="shared" si="0"/>
        <v>7.5136780138549302</v>
      </c>
    </row>
    <row r="56" spans="1:6" x14ac:dyDescent="0.25">
      <c r="A56">
        <v>1000</v>
      </c>
      <c r="B56">
        <v>1836.3743899999999</v>
      </c>
      <c r="C56">
        <v>-9.6385070000000006</v>
      </c>
      <c r="D56" t="s">
        <v>635</v>
      </c>
      <c r="E56">
        <v>550</v>
      </c>
      <c r="F56">
        <f t="shared" si="0"/>
        <v>7.5155484665143737</v>
      </c>
    </row>
    <row r="57" spans="1:6" x14ac:dyDescent="0.25">
      <c r="A57">
        <v>1000</v>
      </c>
      <c r="B57">
        <v>1838.402466</v>
      </c>
      <c r="C57">
        <v>-9.7528310000000005</v>
      </c>
      <c r="D57" t="s">
        <v>636</v>
      </c>
      <c r="E57">
        <v>560</v>
      </c>
      <c r="F57">
        <f t="shared" si="0"/>
        <v>7.5166522484774037</v>
      </c>
    </row>
    <row r="58" spans="1:6" x14ac:dyDescent="0.25">
      <c r="A58">
        <v>1000</v>
      </c>
      <c r="B58">
        <v>1838.1729740000001</v>
      </c>
      <c r="C58">
        <v>-9.7583359999999999</v>
      </c>
      <c r="D58" t="s">
        <v>637</v>
      </c>
      <c r="E58">
        <v>570</v>
      </c>
      <c r="F58">
        <f t="shared" si="0"/>
        <v>7.5165274083896412</v>
      </c>
    </row>
    <row r="59" spans="1:6" x14ac:dyDescent="0.25">
      <c r="A59">
        <v>1000</v>
      </c>
      <c r="B59">
        <v>1840.9884030000001</v>
      </c>
      <c r="C59">
        <v>-9.9351280000000006</v>
      </c>
      <c r="D59" t="s">
        <v>638</v>
      </c>
      <c r="E59">
        <v>580</v>
      </c>
      <c r="F59">
        <f t="shared" si="0"/>
        <v>7.5180578819193755</v>
      </c>
    </row>
    <row r="60" spans="1:6" x14ac:dyDescent="0.25">
      <c r="A60">
        <v>1000</v>
      </c>
      <c r="B60">
        <v>1844.9798579999999</v>
      </c>
      <c r="C60">
        <v>-10.175687999999999</v>
      </c>
      <c r="D60" t="s">
        <v>639</v>
      </c>
      <c r="E60">
        <v>590</v>
      </c>
      <c r="F60">
        <f t="shared" si="0"/>
        <v>7.5202236393418653</v>
      </c>
    </row>
    <row r="61" spans="1:6" x14ac:dyDescent="0.25">
      <c r="A61">
        <v>1000</v>
      </c>
      <c r="B61">
        <v>1846.8237300000001</v>
      </c>
      <c r="C61">
        <v>-10.294601</v>
      </c>
      <c r="D61" t="s">
        <v>640</v>
      </c>
      <c r="E61">
        <v>600</v>
      </c>
      <c r="F61">
        <f t="shared" si="0"/>
        <v>7.5212225398030448</v>
      </c>
    </row>
    <row r="62" spans="1:6" x14ac:dyDescent="0.25">
      <c r="A62">
        <v>1000</v>
      </c>
      <c r="B62">
        <v>1862.3394780000001</v>
      </c>
      <c r="C62">
        <v>-11.129032</v>
      </c>
      <c r="D62" t="s">
        <v>641</v>
      </c>
      <c r="E62">
        <v>610</v>
      </c>
      <c r="F62">
        <f t="shared" si="0"/>
        <v>7.5295887602307365</v>
      </c>
    </row>
    <row r="63" spans="1:6" x14ac:dyDescent="0.25">
      <c r="A63">
        <v>1000</v>
      </c>
      <c r="B63">
        <v>1849.605591</v>
      </c>
      <c r="C63">
        <v>-10.418952000000001</v>
      </c>
      <c r="D63" t="s">
        <v>642</v>
      </c>
      <c r="E63">
        <v>620</v>
      </c>
      <c r="F63">
        <f t="shared" si="0"/>
        <v>7.5227277012892335</v>
      </c>
    </row>
    <row r="64" spans="1:6" x14ac:dyDescent="0.25">
      <c r="A64">
        <v>1000</v>
      </c>
      <c r="B64">
        <v>1845.7357179999999</v>
      </c>
      <c r="C64">
        <v>-10.194661999999999</v>
      </c>
      <c r="D64" t="s">
        <v>643</v>
      </c>
      <c r="E64">
        <v>630</v>
      </c>
      <c r="F64">
        <f t="shared" si="0"/>
        <v>7.5206332401333666</v>
      </c>
    </row>
    <row r="65" spans="1:6" x14ac:dyDescent="0.25">
      <c r="A65">
        <v>1000</v>
      </c>
      <c r="B65">
        <v>1841.4282229999999</v>
      </c>
      <c r="C65">
        <v>-9.9046249999999993</v>
      </c>
      <c r="D65" t="s">
        <v>644</v>
      </c>
      <c r="E65">
        <v>640</v>
      </c>
      <c r="F65">
        <f t="shared" si="0"/>
        <v>7.5182967576614548</v>
      </c>
    </row>
    <row r="66" spans="1:6" x14ac:dyDescent="0.25">
      <c r="A66">
        <v>1000</v>
      </c>
      <c r="B66">
        <v>1838.8486330000001</v>
      </c>
      <c r="C66">
        <v>-9.6931349999999998</v>
      </c>
      <c r="D66" t="s">
        <v>645</v>
      </c>
      <c r="E66">
        <v>650</v>
      </c>
      <c r="F66">
        <f t="shared" ref="F66:F124" si="1">LN(B66)</f>
        <v>7.5168949118094295</v>
      </c>
    </row>
    <row r="67" spans="1:6" x14ac:dyDescent="0.25">
      <c r="A67">
        <v>1000</v>
      </c>
      <c r="B67">
        <v>1837.4060059999999</v>
      </c>
      <c r="C67">
        <v>-9.5659030000000005</v>
      </c>
      <c r="D67" t="s">
        <v>646</v>
      </c>
      <c r="E67">
        <v>660</v>
      </c>
      <c r="F67">
        <f t="shared" si="1"/>
        <v>7.5161100765813433</v>
      </c>
    </row>
    <row r="68" spans="1:6" x14ac:dyDescent="0.25">
      <c r="A68">
        <v>1000</v>
      </c>
      <c r="B68">
        <v>1836.1644289999999</v>
      </c>
      <c r="C68">
        <v>-9.4570969999999992</v>
      </c>
      <c r="D68" t="s">
        <v>647</v>
      </c>
      <c r="E68">
        <v>670</v>
      </c>
      <c r="F68">
        <f t="shared" si="1"/>
        <v>7.5154341254491994</v>
      </c>
    </row>
    <row r="69" spans="1:6" x14ac:dyDescent="0.25">
      <c r="A69">
        <v>1000</v>
      </c>
      <c r="B69">
        <v>1835.0947269999999</v>
      </c>
      <c r="C69">
        <v>-9.3483879999999999</v>
      </c>
      <c r="D69" t="s">
        <v>648</v>
      </c>
      <c r="E69">
        <v>680</v>
      </c>
      <c r="F69">
        <f t="shared" si="1"/>
        <v>7.5148513814996072</v>
      </c>
    </row>
    <row r="70" spans="1:6" x14ac:dyDescent="0.25">
      <c r="A70">
        <v>1000</v>
      </c>
      <c r="B70">
        <v>1834.6872559999999</v>
      </c>
      <c r="C70">
        <v>-9.3205480000000005</v>
      </c>
      <c r="D70" t="s">
        <v>649</v>
      </c>
      <c r="E70">
        <v>690</v>
      </c>
      <c r="F70">
        <f t="shared" si="1"/>
        <v>7.5146293132658206</v>
      </c>
    </row>
    <row r="71" spans="1:6" x14ac:dyDescent="0.25">
      <c r="A71">
        <v>1000</v>
      </c>
      <c r="B71">
        <v>1834.330688</v>
      </c>
      <c r="C71">
        <v>-9.2501300000000004</v>
      </c>
      <c r="D71" t="s">
        <v>650</v>
      </c>
      <c r="E71">
        <v>700</v>
      </c>
      <c r="F71">
        <f t="shared" si="1"/>
        <v>7.514434946268131</v>
      </c>
    </row>
    <row r="72" spans="1:6" x14ac:dyDescent="0.25">
      <c r="A72">
        <v>1000</v>
      </c>
      <c r="B72">
        <v>1838.3282469999999</v>
      </c>
      <c r="C72">
        <v>-9.5706290000000003</v>
      </c>
      <c r="D72" t="s">
        <v>651</v>
      </c>
      <c r="E72">
        <v>710</v>
      </c>
      <c r="F72">
        <f t="shared" si="1"/>
        <v>7.5166118761978957</v>
      </c>
    </row>
    <row r="73" spans="1:6" x14ac:dyDescent="0.25">
      <c r="A73">
        <v>1000</v>
      </c>
      <c r="B73">
        <v>1839.6279300000001</v>
      </c>
      <c r="C73">
        <v>-9.6221689999999995</v>
      </c>
      <c r="D73" t="s">
        <v>652</v>
      </c>
      <c r="E73">
        <v>720</v>
      </c>
      <c r="F73">
        <f t="shared" si="1"/>
        <v>7.5173186181989156</v>
      </c>
    </row>
    <row r="74" spans="1:6" x14ac:dyDescent="0.25">
      <c r="A74">
        <v>1000</v>
      </c>
      <c r="B74">
        <v>1837.5217290000001</v>
      </c>
      <c r="C74">
        <v>-9.4811669999999992</v>
      </c>
      <c r="D74" t="s">
        <v>653</v>
      </c>
      <c r="E74">
        <v>730</v>
      </c>
      <c r="F74">
        <f t="shared" si="1"/>
        <v>7.5161730563231961</v>
      </c>
    </row>
    <row r="75" spans="1:6" x14ac:dyDescent="0.25">
      <c r="A75">
        <v>1000</v>
      </c>
      <c r="B75">
        <v>1837.844482</v>
      </c>
      <c r="C75">
        <v>-9.476604</v>
      </c>
      <c r="D75" t="s">
        <v>654</v>
      </c>
      <c r="E75">
        <v>740</v>
      </c>
      <c r="F75">
        <f t="shared" si="1"/>
        <v>7.5163486867133669</v>
      </c>
    </row>
    <row r="76" spans="1:6" x14ac:dyDescent="0.25">
      <c r="A76">
        <v>1000</v>
      </c>
      <c r="B76">
        <v>1838.3798830000001</v>
      </c>
      <c r="C76">
        <v>-9.5025320000000004</v>
      </c>
      <c r="D76" t="s">
        <v>655</v>
      </c>
      <c r="E76">
        <v>750</v>
      </c>
      <c r="F76">
        <f t="shared" si="1"/>
        <v>7.5166399643670827</v>
      </c>
    </row>
    <row r="77" spans="1:6" x14ac:dyDescent="0.25">
      <c r="A77">
        <v>1000</v>
      </c>
      <c r="B77">
        <v>1837.403198</v>
      </c>
      <c r="C77">
        <v>-9.4093680000000006</v>
      </c>
      <c r="D77" t="s">
        <v>656</v>
      </c>
      <c r="E77">
        <v>760</v>
      </c>
      <c r="F77">
        <f t="shared" si="1"/>
        <v>7.5161085483387362</v>
      </c>
    </row>
    <row r="78" spans="1:6" x14ac:dyDescent="0.25">
      <c r="A78">
        <v>1000</v>
      </c>
      <c r="B78">
        <v>1838.0180660000001</v>
      </c>
      <c r="C78">
        <v>-9.4249279999999995</v>
      </c>
      <c r="D78" t="s">
        <v>657</v>
      </c>
      <c r="E78">
        <v>770</v>
      </c>
      <c r="F78">
        <f t="shared" si="1"/>
        <v>7.5164431320294591</v>
      </c>
    </row>
    <row r="79" spans="1:6" x14ac:dyDescent="0.25">
      <c r="A79">
        <v>1000</v>
      </c>
      <c r="B79">
        <v>1836.6035159999999</v>
      </c>
      <c r="C79">
        <v>-9.3089370000000002</v>
      </c>
      <c r="D79" t="s">
        <v>658</v>
      </c>
      <c r="E79">
        <v>780</v>
      </c>
      <c r="F79">
        <f t="shared" si="1"/>
        <v>7.515673229584646</v>
      </c>
    </row>
    <row r="80" spans="1:6" x14ac:dyDescent="0.25">
      <c r="A80">
        <v>1000</v>
      </c>
      <c r="B80">
        <v>1836.869019</v>
      </c>
      <c r="C80">
        <v>-9.3114640000000009</v>
      </c>
      <c r="D80" t="s">
        <v>659</v>
      </c>
      <c r="E80">
        <v>790</v>
      </c>
      <c r="F80">
        <f t="shared" si="1"/>
        <v>7.5158177810943867</v>
      </c>
    </row>
    <row r="81" spans="1:6" x14ac:dyDescent="0.25">
      <c r="A81">
        <v>1000</v>
      </c>
      <c r="B81">
        <v>1836.3405760000001</v>
      </c>
      <c r="C81">
        <v>-9.2802769999999999</v>
      </c>
      <c r="D81" t="s">
        <v>660</v>
      </c>
      <c r="E81">
        <v>800</v>
      </c>
      <c r="F81">
        <f t="shared" si="1"/>
        <v>7.515530052888316</v>
      </c>
    </row>
    <row r="82" spans="1:6" x14ac:dyDescent="0.25">
      <c r="A82">
        <v>1000</v>
      </c>
      <c r="B82">
        <v>1842.344482</v>
      </c>
      <c r="C82">
        <v>-9.7093769999999999</v>
      </c>
      <c r="D82" t="s">
        <v>661</v>
      </c>
      <c r="E82">
        <v>810</v>
      </c>
      <c r="F82">
        <f t="shared" si="1"/>
        <v>7.5187942145309581</v>
      </c>
    </row>
    <row r="83" spans="1:6" x14ac:dyDescent="0.25">
      <c r="A83">
        <v>1000</v>
      </c>
      <c r="B83">
        <v>1841.744751</v>
      </c>
      <c r="C83">
        <v>-9.6395999999999997</v>
      </c>
      <c r="D83" t="s">
        <v>662</v>
      </c>
      <c r="E83">
        <v>820</v>
      </c>
      <c r="F83">
        <f t="shared" si="1"/>
        <v>7.5184686355520745</v>
      </c>
    </row>
    <row r="84" spans="1:6" x14ac:dyDescent="0.25">
      <c r="A84">
        <v>1000</v>
      </c>
      <c r="B84">
        <v>1845.549438</v>
      </c>
      <c r="C84">
        <v>-9.8645460000000007</v>
      </c>
      <c r="D84" t="s">
        <v>663</v>
      </c>
      <c r="E84">
        <v>830</v>
      </c>
      <c r="F84">
        <f t="shared" si="1"/>
        <v>7.5205323105154767</v>
      </c>
    </row>
    <row r="85" spans="1:6" x14ac:dyDescent="0.25">
      <c r="A85">
        <v>1000</v>
      </c>
      <c r="B85">
        <v>1844.2958980000001</v>
      </c>
      <c r="C85">
        <v>-9.7930469999999996</v>
      </c>
      <c r="D85" t="s">
        <v>664</v>
      </c>
      <c r="E85">
        <v>840</v>
      </c>
      <c r="F85">
        <f t="shared" si="1"/>
        <v>7.5198528565362031</v>
      </c>
    </row>
    <row r="86" spans="1:6" x14ac:dyDescent="0.25">
      <c r="A86">
        <v>1000</v>
      </c>
      <c r="B86">
        <v>1841.2280270000001</v>
      </c>
      <c r="C86">
        <v>-9.5521060000000002</v>
      </c>
      <c r="D86" t="s">
        <v>665</v>
      </c>
      <c r="E86">
        <v>850</v>
      </c>
      <c r="F86">
        <f t="shared" si="1"/>
        <v>7.5181880339649672</v>
      </c>
    </row>
    <row r="87" spans="1:6" x14ac:dyDescent="0.25">
      <c r="A87">
        <v>1000</v>
      </c>
      <c r="B87">
        <v>1838.7617190000001</v>
      </c>
      <c r="C87">
        <v>-9.3650540000000007</v>
      </c>
      <c r="D87" t="s">
        <v>666</v>
      </c>
      <c r="E87">
        <v>860</v>
      </c>
      <c r="F87">
        <f t="shared" si="1"/>
        <v>7.5168476452467994</v>
      </c>
    </row>
    <row r="88" spans="1:6" x14ac:dyDescent="0.25">
      <c r="A88">
        <v>1000</v>
      </c>
      <c r="B88">
        <v>1837.2314449999999</v>
      </c>
      <c r="C88">
        <v>-9.2435860000000005</v>
      </c>
      <c r="D88" t="s">
        <v>667</v>
      </c>
      <c r="E88">
        <v>870</v>
      </c>
      <c r="F88">
        <f t="shared" si="1"/>
        <v>7.5160150680247391</v>
      </c>
    </row>
    <row r="89" spans="1:6" x14ac:dyDescent="0.25">
      <c r="A89">
        <v>1000</v>
      </c>
      <c r="B89">
        <v>1836.9411620000001</v>
      </c>
      <c r="C89">
        <v>-9.210445</v>
      </c>
      <c r="D89" t="s">
        <v>668</v>
      </c>
      <c r="E89">
        <v>880</v>
      </c>
      <c r="F89">
        <f t="shared" si="1"/>
        <v>7.5158570553064195</v>
      </c>
    </row>
    <row r="90" spans="1:6" x14ac:dyDescent="0.25">
      <c r="A90">
        <v>1000</v>
      </c>
      <c r="B90">
        <v>1840.979004</v>
      </c>
      <c r="C90">
        <v>-9.4452940000000005</v>
      </c>
      <c r="D90" t="s">
        <v>669</v>
      </c>
      <c r="E90">
        <v>890</v>
      </c>
      <c r="F90">
        <f t="shared" si="1"/>
        <v>7.5180527764966696</v>
      </c>
    </row>
    <row r="91" spans="1:6" x14ac:dyDescent="0.25">
      <c r="A91">
        <v>1000</v>
      </c>
      <c r="B91">
        <v>1840.2376710000001</v>
      </c>
      <c r="C91">
        <v>-9.3946149999999999</v>
      </c>
      <c r="D91" t="s">
        <v>670</v>
      </c>
      <c r="E91">
        <v>900</v>
      </c>
      <c r="F91">
        <f t="shared" si="1"/>
        <v>7.5176500112831706</v>
      </c>
    </row>
    <row r="92" spans="1:6" x14ac:dyDescent="0.25">
      <c r="A92">
        <v>1000</v>
      </c>
      <c r="B92">
        <v>1841.6397710000001</v>
      </c>
      <c r="C92">
        <v>-9.4932160000000003</v>
      </c>
      <c r="D92" t="s">
        <v>671</v>
      </c>
      <c r="E92">
        <v>910</v>
      </c>
      <c r="F92">
        <f t="shared" si="1"/>
        <v>7.5184116336293041</v>
      </c>
    </row>
    <row r="93" spans="1:6" x14ac:dyDescent="0.25">
      <c r="A93">
        <v>1000</v>
      </c>
      <c r="B93">
        <v>1841.5373540000001</v>
      </c>
      <c r="C93">
        <v>-9.4168819999999993</v>
      </c>
      <c r="D93" t="s">
        <v>672</v>
      </c>
      <c r="E93">
        <v>920</v>
      </c>
      <c r="F93">
        <f t="shared" si="1"/>
        <v>7.518356020230029</v>
      </c>
    </row>
    <row r="94" spans="1:6" x14ac:dyDescent="0.25">
      <c r="A94">
        <v>1000</v>
      </c>
      <c r="B94">
        <v>1840.8585210000001</v>
      </c>
      <c r="C94">
        <v>-9.3496310000000005</v>
      </c>
      <c r="D94" t="s">
        <v>673</v>
      </c>
      <c r="E94">
        <v>930</v>
      </c>
      <c r="F94">
        <f t="shared" si="1"/>
        <v>7.5179873292849315</v>
      </c>
    </row>
    <row r="95" spans="1:6" x14ac:dyDescent="0.25">
      <c r="A95">
        <v>1000</v>
      </c>
      <c r="B95">
        <v>1839.6235349999999</v>
      </c>
      <c r="C95">
        <v>-9.2998530000000006</v>
      </c>
      <c r="D95" t="s">
        <v>674</v>
      </c>
      <c r="E95">
        <v>940</v>
      </c>
      <c r="F95">
        <f t="shared" si="1"/>
        <v>7.5173162291260063</v>
      </c>
    </row>
    <row r="96" spans="1:6" x14ac:dyDescent="0.25">
      <c r="A96">
        <v>1000</v>
      </c>
      <c r="B96">
        <v>1839.1226810000001</v>
      </c>
      <c r="C96">
        <v>-9.2253220000000002</v>
      </c>
      <c r="D96" t="s">
        <v>675</v>
      </c>
      <c r="E96">
        <v>950</v>
      </c>
      <c r="F96">
        <f t="shared" si="1"/>
        <v>7.5170439330916041</v>
      </c>
    </row>
    <row r="97" spans="1:6" x14ac:dyDescent="0.25">
      <c r="A97">
        <v>1000</v>
      </c>
      <c r="B97">
        <v>1838.800293</v>
      </c>
      <c r="C97">
        <v>-9.171049</v>
      </c>
      <c r="D97" t="s">
        <v>676</v>
      </c>
      <c r="E97">
        <v>960</v>
      </c>
      <c r="F97">
        <f t="shared" si="1"/>
        <v>7.5168686232751103</v>
      </c>
    </row>
    <row r="98" spans="1:6" x14ac:dyDescent="0.25">
      <c r="A98">
        <v>1000</v>
      </c>
      <c r="B98">
        <v>1837.8364260000001</v>
      </c>
      <c r="C98">
        <v>-9.1019279999999991</v>
      </c>
      <c r="D98" t="s">
        <v>677</v>
      </c>
      <c r="E98">
        <v>970</v>
      </c>
      <c r="F98">
        <f t="shared" si="1"/>
        <v>7.5163443033078421</v>
      </c>
    </row>
    <row r="99" spans="1:6" x14ac:dyDescent="0.25">
      <c r="A99">
        <v>1000</v>
      </c>
      <c r="B99">
        <v>1846.637817</v>
      </c>
      <c r="C99">
        <v>-9.6876440000000006</v>
      </c>
      <c r="D99" t="s">
        <v>678</v>
      </c>
      <c r="E99">
        <v>980</v>
      </c>
      <c r="F99">
        <f t="shared" si="1"/>
        <v>7.5211218683880094</v>
      </c>
    </row>
    <row r="100" spans="1:6" x14ac:dyDescent="0.25">
      <c r="A100">
        <v>1000</v>
      </c>
      <c r="B100">
        <v>1847.306885</v>
      </c>
      <c r="C100">
        <v>-9.7317940000000007</v>
      </c>
      <c r="D100" t="s">
        <v>679</v>
      </c>
      <c r="E100">
        <v>990</v>
      </c>
      <c r="F100">
        <f t="shared" si="1"/>
        <v>7.5214841196187621</v>
      </c>
    </row>
    <row r="101" spans="1:6" x14ac:dyDescent="0.25">
      <c r="A101">
        <v>1000</v>
      </c>
      <c r="B101">
        <v>1846.418091</v>
      </c>
      <c r="C101">
        <v>-9.6150929999999999</v>
      </c>
      <c r="D101" t="s">
        <v>680</v>
      </c>
      <c r="E101">
        <v>1000</v>
      </c>
      <c r="F101">
        <f t="shared" si="1"/>
        <v>7.5210028742510495</v>
      </c>
    </row>
    <row r="102" spans="1:6" x14ac:dyDescent="0.25">
      <c r="A102">
        <v>1000</v>
      </c>
      <c r="B102">
        <v>1843.169312</v>
      </c>
      <c r="C102">
        <v>-9.3973739999999992</v>
      </c>
      <c r="D102" t="s">
        <v>681</v>
      </c>
      <c r="E102">
        <v>1010</v>
      </c>
      <c r="F102">
        <f t="shared" si="1"/>
        <v>7.519241821057415</v>
      </c>
    </row>
    <row r="103" spans="1:6" x14ac:dyDescent="0.25">
      <c r="A103">
        <v>1000</v>
      </c>
      <c r="B103">
        <v>1842.1292719999999</v>
      </c>
      <c r="C103">
        <v>-9.251277</v>
      </c>
      <c r="D103" t="s">
        <v>682</v>
      </c>
      <c r="E103">
        <v>1020</v>
      </c>
      <c r="F103">
        <f t="shared" si="1"/>
        <v>7.518677394591605</v>
      </c>
    </row>
    <row r="104" spans="1:6" x14ac:dyDescent="0.25">
      <c r="A104">
        <v>1000</v>
      </c>
      <c r="B104">
        <v>1840.0711670000001</v>
      </c>
      <c r="C104">
        <v>-9.1097280000000005</v>
      </c>
      <c r="D104" t="s">
        <v>683</v>
      </c>
      <c r="E104">
        <v>1030</v>
      </c>
      <c r="F104">
        <f t="shared" si="1"/>
        <v>7.5175595275724589</v>
      </c>
    </row>
    <row r="105" spans="1:6" x14ac:dyDescent="0.25">
      <c r="A105">
        <v>1000</v>
      </c>
      <c r="B105">
        <v>1839.3720699999999</v>
      </c>
      <c r="C105">
        <v>-9.0505239999999993</v>
      </c>
      <c r="D105" t="s">
        <v>684</v>
      </c>
      <c r="E105">
        <v>1040</v>
      </c>
      <c r="F105">
        <f t="shared" si="1"/>
        <v>7.5171795260540861</v>
      </c>
    </row>
    <row r="106" spans="1:6" x14ac:dyDescent="0.25">
      <c r="A106">
        <v>1000</v>
      </c>
      <c r="B106">
        <v>1839.086914</v>
      </c>
      <c r="C106">
        <v>-8.9934910000000006</v>
      </c>
      <c r="D106" t="s">
        <v>685</v>
      </c>
      <c r="E106">
        <v>1050</v>
      </c>
      <c r="F106">
        <f t="shared" si="1"/>
        <v>7.5170244850427217</v>
      </c>
    </row>
    <row r="107" spans="1:6" x14ac:dyDescent="0.25">
      <c r="A107">
        <v>1000</v>
      </c>
      <c r="B107">
        <v>1838.1295170000001</v>
      </c>
      <c r="C107">
        <v>-8.9076909999999998</v>
      </c>
      <c r="D107" t="s">
        <v>686</v>
      </c>
      <c r="E107">
        <v>1060</v>
      </c>
      <c r="F107">
        <f t="shared" si="1"/>
        <v>7.5165037667006835</v>
      </c>
    </row>
    <row r="108" spans="1:6" x14ac:dyDescent="0.25">
      <c r="A108">
        <v>1000</v>
      </c>
      <c r="B108">
        <v>1838.280884</v>
      </c>
      <c r="C108">
        <v>-8.8479259999999993</v>
      </c>
      <c r="D108" t="s">
        <v>687</v>
      </c>
      <c r="E108">
        <v>1070</v>
      </c>
      <c r="F108">
        <f t="shared" si="1"/>
        <v>7.5165861116967942</v>
      </c>
    </row>
    <row r="109" spans="1:6" x14ac:dyDescent="0.25">
      <c r="A109">
        <v>1000</v>
      </c>
      <c r="B109">
        <v>1837.7344969999999</v>
      </c>
      <c r="C109">
        <v>-8.8102099999999997</v>
      </c>
      <c r="D109" t="s">
        <v>688</v>
      </c>
      <c r="E109">
        <v>1080</v>
      </c>
      <c r="F109">
        <f t="shared" si="1"/>
        <v>7.5162888403595485</v>
      </c>
    </row>
    <row r="110" spans="1:6" x14ac:dyDescent="0.25">
      <c r="A110">
        <v>1000</v>
      </c>
      <c r="B110">
        <v>1837.4754640000001</v>
      </c>
      <c r="C110">
        <v>-8.7429319999999997</v>
      </c>
      <c r="D110" t="s">
        <v>689</v>
      </c>
      <c r="E110">
        <v>1090</v>
      </c>
      <c r="F110">
        <f t="shared" si="1"/>
        <v>7.5161478780726707</v>
      </c>
    </row>
    <row r="111" spans="1:6" x14ac:dyDescent="0.25">
      <c r="A111">
        <v>1000</v>
      </c>
      <c r="B111">
        <v>1837.026001</v>
      </c>
      <c r="C111">
        <v>-8.711487</v>
      </c>
      <c r="D111" t="s">
        <v>690</v>
      </c>
      <c r="E111">
        <v>1100</v>
      </c>
      <c r="F111">
        <f t="shared" si="1"/>
        <v>7.5159032391704832</v>
      </c>
    </row>
    <row r="112" spans="1:6" x14ac:dyDescent="0.25">
      <c r="A112">
        <v>1000</v>
      </c>
      <c r="B112">
        <v>1837.3251949999999</v>
      </c>
      <c r="C112">
        <v>-8.6784829999999999</v>
      </c>
      <c r="D112" t="s">
        <v>691</v>
      </c>
      <c r="E112">
        <v>1110</v>
      </c>
      <c r="F112">
        <f t="shared" si="1"/>
        <v>7.5160660945888695</v>
      </c>
    </row>
    <row r="113" spans="1:6" x14ac:dyDescent="0.25">
      <c r="A113">
        <v>1000</v>
      </c>
      <c r="B113">
        <v>1836.375</v>
      </c>
      <c r="C113">
        <v>-8.6442779999999999</v>
      </c>
      <c r="D113" t="s">
        <v>692</v>
      </c>
      <c r="E113">
        <v>1120</v>
      </c>
      <c r="F113">
        <f t="shared" si="1"/>
        <v>7.5155487986905909</v>
      </c>
    </row>
    <row r="114" spans="1:6" x14ac:dyDescent="0.25">
      <c r="A114">
        <v>1000</v>
      </c>
      <c r="B114">
        <v>1836.417236</v>
      </c>
      <c r="C114">
        <v>-8.5885569999999998</v>
      </c>
      <c r="D114" t="s">
        <v>693</v>
      </c>
      <c r="E114">
        <v>1130</v>
      </c>
      <c r="F114">
        <f t="shared" si="1"/>
        <v>7.5155717980857588</v>
      </c>
    </row>
    <row r="115" spans="1:6" x14ac:dyDescent="0.25">
      <c r="A115">
        <v>1000</v>
      </c>
      <c r="B115">
        <v>1836.741943</v>
      </c>
      <c r="C115">
        <v>-8.5671789999999994</v>
      </c>
      <c r="D115" t="s">
        <v>694</v>
      </c>
      <c r="E115">
        <v>1140</v>
      </c>
      <c r="F115">
        <f t="shared" si="1"/>
        <v>7.5157485979384315</v>
      </c>
    </row>
    <row r="116" spans="1:6" x14ac:dyDescent="0.25">
      <c r="A116">
        <v>1000</v>
      </c>
      <c r="B116">
        <v>1836.669922</v>
      </c>
      <c r="C116">
        <v>-8.5349810000000002</v>
      </c>
      <c r="D116" t="s">
        <v>695</v>
      </c>
      <c r="E116">
        <v>1150</v>
      </c>
      <c r="F116">
        <f t="shared" si="1"/>
        <v>7.5157093858910731</v>
      </c>
    </row>
    <row r="117" spans="1:6" x14ac:dyDescent="0.25">
      <c r="A117">
        <v>1000</v>
      </c>
      <c r="B117">
        <v>1836.496948</v>
      </c>
      <c r="C117">
        <v>-8.5036719999999999</v>
      </c>
      <c r="D117" t="s">
        <v>696</v>
      </c>
      <c r="E117">
        <v>1160</v>
      </c>
      <c r="F117">
        <f t="shared" si="1"/>
        <v>7.5156152034015484</v>
      </c>
    </row>
    <row r="118" spans="1:6" x14ac:dyDescent="0.25">
      <c r="A118">
        <v>1000</v>
      </c>
      <c r="B118">
        <v>1838.5922849999999</v>
      </c>
      <c r="C118">
        <v>-8.6413960000000003</v>
      </c>
      <c r="D118" t="s">
        <v>697</v>
      </c>
      <c r="E118">
        <v>1170</v>
      </c>
      <c r="F118">
        <f t="shared" si="1"/>
        <v>7.5167554952933617</v>
      </c>
    </row>
    <row r="119" spans="1:6" x14ac:dyDescent="0.25">
      <c r="A119">
        <v>1000</v>
      </c>
      <c r="B119">
        <v>1842.712769</v>
      </c>
      <c r="C119">
        <v>-9.0190359999999998</v>
      </c>
      <c r="D119" t="s">
        <v>698</v>
      </c>
      <c r="E119">
        <v>1180</v>
      </c>
      <c r="F119">
        <f t="shared" si="1"/>
        <v>7.5189940958224231</v>
      </c>
    </row>
    <row r="120" spans="1:6" x14ac:dyDescent="0.25">
      <c r="A120">
        <v>1000</v>
      </c>
      <c r="B120">
        <v>1841.557129</v>
      </c>
      <c r="C120">
        <v>-8.8441709999999993</v>
      </c>
      <c r="D120" t="s">
        <v>699</v>
      </c>
      <c r="E120">
        <v>1190</v>
      </c>
      <c r="F120">
        <f t="shared" si="1"/>
        <v>7.5183667584829257</v>
      </c>
    </row>
    <row r="121" spans="1:6" x14ac:dyDescent="0.25">
      <c r="A121">
        <v>1000</v>
      </c>
      <c r="B121">
        <v>1840.222534</v>
      </c>
      <c r="C121">
        <v>-8.7081800000000005</v>
      </c>
      <c r="D121" t="s">
        <v>700</v>
      </c>
      <c r="E121">
        <v>1200</v>
      </c>
      <c r="F121">
        <f t="shared" si="1"/>
        <v>7.517641785681394</v>
      </c>
    </row>
    <row r="122" spans="1:6" x14ac:dyDescent="0.25">
      <c r="A122">
        <v>1000</v>
      </c>
      <c r="B122">
        <v>1839.6007079999999</v>
      </c>
      <c r="C122">
        <v>-8.6288</v>
      </c>
      <c r="D122" t="s">
        <v>701</v>
      </c>
      <c r="E122">
        <v>1210</v>
      </c>
      <c r="F122">
        <f t="shared" si="1"/>
        <v>7.5173038205319695</v>
      </c>
    </row>
    <row r="123" spans="1:6" x14ac:dyDescent="0.25">
      <c r="A123">
        <v>1000</v>
      </c>
      <c r="B123">
        <v>1839.2666019999999</v>
      </c>
      <c r="C123">
        <v>-8.5920400000000008</v>
      </c>
      <c r="D123" t="s">
        <v>702</v>
      </c>
      <c r="E123">
        <v>1220</v>
      </c>
      <c r="F123">
        <f t="shared" si="1"/>
        <v>7.517122185277004</v>
      </c>
    </row>
    <row r="124" spans="1:6" x14ac:dyDescent="0.25">
      <c r="A124">
        <v>1000</v>
      </c>
      <c r="B124">
        <v>1839.0708010000001</v>
      </c>
      <c r="C124">
        <v>-8.5323580000000003</v>
      </c>
      <c r="D124" t="s">
        <v>703</v>
      </c>
      <c r="E124">
        <v>1230</v>
      </c>
      <c r="F124">
        <f t="shared" si="1"/>
        <v>7.5170157235913386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"/>
  <sheetViews>
    <sheetView topLeftCell="A142" zoomScaleNormal="100" workbookViewId="0">
      <selection sqref="A1:D193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3.140625" bestFit="1" customWidth="1"/>
    <col min="14" max="14" width="16.7109375" bestFit="1" customWidth="1"/>
  </cols>
  <sheetData>
    <row r="1" spans="1:13" x14ac:dyDescent="0.25">
      <c r="A1">
        <v>1000</v>
      </c>
      <c r="B1">
        <v>2432.8432619999999</v>
      </c>
      <c r="C1">
        <v>-22.830976</v>
      </c>
      <c r="D1" t="s">
        <v>0</v>
      </c>
      <c r="E1">
        <v>0</v>
      </c>
      <c r="F1">
        <f t="shared" ref="F1:F32" si="0">LN(B1)</f>
        <v>7.796815919006753</v>
      </c>
      <c r="I1" s="1" t="s">
        <v>194</v>
      </c>
      <c r="J1" s="1" t="s">
        <v>195</v>
      </c>
      <c r="M1" t="s">
        <v>704</v>
      </c>
    </row>
    <row r="2" spans="1:13" x14ac:dyDescent="0.25">
      <c r="A2">
        <v>1000</v>
      </c>
      <c r="B2">
        <v>2419.08374</v>
      </c>
      <c r="C2">
        <v>-22.819105</v>
      </c>
      <c r="D2" t="s">
        <v>1</v>
      </c>
      <c r="E2">
        <v>10</v>
      </c>
      <c r="F2">
        <f t="shared" si="0"/>
        <v>7.7911441276214344</v>
      </c>
      <c r="H2" t="s">
        <v>197</v>
      </c>
      <c r="I2">
        <f>1/(0.00006)</f>
        <v>16666.666666666668</v>
      </c>
      <c r="J2">
        <f>1/(0.0002)</f>
        <v>5000</v>
      </c>
      <c r="K2" s="3" t="s">
        <v>577</v>
      </c>
      <c r="M2">
        <v>1478</v>
      </c>
    </row>
    <row r="3" spans="1:13" x14ac:dyDescent="0.25">
      <c r="A3">
        <v>1000</v>
      </c>
      <c r="B3">
        <v>2405.0854490000002</v>
      </c>
      <c r="C3">
        <v>-22.705029</v>
      </c>
      <c r="D3" t="s">
        <v>2</v>
      </c>
      <c r="E3">
        <v>20</v>
      </c>
      <c r="F3">
        <f t="shared" si="0"/>
        <v>7.7853407116384252</v>
      </c>
      <c r="I3">
        <f>I2/60</f>
        <v>277.77777777777777</v>
      </c>
      <c r="J3">
        <f>J2/60</f>
        <v>83.333333333333329</v>
      </c>
      <c r="K3" s="3" t="s">
        <v>578</v>
      </c>
    </row>
    <row r="4" spans="1:13" x14ac:dyDescent="0.25">
      <c r="A4">
        <v>1000</v>
      </c>
      <c r="B4">
        <v>2389.3305660000001</v>
      </c>
      <c r="C4">
        <v>-22.435359999999999</v>
      </c>
      <c r="D4" t="s">
        <v>3</v>
      </c>
      <c r="E4">
        <v>30</v>
      </c>
      <c r="F4">
        <f t="shared" si="0"/>
        <v>7.7787685077828614</v>
      </c>
      <c r="I4">
        <f>I3/60</f>
        <v>4.6296296296296298</v>
      </c>
      <c r="J4">
        <f>J3/60</f>
        <v>1.3888888888888888</v>
      </c>
      <c r="K4" s="3" t="s">
        <v>579</v>
      </c>
    </row>
    <row r="5" spans="1:13" x14ac:dyDescent="0.25">
      <c r="A5">
        <v>1000</v>
      </c>
      <c r="B5">
        <v>2374.0253910000001</v>
      </c>
      <c r="C5">
        <v>-22.189938000000001</v>
      </c>
      <c r="D5" t="s">
        <v>4</v>
      </c>
      <c r="E5">
        <v>40</v>
      </c>
      <c r="F5">
        <f t="shared" si="0"/>
        <v>7.7723422705631338</v>
      </c>
    </row>
    <row r="6" spans="1:13" x14ac:dyDescent="0.25">
      <c r="A6">
        <v>1000</v>
      </c>
      <c r="B6">
        <v>2365.4309079999998</v>
      </c>
      <c r="C6">
        <v>-22.056979999999999</v>
      </c>
      <c r="D6" t="s">
        <v>5</v>
      </c>
      <c r="E6">
        <v>50</v>
      </c>
      <c r="F6">
        <f t="shared" si="0"/>
        <v>7.7687154864434085</v>
      </c>
    </row>
    <row r="7" spans="1:13" x14ac:dyDescent="0.25">
      <c r="A7">
        <v>1000</v>
      </c>
      <c r="B7">
        <v>2356.9975589999999</v>
      </c>
      <c r="C7">
        <v>-21.950415</v>
      </c>
      <c r="D7" t="s">
        <v>6</v>
      </c>
      <c r="E7">
        <v>60</v>
      </c>
      <c r="F7">
        <f t="shared" si="0"/>
        <v>7.7651438672970716</v>
      </c>
    </row>
    <row r="8" spans="1:13" x14ac:dyDescent="0.25">
      <c r="A8">
        <v>1000</v>
      </c>
      <c r="B8">
        <v>2349.9807129999999</v>
      </c>
      <c r="C8">
        <v>-21.83832</v>
      </c>
      <c r="D8" t="s">
        <v>7</v>
      </c>
      <c r="E8">
        <v>70</v>
      </c>
      <c r="F8">
        <f t="shared" si="0"/>
        <v>7.7621623998704825</v>
      </c>
    </row>
    <row r="9" spans="1:13" x14ac:dyDescent="0.25">
      <c r="A9">
        <v>1000</v>
      </c>
      <c r="B9">
        <v>2340.201172</v>
      </c>
      <c r="C9">
        <v>-21.623974</v>
      </c>
      <c r="D9" t="s">
        <v>8</v>
      </c>
      <c r="E9">
        <v>80</v>
      </c>
      <c r="F9">
        <f t="shared" si="0"/>
        <v>7.7579921755966286</v>
      </c>
    </row>
    <row r="10" spans="1:13" x14ac:dyDescent="0.25">
      <c r="A10">
        <v>1000</v>
      </c>
      <c r="B10">
        <v>2328.459961</v>
      </c>
      <c r="C10">
        <v>-21.376460999999999</v>
      </c>
      <c r="D10" t="s">
        <v>9</v>
      </c>
      <c r="E10">
        <v>90</v>
      </c>
      <c r="F10">
        <f t="shared" si="0"/>
        <v>7.7529623670845567</v>
      </c>
    </row>
    <row r="11" spans="1:13" x14ac:dyDescent="0.25">
      <c r="A11">
        <v>1000</v>
      </c>
      <c r="B11">
        <v>2318.570557</v>
      </c>
      <c r="C11">
        <v>-21.165980999999999</v>
      </c>
      <c r="D11" t="s">
        <v>10</v>
      </c>
      <c r="E11">
        <v>100</v>
      </c>
      <c r="F11">
        <f t="shared" si="0"/>
        <v>7.7487061355444418</v>
      </c>
    </row>
    <row r="12" spans="1:13" x14ac:dyDescent="0.25">
      <c r="A12">
        <v>1000</v>
      </c>
      <c r="B12">
        <v>2312.9536130000001</v>
      </c>
      <c r="C12">
        <v>-21.038546</v>
      </c>
      <c r="D12" t="s">
        <v>11</v>
      </c>
      <c r="E12">
        <v>110</v>
      </c>
      <c r="F12">
        <f t="shared" si="0"/>
        <v>7.7462806071232899</v>
      </c>
    </row>
    <row r="13" spans="1:13" x14ac:dyDescent="0.25">
      <c r="A13">
        <v>1000</v>
      </c>
      <c r="B13">
        <v>2307.9187010000001</v>
      </c>
      <c r="C13">
        <v>-20.948768999999999</v>
      </c>
      <c r="D13" t="s">
        <v>12</v>
      </c>
      <c r="E13">
        <v>120</v>
      </c>
      <c r="F13">
        <f t="shared" si="0"/>
        <v>7.7441014021375629</v>
      </c>
    </row>
    <row r="14" spans="1:13" x14ac:dyDescent="0.25">
      <c r="A14">
        <v>1000</v>
      </c>
      <c r="B14">
        <v>2299.6652829999998</v>
      </c>
      <c r="C14">
        <v>-20.791224</v>
      </c>
      <c r="D14" t="s">
        <v>13</v>
      </c>
      <c r="E14">
        <v>130</v>
      </c>
      <c r="F14">
        <f t="shared" si="0"/>
        <v>7.7405188621964145</v>
      </c>
    </row>
    <row r="15" spans="1:13" x14ac:dyDescent="0.25">
      <c r="A15">
        <v>1000</v>
      </c>
      <c r="B15">
        <v>2286.639893</v>
      </c>
      <c r="C15">
        <v>-20.473756999999999</v>
      </c>
      <c r="D15" t="s">
        <v>14</v>
      </c>
      <c r="E15">
        <v>140</v>
      </c>
      <c r="F15">
        <f t="shared" si="0"/>
        <v>7.7348387233826923</v>
      </c>
    </row>
    <row r="16" spans="1:13" x14ac:dyDescent="0.25">
      <c r="A16">
        <v>1000</v>
      </c>
      <c r="B16">
        <v>2282.7065429999998</v>
      </c>
      <c r="C16">
        <v>-20.400879</v>
      </c>
      <c r="D16" t="s">
        <v>15</v>
      </c>
      <c r="E16">
        <v>150</v>
      </c>
      <c r="F16">
        <f t="shared" si="0"/>
        <v>7.7331170981889681</v>
      </c>
    </row>
    <row r="17" spans="1:6" x14ac:dyDescent="0.25">
      <c r="A17">
        <v>1000</v>
      </c>
      <c r="B17">
        <v>2277.4165039999998</v>
      </c>
      <c r="C17">
        <v>-20.320212999999999</v>
      </c>
      <c r="D17" t="s">
        <v>16</v>
      </c>
      <c r="E17">
        <v>160</v>
      </c>
      <c r="F17">
        <f t="shared" si="0"/>
        <v>7.7307969672107006</v>
      </c>
    </row>
    <row r="18" spans="1:6" x14ac:dyDescent="0.25">
      <c r="A18">
        <v>1000</v>
      </c>
      <c r="B18">
        <v>2272.860596</v>
      </c>
      <c r="C18">
        <v>-20.196096000000001</v>
      </c>
      <c r="D18" t="s">
        <v>17</v>
      </c>
      <c r="E18">
        <v>170</v>
      </c>
      <c r="F18">
        <f t="shared" si="0"/>
        <v>7.7287944915714055</v>
      </c>
    </row>
    <row r="19" spans="1:6" x14ac:dyDescent="0.25">
      <c r="A19">
        <v>1000</v>
      </c>
      <c r="B19">
        <v>2267.1198730000001</v>
      </c>
      <c r="C19">
        <v>-20.075583000000002</v>
      </c>
      <c r="D19" t="s">
        <v>18</v>
      </c>
      <c r="E19">
        <v>180</v>
      </c>
      <c r="F19">
        <f t="shared" si="0"/>
        <v>7.7262655264805451</v>
      </c>
    </row>
    <row r="20" spans="1:6" x14ac:dyDescent="0.25">
      <c r="A20">
        <v>1000</v>
      </c>
      <c r="B20">
        <v>2261.0209960000002</v>
      </c>
      <c r="C20">
        <v>-19.889364</v>
      </c>
      <c r="D20" t="s">
        <v>19</v>
      </c>
      <c r="E20">
        <v>190</v>
      </c>
      <c r="F20">
        <f t="shared" si="0"/>
        <v>7.7235717583914214</v>
      </c>
    </row>
    <row r="21" spans="1:6" x14ac:dyDescent="0.25">
      <c r="A21">
        <v>1000</v>
      </c>
      <c r="B21">
        <v>2256.0561520000001</v>
      </c>
      <c r="C21">
        <v>-19.822566999999999</v>
      </c>
      <c r="D21" t="s">
        <v>20</v>
      </c>
      <c r="E21">
        <v>200</v>
      </c>
      <c r="F21">
        <f t="shared" si="0"/>
        <v>7.7213735023791186</v>
      </c>
    </row>
    <row r="22" spans="1:6" x14ac:dyDescent="0.25">
      <c r="A22">
        <v>1000</v>
      </c>
      <c r="B22">
        <v>2253.4196780000002</v>
      </c>
      <c r="C22">
        <v>-19.742804</v>
      </c>
      <c r="D22" t="s">
        <v>21</v>
      </c>
      <c r="E22">
        <v>210</v>
      </c>
      <c r="F22">
        <f t="shared" si="0"/>
        <v>7.7202041982738132</v>
      </c>
    </row>
    <row r="23" spans="1:6" x14ac:dyDescent="0.25">
      <c r="A23">
        <v>1000</v>
      </c>
      <c r="B23">
        <v>2249.9284670000002</v>
      </c>
      <c r="C23">
        <v>-19.700209000000001</v>
      </c>
      <c r="D23" t="s">
        <v>22</v>
      </c>
      <c r="E23">
        <v>220</v>
      </c>
      <c r="F23">
        <f t="shared" si="0"/>
        <v>7.7186537022486306</v>
      </c>
    </row>
    <row r="24" spans="1:6" x14ac:dyDescent="0.25">
      <c r="A24">
        <v>1000</v>
      </c>
      <c r="B24">
        <v>2247.0490719999998</v>
      </c>
      <c r="C24">
        <v>-19.628409999999999</v>
      </c>
      <c r="D24" t="s">
        <v>23</v>
      </c>
      <c r="E24">
        <v>230</v>
      </c>
      <c r="F24">
        <f t="shared" si="0"/>
        <v>7.7173731108431705</v>
      </c>
    </row>
    <row r="25" spans="1:6" x14ac:dyDescent="0.25">
      <c r="A25">
        <v>1000</v>
      </c>
      <c r="B25">
        <v>2244.1484380000002</v>
      </c>
      <c r="C25">
        <v>-19.531202</v>
      </c>
      <c r="D25" t="s">
        <v>24</v>
      </c>
      <c r="E25">
        <v>240</v>
      </c>
      <c r="F25">
        <f t="shared" si="0"/>
        <v>7.7160814132962035</v>
      </c>
    </row>
    <row r="26" spans="1:6" x14ac:dyDescent="0.25">
      <c r="A26">
        <v>1000</v>
      </c>
      <c r="B26">
        <v>2242.3061520000001</v>
      </c>
      <c r="C26">
        <v>-19.529757</v>
      </c>
      <c r="D26" t="s">
        <v>25</v>
      </c>
      <c r="E26">
        <v>250</v>
      </c>
      <c r="F26">
        <f t="shared" si="0"/>
        <v>7.715260147387192</v>
      </c>
    </row>
    <row r="27" spans="1:6" x14ac:dyDescent="0.25">
      <c r="A27">
        <v>1000</v>
      </c>
      <c r="B27">
        <v>2239.3620609999998</v>
      </c>
      <c r="C27">
        <v>-19.460401999999998</v>
      </c>
      <c r="D27" t="s">
        <v>26</v>
      </c>
      <c r="E27">
        <v>260</v>
      </c>
      <c r="F27">
        <f t="shared" si="0"/>
        <v>7.7139463100910888</v>
      </c>
    </row>
    <row r="28" spans="1:6" x14ac:dyDescent="0.25">
      <c r="A28">
        <v>1000</v>
      </c>
      <c r="B28">
        <v>2238.6999510000001</v>
      </c>
      <c r="C28">
        <v>-19.460224</v>
      </c>
      <c r="D28" t="s">
        <v>27</v>
      </c>
      <c r="E28">
        <v>270</v>
      </c>
      <c r="F28">
        <f t="shared" si="0"/>
        <v>7.7136505973461329</v>
      </c>
    </row>
    <row r="29" spans="1:6" x14ac:dyDescent="0.25">
      <c r="A29">
        <v>1000</v>
      </c>
      <c r="B29">
        <v>2236.1689449999999</v>
      </c>
      <c r="C29">
        <v>-19.465073</v>
      </c>
      <c r="D29" t="s">
        <v>28</v>
      </c>
      <c r="E29">
        <v>280</v>
      </c>
      <c r="F29">
        <f t="shared" si="0"/>
        <v>7.7125193882185723</v>
      </c>
    </row>
    <row r="30" spans="1:6" x14ac:dyDescent="0.25">
      <c r="A30">
        <v>1000</v>
      </c>
      <c r="B30">
        <v>2235.9323730000001</v>
      </c>
      <c r="C30">
        <v>-19.502094</v>
      </c>
      <c r="D30" t="s">
        <v>29</v>
      </c>
      <c r="E30">
        <v>290</v>
      </c>
      <c r="F30">
        <f t="shared" si="0"/>
        <v>7.7124135891843384</v>
      </c>
    </row>
    <row r="31" spans="1:6" x14ac:dyDescent="0.25">
      <c r="A31">
        <v>1000</v>
      </c>
      <c r="B31">
        <v>2233.8208009999998</v>
      </c>
      <c r="C31">
        <v>-19.461781999999999</v>
      </c>
      <c r="D31" t="s">
        <v>30</v>
      </c>
      <c r="E31">
        <v>300</v>
      </c>
      <c r="F31">
        <f t="shared" si="0"/>
        <v>7.7114687619981899</v>
      </c>
    </row>
    <row r="32" spans="1:6" x14ac:dyDescent="0.25">
      <c r="A32">
        <v>1000</v>
      </c>
      <c r="B32">
        <v>2227.951904</v>
      </c>
      <c r="C32">
        <v>-19.272352000000001</v>
      </c>
      <c r="D32" t="s">
        <v>31</v>
      </c>
      <c r="E32">
        <v>310</v>
      </c>
      <c r="F32">
        <f t="shared" si="0"/>
        <v>7.7088380137405617</v>
      </c>
    </row>
    <row r="33" spans="1:6" x14ac:dyDescent="0.25">
      <c r="A33">
        <v>1000</v>
      </c>
      <c r="B33">
        <v>2222.8547359999998</v>
      </c>
      <c r="C33">
        <v>-19.080029</v>
      </c>
      <c r="D33" t="s">
        <v>32</v>
      </c>
      <c r="E33">
        <v>320</v>
      </c>
      <c r="F33">
        <f t="shared" ref="F33:F64" si="1">LN(B33)</f>
        <v>7.7065475659001335</v>
      </c>
    </row>
    <row r="34" spans="1:6" x14ac:dyDescent="0.25">
      <c r="A34">
        <v>1000</v>
      </c>
      <c r="B34">
        <v>2218.5839839999999</v>
      </c>
      <c r="C34">
        <v>-19.009459</v>
      </c>
      <c r="D34" t="s">
        <v>33</v>
      </c>
      <c r="E34">
        <v>330</v>
      </c>
      <c r="F34">
        <f t="shared" si="1"/>
        <v>7.7046244263115859</v>
      </c>
    </row>
    <row r="35" spans="1:6" x14ac:dyDescent="0.25">
      <c r="A35">
        <v>1000</v>
      </c>
      <c r="B35">
        <v>2214.6816410000001</v>
      </c>
      <c r="C35">
        <v>-18.876460999999999</v>
      </c>
      <c r="D35" t="s">
        <v>34</v>
      </c>
      <c r="E35">
        <v>340</v>
      </c>
      <c r="F35">
        <f t="shared" si="1"/>
        <v>7.7028639434811099</v>
      </c>
    </row>
    <row r="36" spans="1:6" x14ac:dyDescent="0.25">
      <c r="A36">
        <v>1000</v>
      </c>
      <c r="B36">
        <v>2210.3347170000002</v>
      </c>
      <c r="C36">
        <v>-18.724176</v>
      </c>
      <c r="D36" t="s">
        <v>35</v>
      </c>
      <c r="E36">
        <v>350</v>
      </c>
      <c r="F36">
        <f t="shared" si="1"/>
        <v>7.7008992386996571</v>
      </c>
    </row>
    <row r="37" spans="1:6" x14ac:dyDescent="0.25">
      <c r="A37">
        <v>1000</v>
      </c>
      <c r="B37">
        <v>2203.1223140000002</v>
      </c>
      <c r="C37">
        <v>-18.488453</v>
      </c>
      <c r="D37" t="s">
        <v>36</v>
      </c>
      <c r="E37">
        <v>360</v>
      </c>
      <c r="F37">
        <f t="shared" si="1"/>
        <v>7.6976308668225855</v>
      </c>
    </row>
    <row r="38" spans="1:6" x14ac:dyDescent="0.25">
      <c r="A38">
        <v>1000</v>
      </c>
      <c r="B38">
        <v>2202.428711</v>
      </c>
      <c r="C38">
        <v>-18.474615</v>
      </c>
      <c r="D38" t="s">
        <v>37</v>
      </c>
      <c r="E38">
        <v>370</v>
      </c>
      <c r="F38">
        <f t="shared" si="1"/>
        <v>7.6973159899766266</v>
      </c>
    </row>
    <row r="39" spans="1:6" x14ac:dyDescent="0.25">
      <c r="A39">
        <v>1000</v>
      </c>
      <c r="B39">
        <v>2197.101318</v>
      </c>
      <c r="C39">
        <v>-18.281756999999999</v>
      </c>
      <c r="D39" t="s">
        <v>38</v>
      </c>
      <c r="E39">
        <v>380</v>
      </c>
      <c r="F39">
        <f t="shared" si="1"/>
        <v>7.6948941878438069</v>
      </c>
    </row>
    <row r="40" spans="1:6" x14ac:dyDescent="0.25">
      <c r="A40">
        <v>1000</v>
      </c>
      <c r="B40">
        <v>2192.2150879999999</v>
      </c>
      <c r="C40">
        <v>-18.140577</v>
      </c>
      <c r="D40" t="s">
        <v>39</v>
      </c>
      <c r="E40">
        <v>390</v>
      </c>
      <c r="F40">
        <f t="shared" si="1"/>
        <v>7.6926677673416437</v>
      </c>
    </row>
    <row r="41" spans="1:6" x14ac:dyDescent="0.25">
      <c r="A41">
        <v>1000</v>
      </c>
      <c r="B41">
        <v>2190.8029790000001</v>
      </c>
      <c r="C41">
        <v>-18.110565000000001</v>
      </c>
      <c r="D41" t="s">
        <v>40</v>
      </c>
      <c r="E41">
        <v>400</v>
      </c>
      <c r="F41">
        <f t="shared" si="1"/>
        <v>7.6920234126858924</v>
      </c>
    </row>
    <row r="42" spans="1:6" x14ac:dyDescent="0.25">
      <c r="A42">
        <v>1000</v>
      </c>
      <c r="B42">
        <v>2188.2863769999999</v>
      </c>
      <c r="C42">
        <v>-18.046129000000001</v>
      </c>
      <c r="D42" t="s">
        <v>41</v>
      </c>
      <c r="E42">
        <v>410</v>
      </c>
      <c r="F42">
        <f t="shared" si="1"/>
        <v>7.6908740402605043</v>
      </c>
    </row>
    <row r="43" spans="1:6" x14ac:dyDescent="0.25">
      <c r="A43">
        <v>1000</v>
      </c>
      <c r="B43">
        <v>2185.6188959999999</v>
      </c>
      <c r="C43">
        <v>-17.933294</v>
      </c>
      <c r="D43" t="s">
        <v>42</v>
      </c>
      <c r="E43">
        <v>420</v>
      </c>
      <c r="F43">
        <f t="shared" si="1"/>
        <v>7.6896543150199168</v>
      </c>
    </row>
    <row r="44" spans="1:6" x14ac:dyDescent="0.25">
      <c r="A44">
        <v>1000</v>
      </c>
      <c r="B44">
        <v>2183.8771969999998</v>
      </c>
      <c r="C44">
        <v>-17.913502000000001</v>
      </c>
      <c r="D44" t="s">
        <v>43</v>
      </c>
      <c r="E44">
        <v>430</v>
      </c>
      <c r="F44">
        <f t="shared" si="1"/>
        <v>7.6888571068040621</v>
      </c>
    </row>
    <row r="45" spans="1:6" x14ac:dyDescent="0.25">
      <c r="A45">
        <v>1000</v>
      </c>
      <c r="B45">
        <v>2180.6201169999999</v>
      </c>
      <c r="C45">
        <v>-17.816471</v>
      </c>
      <c r="D45" t="s">
        <v>44</v>
      </c>
      <c r="E45">
        <v>440</v>
      </c>
      <c r="F45">
        <f t="shared" si="1"/>
        <v>7.6873645726722657</v>
      </c>
    </row>
    <row r="46" spans="1:6" x14ac:dyDescent="0.25">
      <c r="A46">
        <v>1000</v>
      </c>
      <c r="B46">
        <v>2179.0505370000001</v>
      </c>
      <c r="C46">
        <v>-17.774287999999999</v>
      </c>
      <c r="D46" t="s">
        <v>45</v>
      </c>
      <c r="E46">
        <v>450</v>
      </c>
      <c r="F46">
        <f t="shared" si="1"/>
        <v>7.6866445274246393</v>
      </c>
    </row>
    <row r="47" spans="1:6" x14ac:dyDescent="0.25">
      <c r="A47">
        <v>1000</v>
      </c>
      <c r="B47">
        <v>2176.0715329999998</v>
      </c>
      <c r="C47">
        <v>-17.663474999999998</v>
      </c>
      <c r="D47" t="s">
        <v>46</v>
      </c>
      <c r="E47">
        <v>460</v>
      </c>
      <c r="F47">
        <f t="shared" si="1"/>
        <v>7.6852764810568308</v>
      </c>
    </row>
    <row r="48" spans="1:6" x14ac:dyDescent="0.25">
      <c r="A48">
        <v>1000</v>
      </c>
      <c r="B48">
        <v>2172.8190920000002</v>
      </c>
      <c r="C48">
        <v>-17.561321</v>
      </c>
      <c r="D48" t="s">
        <v>47</v>
      </c>
      <c r="E48">
        <v>470</v>
      </c>
      <c r="F48">
        <f t="shared" si="1"/>
        <v>7.6837807241446248</v>
      </c>
    </row>
    <row r="49" spans="1:6" x14ac:dyDescent="0.25">
      <c r="A49">
        <v>1000</v>
      </c>
      <c r="B49">
        <v>2169.1352539999998</v>
      </c>
      <c r="C49">
        <v>-17.440769</v>
      </c>
      <c r="D49" t="s">
        <v>48</v>
      </c>
      <c r="E49">
        <v>480</v>
      </c>
      <c r="F49">
        <f t="shared" si="1"/>
        <v>7.6820838666512667</v>
      </c>
    </row>
    <row r="50" spans="1:6" x14ac:dyDescent="0.25">
      <c r="A50">
        <v>1000</v>
      </c>
      <c r="B50">
        <v>2167.4169919999999</v>
      </c>
      <c r="C50">
        <v>-17.388148999999999</v>
      </c>
      <c r="D50" t="s">
        <v>49</v>
      </c>
      <c r="E50">
        <v>490</v>
      </c>
      <c r="F50">
        <f t="shared" si="1"/>
        <v>7.6812914112662289</v>
      </c>
    </row>
    <row r="51" spans="1:6" x14ac:dyDescent="0.25">
      <c r="A51">
        <v>1000</v>
      </c>
      <c r="B51">
        <v>2164.5964359999998</v>
      </c>
      <c r="C51">
        <v>-17.299658000000001</v>
      </c>
      <c r="D51" t="s">
        <v>50</v>
      </c>
      <c r="E51">
        <v>500</v>
      </c>
      <c r="F51">
        <f t="shared" si="1"/>
        <v>7.6799892193661119</v>
      </c>
    </row>
    <row r="52" spans="1:6" x14ac:dyDescent="0.25">
      <c r="A52">
        <v>1000</v>
      </c>
      <c r="B52">
        <v>2164.3996579999998</v>
      </c>
      <c r="C52">
        <v>-17.286653999999999</v>
      </c>
      <c r="D52" t="s">
        <v>51</v>
      </c>
      <c r="E52">
        <v>510</v>
      </c>
      <c r="F52">
        <f t="shared" si="1"/>
        <v>7.6798983077571092</v>
      </c>
    </row>
    <row r="53" spans="1:6" x14ac:dyDescent="0.25">
      <c r="A53">
        <v>1000</v>
      </c>
      <c r="B53">
        <v>2163.328125</v>
      </c>
      <c r="C53">
        <v>-17.239252</v>
      </c>
      <c r="D53" t="s">
        <v>52</v>
      </c>
      <c r="E53">
        <v>520</v>
      </c>
      <c r="F53">
        <f t="shared" si="1"/>
        <v>7.6794031134770506</v>
      </c>
    </row>
    <row r="54" spans="1:6" x14ac:dyDescent="0.25">
      <c r="A54">
        <v>1000</v>
      </c>
      <c r="B54">
        <v>2161.8696289999998</v>
      </c>
      <c r="C54">
        <v>-17.211262000000001</v>
      </c>
      <c r="D54" t="s">
        <v>53</v>
      </c>
      <c r="E54">
        <v>530</v>
      </c>
      <c r="F54">
        <f t="shared" si="1"/>
        <v>7.6787286952708849</v>
      </c>
    </row>
    <row r="55" spans="1:6" x14ac:dyDescent="0.25">
      <c r="A55">
        <v>1000</v>
      </c>
      <c r="B55">
        <v>2159.5900879999999</v>
      </c>
      <c r="C55">
        <v>-17.146881</v>
      </c>
      <c r="D55" t="s">
        <v>54</v>
      </c>
      <c r="E55">
        <v>540</v>
      </c>
      <c r="F55">
        <f t="shared" si="1"/>
        <v>7.6776737085947584</v>
      </c>
    </row>
    <row r="56" spans="1:6" x14ac:dyDescent="0.25">
      <c r="A56">
        <v>1000</v>
      </c>
      <c r="B56">
        <v>2157.4672850000002</v>
      </c>
      <c r="C56">
        <v>-17.067623000000001</v>
      </c>
      <c r="D56" t="s">
        <v>55</v>
      </c>
      <c r="E56">
        <v>550</v>
      </c>
      <c r="F56">
        <f t="shared" si="1"/>
        <v>7.6766902594590718</v>
      </c>
    </row>
    <row r="57" spans="1:6" x14ac:dyDescent="0.25">
      <c r="A57">
        <v>1000</v>
      </c>
      <c r="B57">
        <v>2154.841797</v>
      </c>
      <c r="C57">
        <v>-16.999701999999999</v>
      </c>
      <c r="D57" t="s">
        <v>56</v>
      </c>
      <c r="E57">
        <v>560</v>
      </c>
      <c r="F57">
        <f t="shared" si="1"/>
        <v>7.6754725877780858</v>
      </c>
    </row>
    <row r="58" spans="1:6" x14ac:dyDescent="0.25">
      <c r="A58">
        <v>1000</v>
      </c>
      <c r="B58">
        <v>2152.5847170000002</v>
      </c>
      <c r="C58">
        <v>-16.902470000000001</v>
      </c>
      <c r="D58" t="s">
        <v>57</v>
      </c>
      <c r="E58">
        <v>570</v>
      </c>
      <c r="F58">
        <f t="shared" si="1"/>
        <v>7.6744245930186894</v>
      </c>
    </row>
    <row r="59" spans="1:6" x14ac:dyDescent="0.25">
      <c r="A59">
        <v>1000</v>
      </c>
      <c r="B59">
        <v>2151.8779300000001</v>
      </c>
      <c r="C59">
        <v>-16.878001999999999</v>
      </c>
      <c r="D59" t="s">
        <v>58</v>
      </c>
      <c r="E59">
        <v>580</v>
      </c>
      <c r="F59">
        <f t="shared" si="1"/>
        <v>7.6740961956951139</v>
      </c>
    </row>
    <row r="60" spans="1:6" x14ac:dyDescent="0.25">
      <c r="A60">
        <v>1000</v>
      </c>
      <c r="B60">
        <v>2151.4223630000001</v>
      </c>
      <c r="C60">
        <v>-16.878481000000001</v>
      </c>
      <c r="D60" t="s">
        <v>59</v>
      </c>
      <c r="E60">
        <v>590</v>
      </c>
      <c r="F60">
        <f t="shared" si="1"/>
        <v>7.6738844665706356</v>
      </c>
    </row>
    <row r="61" spans="1:6" x14ac:dyDescent="0.25">
      <c r="A61">
        <v>1000</v>
      </c>
      <c r="B61">
        <v>2149.1621089999999</v>
      </c>
      <c r="C61">
        <v>-16.813717</v>
      </c>
      <c r="D61" t="s">
        <v>60</v>
      </c>
      <c r="E61">
        <v>600</v>
      </c>
      <c r="F61">
        <f t="shared" si="1"/>
        <v>7.672833328418216</v>
      </c>
    </row>
    <row r="62" spans="1:6" x14ac:dyDescent="0.25">
      <c r="A62">
        <v>1000</v>
      </c>
      <c r="B62">
        <v>2146.998047</v>
      </c>
      <c r="C62">
        <v>-16.711141999999999</v>
      </c>
      <c r="D62" t="s">
        <v>61</v>
      </c>
      <c r="E62">
        <v>610</v>
      </c>
      <c r="F62">
        <f t="shared" si="1"/>
        <v>7.6718258882370076</v>
      </c>
    </row>
    <row r="63" spans="1:6" x14ac:dyDescent="0.25">
      <c r="A63">
        <v>1000</v>
      </c>
      <c r="B63">
        <v>2142.9877929999998</v>
      </c>
      <c r="C63">
        <v>-16.610558999999999</v>
      </c>
      <c r="D63" t="s">
        <v>62</v>
      </c>
      <c r="E63">
        <v>620</v>
      </c>
      <c r="F63">
        <f t="shared" si="1"/>
        <v>7.6699562992371018</v>
      </c>
    </row>
    <row r="64" spans="1:6" x14ac:dyDescent="0.25">
      <c r="A64">
        <v>1000</v>
      </c>
      <c r="B64">
        <v>2141.9882809999999</v>
      </c>
      <c r="C64">
        <v>-16.576571999999999</v>
      </c>
      <c r="D64" t="s">
        <v>63</v>
      </c>
      <c r="E64">
        <v>630</v>
      </c>
      <c r="F64">
        <f t="shared" si="1"/>
        <v>7.6694897799376394</v>
      </c>
    </row>
    <row r="65" spans="1:6" x14ac:dyDescent="0.25">
      <c r="A65">
        <v>1000</v>
      </c>
      <c r="B65">
        <v>2140.1276859999998</v>
      </c>
      <c r="C65">
        <v>-16.524405000000002</v>
      </c>
      <c r="D65" t="s">
        <v>64</v>
      </c>
      <c r="E65">
        <v>640</v>
      </c>
      <c r="F65">
        <f t="shared" ref="F65:F96" si="2">LN(B65)</f>
        <v>7.6686207725910709</v>
      </c>
    </row>
    <row r="66" spans="1:6" x14ac:dyDescent="0.25">
      <c r="A66">
        <v>1000</v>
      </c>
      <c r="B66">
        <v>2139.1062010000001</v>
      </c>
      <c r="C66">
        <v>-16.426704000000001</v>
      </c>
      <c r="D66" t="s">
        <v>65</v>
      </c>
      <c r="E66">
        <v>650</v>
      </c>
      <c r="F66">
        <f t="shared" si="2"/>
        <v>7.6681433576862652</v>
      </c>
    </row>
    <row r="67" spans="1:6" x14ac:dyDescent="0.25">
      <c r="A67">
        <v>1000</v>
      </c>
      <c r="B67">
        <v>2136.9514159999999</v>
      </c>
      <c r="C67">
        <v>-16.363007</v>
      </c>
      <c r="D67" t="s">
        <v>66</v>
      </c>
      <c r="E67">
        <v>660</v>
      </c>
      <c r="F67">
        <f t="shared" si="2"/>
        <v>7.6671355203859335</v>
      </c>
    </row>
    <row r="68" spans="1:6" x14ac:dyDescent="0.25">
      <c r="A68">
        <v>1000</v>
      </c>
      <c r="B68">
        <v>2136.8608399999998</v>
      </c>
      <c r="C68">
        <v>-16.398087</v>
      </c>
      <c r="D68" t="s">
        <v>67</v>
      </c>
      <c r="E68">
        <v>670</v>
      </c>
      <c r="F68">
        <f t="shared" si="2"/>
        <v>7.6670931338726342</v>
      </c>
    </row>
    <row r="69" spans="1:6" x14ac:dyDescent="0.25">
      <c r="A69">
        <v>1000</v>
      </c>
      <c r="B69">
        <v>2134.5512699999999</v>
      </c>
      <c r="C69">
        <v>-16.342939000000001</v>
      </c>
      <c r="D69" t="s">
        <v>68</v>
      </c>
      <c r="E69">
        <v>680</v>
      </c>
      <c r="F69">
        <f t="shared" si="2"/>
        <v>7.6660117255862881</v>
      </c>
    </row>
    <row r="70" spans="1:6" x14ac:dyDescent="0.25">
      <c r="A70">
        <v>1000</v>
      </c>
      <c r="B70">
        <v>2135.8195799999999</v>
      </c>
      <c r="C70">
        <v>-16.388237</v>
      </c>
      <c r="D70" t="s">
        <v>69</v>
      </c>
      <c r="E70">
        <v>690</v>
      </c>
      <c r="F70">
        <f t="shared" si="2"/>
        <v>7.6666057302204722</v>
      </c>
    </row>
    <row r="71" spans="1:6" x14ac:dyDescent="0.25">
      <c r="A71">
        <v>1000</v>
      </c>
      <c r="B71">
        <v>2134.4533689999998</v>
      </c>
      <c r="C71">
        <v>-16.36496</v>
      </c>
      <c r="D71" t="s">
        <v>70</v>
      </c>
      <c r="E71">
        <v>700</v>
      </c>
      <c r="F71">
        <f t="shared" si="2"/>
        <v>7.6659658596253459</v>
      </c>
    </row>
    <row r="72" spans="1:6" x14ac:dyDescent="0.25">
      <c r="A72">
        <v>1000</v>
      </c>
      <c r="B72">
        <v>2132.2998050000001</v>
      </c>
      <c r="C72">
        <v>-16.292587000000001</v>
      </c>
      <c r="D72" t="s">
        <v>71</v>
      </c>
      <c r="E72">
        <v>710</v>
      </c>
      <c r="F72">
        <f t="shared" si="2"/>
        <v>7.6649563968816379</v>
      </c>
    </row>
    <row r="73" spans="1:6" x14ac:dyDescent="0.25">
      <c r="A73">
        <v>1000</v>
      </c>
      <c r="B73">
        <v>2131.4479980000001</v>
      </c>
      <c r="C73">
        <v>-16.268162</v>
      </c>
      <c r="D73" t="s">
        <v>72</v>
      </c>
      <c r="E73">
        <v>720</v>
      </c>
      <c r="F73">
        <f t="shared" si="2"/>
        <v>7.6645568390040664</v>
      </c>
    </row>
    <row r="74" spans="1:6" x14ac:dyDescent="0.25">
      <c r="A74">
        <v>1000</v>
      </c>
      <c r="B74">
        <v>2128.4714359999998</v>
      </c>
      <c r="C74">
        <v>-16.140751000000002</v>
      </c>
      <c r="D74" t="s">
        <v>73</v>
      </c>
      <c r="E74">
        <v>730</v>
      </c>
      <c r="F74">
        <f t="shared" si="2"/>
        <v>7.6631593653989736</v>
      </c>
    </row>
    <row r="75" spans="1:6" x14ac:dyDescent="0.25">
      <c r="A75">
        <v>1000</v>
      </c>
      <c r="B75">
        <v>2128.0473630000001</v>
      </c>
      <c r="C75">
        <v>-16.137733000000001</v>
      </c>
      <c r="D75" t="s">
        <v>74</v>
      </c>
      <c r="E75">
        <v>740</v>
      </c>
      <c r="F75">
        <f t="shared" si="2"/>
        <v>7.6629601072627231</v>
      </c>
    </row>
    <row r="76" spans="1:6" x14ac:dyDescent="0.25">
      <c r="A76">
        <v>1000</v>
      </c>
      <c r="B76">
        <v>2125.7080080000001</v>
      </c>
      <c r="C76">
        <v>-16.106628000000001</v>
      </c>
      <c r="D76" t="s">
        <v>75</v>
      </c>
      <c r="E76">
        <v>750</v>
      </c>
      <c r="F76">
        <f t="shared" si="2"/>
        <v>7.6618602061016023</v>
      </c>
    </row>
    <row r="77" spans="1:6" x14ac:dyDescent="0.25">
      <c r="A77">
        <v>1000</v>
      </c>
      <c r="B77">
        <v>2123.576904</v>
      </c>
      <c r="C77">
        <v>-16.029064000000002</v>
      </c>
      <c r="D77" t="s">
        <v>76</v>
      </c>
      <c r="E77">
        <v>760</v>
      </c>
      <c r="F77">
        <f t="shared" si="2"/>
        <v>7.6608571647792116</v>
      </c>
    </row>
    <row r="78" spans="1:6" x14ac:dyDescent="0.25">
      <c r="A78">
        <v>1000</v>
      </c>
      <c r="B78">
        <v>2123.6728520000001</v>
      </c>
      <c r="C78">
        <v>-16.011320000000001</v>
      </c>
      <c r="D78" t="s">
        <v>77</v>
      </c>
      <c r="E78">
        <v>770</v>
      </c>
      <c r="F78">
        <f t="shared" si="2"/>
        <v>7.6609023460167318</v>
      </c>
    </row>
    <row r="79" spans="1:6" x14ac:dyDescent="0.25">
      <c r="A79">
        <v>1000</v>
      </c>
      <c r="B79">
        <v>2120.8625489999999</v>
      </c>
      <c r="C79">
        <v>-15.914960000000001</v>
      </c>
      <c r="D79" t="s">
        <v>78</v>
      </c>
      <c r="E79">
        <v>780</v>
      </c>
      <c r="F79">
        <f t="shared" si="2"/>
        <v>7.6595781476557079</v>
      </c>
    </row>
    <row r="80" spans="1:6" x14ac:dyDescent="0.25">
      <c r="A80">
        <v>1000</v>
      </c>
      <c r="B80">
        <v>2120.3908689999998</v>
      </c>
      <c r="C80">
        <v>-15.908949</v>
      </c>
      <c r="D80" t="s">
        <v>79</v>
      </c>
      <c r="E80">
        <v>790</v>
      </c>
      <c r="F80">
        <f t="shared" si="2"/>
        <v>7.6593557228414095</v>
      </c>
    </row>
    <row r="81" spans="1:6" x14ac:dyDescent="0.25">
      <c r="A81">
        <v>1000</v>
      </c>
      <c r="B81">
        <v>2119.7145999999998</v>
      </c>
      <c r="C81">
        <v>-15.92276</v>
      </c>
      <c r="D81" t="s">
        <v>80</v>
      </c>
      <c r="E81">
        <v>800</v>
      </c>
      <c r="F81">
        <f t="shared" si="2"/>
        <v>7.6590367359621077</v>
      </c>
    </row>
    <row r="82" spans="1:6" x14ac:dyDescent="0.25">
      <c r="A82">
        <v>1000</v>
      </c>
      <c r="B82">
        <v>2120.0302729999999</v>
      </c>
      <c r="C82">
        <v>-15.935983999999999</v>
      </c>
      <c r="D82" t="s">
        <v>81</v>
      </c>
      <c r="E82">
        <v>810</v>
      </c>
      <c r="F82">
        <f t="shared" si="2"/>
        <v>7.6591856472810846</v>
      </c>
    </row>
    <row r="83" spans="1:6" x14ac:dyDescent="0.25">
      <c r="A83">
        <v>1000</v>
      </c>
      <c r="B83">
        <v>2115.6027829999998</v>
      </c>
      <c r="C83">
        <v>-15.803205</v>
      </c>
      <c r="D83" t="s">
        <v>82</v>
      </c>
      <c r="E83">
        <v>820</v>
      </c>
      <c r="F83">
        <f t="shared" si="2"/>
        <v>7.6570950546570211</v>
      </c>
    </row>
    <row r="84" spans="1:6" x14ac:dyDescent="0.25">
      <c r="A84">
        <v>1000</v>
      </c>
      <c r="B84">
        <v>2113.1691890000002</v>
      </c>
      <c r="C84">
        <v>-15.658321000000001</v>
      </c>
      <c r="D84" t="s">
        <v>83</v>
      </c>
      <c r="E84">
        <v>830</v>
      </c>
      <c r="F84">
        <f t="shared" si="2"/>
        <v>7.6559440849264382</v>
      </c>
    </row>
    <row r="85" spans="1:6" x14ac:dyDescent="0.25">
      <c r="A85">
        <v>1000</v>
      </c>
      <c r="B85">
        <v>2110.555664</v>
      </c>
      <c r="C85">
        <v>-15.559558000000001</v>
      </c>
      <c r="D85" t="s">
        <v>84</v>
      </c>
      <c r="E85">
        <v>840</v>
      </c>
      <c r="F85">
        <f t="shared" si="2"/>
        <v>7.6547065396674476</v>
      </c>
    </row>
    <row r="86" spans="1:6" x14ac:dyDescent="0.25">
      <c r="A86">
        <v>1000</v>
      </c>
      <c r="B86">
        <v>2108.9897460000002</v>
      </c>
      <c r="C86">
        <v>-15.488701000000001</v>
      </c>
      <c r="D86" t="s">
        <v>85</v>
      </c>
      <c r="E86">
        <v>850</v>
      </c>
      <c r="F86">
        <f t="shared" si="2"/>
        <v>7.6539643184470405</v>
      </c>
    </row>
    <row r="87" spans="1:6" x14ac:dyDescent="0.25">
      <c r="A87">
        <v>1000</v>
      </c>
      <c r="B87">
        <v>2106.1843260000001</v>
      </c>
      <c r="C87">
        <v>-15.377765999999999</v>
      </c>
      <c r="D87" t="s">
        <v>86</v>
      </c>
      <c r="E87">
        <v>860</v>
      </c>
      <c r="F87">
        <f t="shared" si="2"/>
        <v>7.6526332130804242</v>
      </c>
    </row>
    <row r="88" spans="1:6" x14ac:dyDescent="0.25">
      <c r="A88">
        <v>1000</v>
      </c>
      <c r="B88">
        <v>2106.2312010000001</v>
      </c>
      <c r="C88">
        <v>-15.370115</v>
      </c>
      <c r="D88" t="s">
        <v>87</v>
      </c>
      <c r="E88">
        <v>870</v>
      </c>
      <c r="F88">
        <f t="shared" si="2"/>
        <v>7.6526554687195949</v>
      </c>
    </row>
    <row r="89" spans="1:6" x14ac:dyDescent="0.25">
      <c r="A89">
        <v>1000</v>
      </c>
      <c r="B89">
        <v>2104.4887699999999</v>
      </c>
      <c r="C89">
        <v>-15.28124</v>
      </c>
      <c r="D89" t="s">
        <v>88</v>
      </c>
      <c r="E89">
        <v>880</v>
      </c>
      <c r="F89">
        <f t="shared" si="2"/>
        <v>7.6518278520120209</v>
      </c>
    </row>
    <row r="90" spans="1:6" x14ac:dyDescent="0.25">
      <c r="A90">
        <v>1000</v>
      </c>
      <c r="B90">
        <v>2103.4228520000001</v>
      </c>
      <c r="C90">
        <v>-15.249891</v>
      </c>
      <c r="D90" t="s">
        <v>89</v>
      </c>
      <c r="E90">
        <v>890</v>
      </c>
      <c r="F90">
        <f t="shared" si="2"/>
        <v>7.6513212263418309</v>
      </c>
    </row>
    <row r="91" spans="1:6" x14ac:dyDescent="0.25">
      <c r="A91">
        <v>1000</v>
      </c>
      <c r="B91">
        <v>2101.376953</v>
      </c>
      <c r="C91">
        <v>-15.177258</v>
      </c>
      <c r="D91" t="s">
        <v>90</v>
      </c>
      <c r="E91">
        <v>900</v>
      </c>
      <c r="F91">
        <f t="shared" si="2"/>
        <v>7.6503481007442611</v>
      </c>
    </row>
    <row r="92" spans="1:6" x14ac:dyDescent="0.25">
      <c r="A92">
        <v>1000</v>
      </c>
      <c r="B92">
        <v>2101.773193</v>
      </c>
      <c r="C92">
        <v>-15.193308999999999</v>
      </c>
      <c r="D92" t="s">
        <v>91</v>
      </c>
      <c r="E92">
        <v>910</v>
      </c>
      <c r="F92">
        <f t="shared" si="2"/>
        <v>7.6505366450443262</v>
      </c>
    </row>
    <row r="93" spans="1:6" x14ac:dyDescent="0.25">
      <c r="A93">
        <v>1000</v>
      </c>
      <c r="B93">
        <v>2101.1813959999999</v>
      </c>
      <c r="C93">
        <v>-15.168952000000001</v>
      </c>
      <c r="D93" t="s">
        <v>92</v>
      </c>
      <c r="E93">
        <v>920</v>
      </c>
      <c r="F93">
        <f t="shared" si="2"/>
        <v>7.6502550350524121</v>
      </c>
    </row>
    <row r="94" spans="1:6" x14ac:dyDescent="0.25">
      <c r="A94">
        <v>1000</v>
      </c>
      <c r="B94">
        <v>2100.0083009999998</v>
      </c>
      <c r="C94">
        <v>-15.129419</v>
      </c>
      <c r="D94" t="s">
        <v>93</v>
      </c>
      <c r="E94">
        <v>930</v>
      </c>
      <c r="F94">
        <f t="shared" si="2"/>
        <v>7.6496965765608449</v>
      </c>
    </row>
    <row r="95" spans="1:6" x14ac:dyDescent="0.25">
      <c r="A95">
        <v>1000</v>
      </c>
      <c r="B95">
        <v>2098.773193</v>
      </c>
      <c r="C95">
        <v>-15.063972</v>
      </c>
      <c r="D95" t="s">
        <v>94</v>
      </c>
      <c r="E95">
        <v>940</v>
      </c>
      <c r="F95">
        <f t="shared" si="2"/>
        <v>7.6491082591942998</v>
      </c>
    </row>
    <row r="96" spans="1:6" x14ac:dyDescent="0.25">
      <c r="A96">
        <v>1000</v>
      </c>
      <c r="B96">
        <v>2097.3376459999999</v>
      </c>
      <c r="C96">
        <v>-15.040149</v>
      </c>
      <c r="D96" t="s">
        <v>95</v>
      </c>
      <c r="E96">
        <v>950</v>
      </c>
      <c r="F96">
        <f t="shared" si="2"/>
        <v>7.6484240317698644</v>
      </c>
    </row>
    <row r="97" spans="1:6" x14ac:dyDescent="0.25">
      <c r="A97">
        <v>1000</v>
      </c>
      <c r="B97">
        <v>2097.218018</v>
      </c>
      <c r="C97">
        <v>-14.986039999999999</v>
      </c>
      <c r="D97" t="s">
        <v>96</v>
      </c>
      <c r="E97">
        <v>960</v>
      </c>
      <c r="F97">
        <f t="shared" ref="F97:F128" si="3">LN(B97)</f>
        <v>7.6483669921167454</v>
      </c>
    </row>
    <row r="98" spans="1:6" x14ac:dyDescent="0.25">
      <c r="A98">
        <v>1000</v>
      </c>
      <c r="B98">
        <v>2094.8479000000002</v>
      </c>
      <c r="C98">
        <v>-14.885118</v>
      </c>
      <c r="D98" t="s">
        <v>97</v>
      </c>
      <c r="E98">
        <v>970</v>
      </c>
      <c r="F98">
        <f t="shared" si="3"/>
        <v>7.6472362282886461</v>
      </c>
    </row>
    <row r="99" spans="1:6" x14ac:dyDescent="0.25">
      <c r="A99">
        <v>1000</v>
      </c>
      <c r="B99">
        <v>2093.7927249999998</v>
      </c>
      <c r="C99">
        <v>-14.854081000000001</v>
      </c>
      <c r="D99" t="s">
        <v>98</v>
      </c>
      <c r="E99">
        <v>980</v>
      </c>
      <c r="F99">
        <f t="shared" si="3"/>
        <v>7.6467324013353268</v>
      </c>
    </row>
    <row r="100" spans="1:6" x14ac:dyDescent="0.25">
      <c r="A100">
        <v>1000</v>
      </c>
      <c r="B100">
        <v>2092.7229000000002</v>
      </c>
      <c r="C100">
        <v>-14.825449000000001</v>
      </c>
      <c r="D100" t="s">
        <v>99</v>
      </c>
      <c r="E100">
        <v>990</v>
      </c>
      <c r="F100">
        <f t="shared" si="3"/>
        <v>7.6462213199879177</v>
      </c>
    </row>
    <row r="101" spans="1:6" x14ac:dyDescent="0.25">
      <c r="A101">
        <v>1000</v>
      </c>
      <c r="B101">
        <v>2092.852539</v>
      </c>
      <c r="C101">
        <v>-14.858002000000001</v>
      </c>
      <c r="D101" t="s">
        <v>100</v>
      </c>
      <c r="E101">
        <v>1000</v>
      </c>
      <c r="F101">
        <f t="shared" si="3"/>
        <v>7.6462832655922588</v>
      </c>
    </row>
    <row r="102" spans="1:6" x14ac:dyDescent="0.25">
      <c r="A102">
        <v>1000</v>
      </c>
      <c r="B102">
        <v>2091.3186040000001</v>
      </c>
      <c r="C102">
        <v>-14.774426999999999</v>
      </c>
      <c r="D102" t="s">
        <v>101</v>
      </c>
      <c r="E102">
        <v>1010</v>
      </c>
      <c r="F102">
        <f t="shared" si="3"/>
        <v>7.6455500570229651</v>
      </c>
    </row>
    <row r="103" spans="1:6" x14ac:dyDescent="0.25">
      <c r="A103">
        <v>1000</v>
      </c>
      <c r="B103">
        <v>2090.4526369999999</v>
      </c>
      <c r="C103">
        <v>-14.72331</v>
      </c>
      <c r="D103" t="s">
        <v>102</v>
      </c>
      <c r="E103">
        <v>1020</v>
      </c>
      <c r="F103">
        <f t="shared" si="3"/>
        <v>7.6451358942376419</v>
      </c>
    </row>
    <row r="104" spans="1:6" x14ac:dyDescent="0.25">
      <c r="A104">
        <v>1000</v>
      </c>
      <c r="B104">
        <v>2090.7395019999999</v>
      </c>
      <c r="C104">
        <v>-14.751054</v>
      </c>
      <c r="D104" t="s">
        <v>103</v>
      </c>
      <c r="E104">
        <v>1030</v>
      </c>
      <c r="F104">
        <f t="shared" si="3"/>
        <v>7.645273111084375</v>
      </c>
    </row>
    <row r="105" spans="1:6" x14ac:dyDescent="0.25">
      <c r="A105">
        <v>1000</v>
      </c>
      <c r="B105">
        <v>2088.3862300000001</v>
      </c>
      <c r="C105">
        <v>-14.627155</v>
      </c>
      <c r="D105" t="s">
        <v>104</v>
      </c>
      <c r="E105">
        <v>1040</v>
      </c>
      <c r="F105">
        <f t="shared" si="3"/>
        <v>7.6441469079502085</v>
      </c>
    </row>
    <row r="106" spans="1:6" x14ac:dyDescent="0.25">
      <c r="A106">
        <v>1000</v>
      </c>
      <c r="B106">
        <v>2087.3928219999998</v>
      </c>
      <c r="C106">
        <v>-14.560779</v>
      </c>
      <c r="D106" t="s">
        <v>105</v>
      </c>
      <c r="E106">
        <v>1050</v>
      </c>
      <c r="F106">
        <f t="shared" si="3"/>
        <v>7.6436711126524353</v>
      </c>
    </row>
    <row r="107" spans="1:6" x14ac:dyDescent="0.25">
      <c r="A107">
        <v>1000</v>
      </c>
      <c r="B107">
        <v>2086.3571780000002</v>
      </c>
      <c r="C107">
        <v>-14.526875</v>
      </c>
      <c r="D107" t="s">
        <v>106</v>
      </c>
      <c r="E107">
        <v>1060</v>
      </c>
      <c r="F107">
        <f t="shared" si="3"/>
        <v>7.6431748471735474</v>
      </c>
    </row>
    <row r="108" spans="1:6" x14ac:dyDescent="0.25">
      <c r="A108">
        <v>1000</v>
      </c>
      <c r="B108">
        <v>2085.2304690000001</v>
      </c>
      <c r="C108">
        <v>-14.491179000000001</v>
      </c>
      <c r="D108" t="s">
        <v>107</v>
      </c>
      <c r="E108">
        <v>1070</v>
      </c>
      <c r="F108">
        <f t="shared" si="3"/>
        <v>7.6426346648148193</v>
      </c>
    </row>
    <row r="109" spans="1:6" x14ac:dyDescent="0.25">
      <c r="A109">
        <v>1000</v>
      </c>
      <c r="B109">
        <v>2085.110107</v>
      </c>
      <c r="C109">
        <v>-14.485073999999999</v>
      </c>
      <c r="D109" t="s">
        <v>108</v>
      </c>
      <c r="E109">
        <v>1080</v>
      </c>
      <c r="F109">
        <f t="shared" si="3"/>
        <v>7.6425769419512593</v>
      </c>
    </row>
    <row r="110" spans="1:6" x14ac:dyDescent="0.25">
      <c r="A110">
        <v>1000</v>
      </c>
      <c r="B110">
        <v>2084.8183589999999</v>
      </c>
      <c r="C110">
        <v>-14.473502999999999</v>
      </c>
      <c r="D110" t="s">
        <v>109</v>
      </c>
      <c r="E110">
        <v>1090</v>
      </c>
      <c r="F110">
        <f t="shared" si="3"/>
        <v>7.642437012452298</v>
      </c>
    </row>
    <row r="111" spans="1:6" x14ac:dyDescent="0.25">
      <c r="A111">
        <v>1000</v>
      </c>
      <c r="B111">
        <v>2082.9560550000001</v>
      </c>
      <c r="C111">
        <v>-14.402004</v>
      </c>
      <c r="D111" t="s">
        <v>110</v>
      </c>
      <c r="E111">
        <v>1100</v>
      </c>
      <c r="F111">
        <f t="shared" si="3"/>
        <v>7.6415433440629119</v>
      </c>
    </row>
    <row r="112" spans="1:6" x14ac:dyDescent="0.25">
      <c r="A112">
        <v>1000</v>
      </c>
      <c r="B112">
        <v>2083.7985840000001</v>
      </c>
      <c r="C112">
        <v>-14.414927</v>
      </c>
      <c r="D112" t="s">
        <v>111</v>
      </c>
      <c r="E112">
        <v>1110</v>
      </c>
      <c r="F112">
        <f t="shared" si="3"/>
        <v>7.6419477494500665</v>
      </c>
    </row>
    <row r="113" spans="1:6" x14ac:dyDescent="0.25">
      <c r="A113">
        <v>1000</v>
      </c>
      <c r="B113">
        <v>2083.0273440000001</v>
      </c>
      <c r="C113">
        <v>-14.387115</v>
      </c>
      <c r="D113" t="s">
        <v>112</v>
      </c>
      <c r="E113">
        <v>1120</v>
      </c>
      <c r="F113">
        <f t="shared" si="3"/>
        <v>7.6415775683951663</v>
      </c>
    </row>
    <row r="114" spans="1:6" x14ac:dyDescent="0.25">
      <c r="A114">
        <v>1000</v>
      </c>
      <c r="B114">
        <v>2083.220703</v>
      </c>
      <c r="C114">
        <v>-14.389014</v>
      </c>
      <c r="D114" t="s">
        <v>113</v>
      </c>
      <c r="E114">
        <v>1130</v>
      </c>
      <c r="F114">
        <f t="shared" si="3"/>
        <v>7.6416703900409049</v>
      </c>
    </row>
    <row r="115" spans="1:6" x14ac:dyDescent="0.25">
      <c r="A115">
        <v>1000</v>
      </c>
      <c r="B115">
        <v>2082.6345209999999</v>
      </c>
      <c r="C115">
        <v>-14.399464</v>
      </c>
      <c r="D115" t="s">
        <v>114</v>
      </c>
      <c r="E115">
        <v>1140</v>
      </c>
      <c r="F115">
        <f t="shared" si="3"/>
        <v>7.6413889678731381</v>
      </c>
    </row>
    <row r="116" spans="1:6" x14ac:dyDescent="0.25">
      <c r="A116">
        <v>1000</v>
      </c>
      <c r="B116">
        <v>2081.8798830000001</v>
      </c>
      <c r="C116">
        <v>-14.333565999999999</v>
      </c>
      <c r="D116" t="s">
        <v>115</v>
      </c>
      <c r="E116">
        <v>1150</v>
      </c>
      <c r="F116">
        <f t="shared" si="3"/>
        <v>7.6410265544270306</v>
      </c>
    </row>
    <row r="117" spans="1:6" x14ac:dyDescent="0.25">
      <c r="A117">
        <v>1000</v>
      </c>
      <c r="B117">
        <v>2080.4567870000001</v>
      </c>
      <c r="C117">
        <v>-14.304061000000001</v>
      </c>
      <c r="D117" t="s">
        <v>116</v>
      </c>
      <c r="E117">
        <v>1160</v>
      </c>
      <c r="F117">
        <f t="shared" si="3"/>
        <v>7.6403427577194227</v>
      </c>
    </row>
    <row r="118" spans="1:6" x14ac:dyDescent="0.25">
      <c r="A118">
        <v>1000</v>
      </c>
      <c r="B118">
        <v>2080.2883299999999</v>
      </c>
      <c r="C118">
        <v>-14.255798</v>
      </c>
      <c r="D118" t="s">
        <v>117</v>
      </c>
      <c r="E118">
        <v>1170</v>
      </c>
      <c r="F118">
        <f t="shared" si="3"/>
        <v>7.6402617832807804</v>
      </c>
    </row>
    <row r="119" spans="1:6" x14ac:dyDescent="0.25">
      <c r="A119">
        <v>1000</v>
      </c>
      <c r="B119">
        <v>2079.3000489999999</v>
      </c>
      <c r="C119">
        <v>-14.278966</v>
      </c>
      <c r="D119" t="s">
        <v>118</v>
      </c>
      <c r="E119">
        <v>1180</v>
      </c>
      <c r="F119">
        <f t="shared" si="3"/>
        <v>7.6397866011576712</v>
      </c>
    </row>
    <row r="120" spans="1:6" x14ac:dyDescent="0.25">
      <c r="A120">
        <v>1000</v>
      </c>
      <c r="B120">
        <v>2078.5495609999998</v>
      </c>
      <c r="C120">
        <v>-14.217195</v>
      </c>
      <c r="D120" t="s">
        <v>119</v>
      </c>
      <c r="E120">
        <v>1190</v>
      </c>
      <c r="F120">
        <f t="shared" si="3"/>
        <v>7.6394256030078846</v>
      </c>
    </row>
    <row r="121" spans="1:6" x14ac:dyDescent="0.25">
      <c r="A121">
        <v>1000</v>
      </c>
      <c r="B121">
        <v>2078.3171390000002</v>
      </c>
      <c r="C121">
        <v>-14.163126</v>
      </c>
      <c r="D121" t="s">
        <v>120</v>
      </c>
      <c r="E121">
        <v>1200</v>
      </c>
      <c r="F121">
        <f t="shared" si="3"/>
        <v>7.639313777434916</v>
      </c>
    </row>
    <row r="122" spans="1:6" x14ac:dyDescent="0.25">
      <c r="A122">
        <v>1000</v>
      </c>
      <c r="B122">
        <v>2079.538818</v>
      </c>
      <c r="C122">
        <v>-14.200024000000001</v>
      </c>
      <c r="D122" t="s">
        <v>121</v>
      </c>
      <c r="E122">
        <v>1210</v>
      </c>
      <c r="F122">
        <f t="shared" si="3"/>
        <v>7.6399014259959968</v>
      </c>
    </row>
    <row r="123" spans="1:6" x14ac:dyDescent="0.25">
      <c r="A123">
        <v>1000</v>
      </c>
      <c r="B123">
        <v>2075.9077149999998</v>
      </c>
      <c r="C123">
        <v>-14.117008</v>
      </c>
      <c r="D123" t="s">
        <v>122</v>
      </c>
      <c r="E123">
        <v>1220</v>
      </c>
      <c r="F123">
        <f t="shared" si="3"/>
        <v>7.638153790022173</v>
      </c>
    </row>
    <row r="124" spans="1:6" x14ac:dyDescent="0.25">
      <c r="A124">
        <v>1000</v>
      </c>
      <c r="B124">
        <v>2078.6091310000002</v>
      </c>
      <c r="C124">
        <v>-14.182141</v>
      </c>
      <c r="D124" t="s">
        <v>123</v>
      </c>
      <c r="E124">
        <v>1230</v>
      </c>
      <c r="F124">
        <f t="shared" si="3"/>
        <v>7.6394542620052519</v>
      </c>
    </row>
    <row r="125" spans="1:6" x14ac:dyDescent="0.25">
      <c r="A125">
        <v>1000</v>
      </c>
      <c r="B125">
        <v>2077.8283689999998</v>
      </c>
      <c r="C125">
        <v>-14.182838</v>
      </c>
      <c r="D125" t="s">
        <v>124</v>
      </c>
      <c r="E125">
        <v>1240</v>
      </c>
      <c r="F125">
        <f t="shared" si="3"/>
        <v>7.6390785739266107</v>
      </c>
    </row>
    <row r="126" spans="1:6" x14ac:dyDescent="0.25">
      <c r="A126">
        <v>1000</v>
      </c>
      <c r="B126">
        <v>2076.3632809999999</v>
      </c>
      <c r="C126">
        <v>-14.1297</v>
      </c>
      <c r="D126" t="s">
        <v>125</v>
      </c>
      <c r="E126">
        <v>1250</v>
      </c>
      <c r="F126">
        <f t="shared" si="3"/>
        <v>7.6383732198244507</v>
      </c>
    </row>
    <row r="127" spans="1:6" x14ac:dyDescent="0.25">
      <c r="A127">
        <v>1000</v>
      </c>
      <c r="B127">
        <v>2075.5107419999999</v>
      </c>
      <c r="C127">
        <v>-14.014761</v>
      </c>
      <c r="D127" t="s">
        <v>126</v>
      </c>
      <c r="E127">
        <v>1260</v>
      </c>
      <c r="F127">
        <f t="shared" si="3"/>
        <v>7.6379625431000324</v>
      </c>
    </row>
    <row r="128" spans="1:6" x14ac:dyDescent="0.25">
      <c r="A128">
        <v>1000</v>
      </c>
      <c r="B128">
        <v>2073.9233399999998</v>
      </c>
      <c r="C128">
        <v>-13.951964</v>
      </c>
      <c r="D128" t="s">
        <v>127</v>
      </c>
      <c r="E128">
        <v>1270</v>
      </c>
      <c r="F128">
        <f t="shared" si="3"/>
        <v>7.6371974257148327</v>
      </c>
    </row>
    <row r="129" spans="1:6" x14ac:dyDescent="0.25">
      <c r="A129">
        <v>1000</v>
      </c>
      <c r="B129">
        <v>2074.266846</v>
      </c>
      <c r="C129">
        <v>-13.987672</v>
      </c>
      <c r="D129" t="s">
        <v>128</v>
      </c>
      <c r="E129">
        <v>1280</v>
      </c>
      <c r="F129">
        <f t="shared" ref="F129:F160" si="4">LN(B129)</f>
        <v>7.6373630430011108</v>
      </c>
    </row>
    <row r="130" spans="1:6" x14ac:dyDescent="0.25">
      <c r="A130">
        <v>1000</v>
      </c>
      <c r="B130">
        <v>2073.693115</v>
      </c>
      <c r="C130">
        <v>-13.975037</v>
      </c>
      <c r="D130" t="s">
        <v>129</v>
      </c>
      <c r="E130">
        <v>1290</v>
      </c>
      <c r="F130">
        <f t="shared" si="4"/>
        <v>7.6370864101458986</v>
      </c>
    </row>
    <row r="131" spans="1:6" x14ac:dyDescent="0.25">
      <c r="A131">
        <v>1000</v>
      </c>
      <c r="B131">
        <v>2073.7065429999998</v>
      </c>
      <c r="C131">
        <v>-13.949191000000001</v>
      </c>
      <c r="D131" t="s">
        <v>130</v>
      </c>
      <c r="E131">
        <v>1300</v>
      </c>
      <c r="F131">
        <f t="shared" si="4"/>
        <v>7.6370928855285998</v>
      </c>
    </row>
    <row r="132" spans="1:6" x14ac:dyDescent="0.25">
      <c r="A132">
        <v>1000</v>
      </c>
      <c r="B132">
        <v>2071.9340820000002</v>
      </c>
      <c r="C132">
        <v>-13.873881000000001</v>
      </c>
      <c r="D132" t="s">
        <v>131</v>
      </c>
      <c r="E132">
        <v>1310</v>
      </c>
      <c r="F132">
        <f t="shared" si="4"/>
        <v>7.636237789166743</v>
      </c>
    </row>
    <row r="133" spans="1:6" x14ac:dyDescent="0.25">
      <c r="A133">
        <v>1000</v>
      </c>
      <c r="B133">
        <v>2071.5776369999999</v>
      </c>
      <c r="C133">
        <v>-13.87824</v>
      </c>
      <c r="D133" t="s">
        <v>132</v>
      </c>
      <c r="E133">
        <v>1320</v>
      </c>
      <c r="F133">
        <f t="shared" si="4"/>
        <v>7.6360657394538176</v>
      </c>
    </row>
    <row r="134" spans="1:6" x14ac:dyDescent="0.25">
      <c r="A134">
        <v>1000</v>
      </c>
      <c r="B134">
        <v>2072.375</v>
      </c>
      <c r="C134">
        <v>-13.909521</v>
      </c>
      <c r="D134" t="s">
        <v>133</v>
      </c>
      <c r="E134">
        <v>1330</v>
      </c>
      <c r="F134">
        <f t="shared" si="4"/>
        <v>7.6364505715596289</v>
      </c>
    </row>
    <row r="135" spans="1:6" x14ac:dyDescent="0.25">
      <c r="A135">
        <v>1000</v>
      </c>
      <c r="B135">
        <v>2072.4482419999999</v>
      </c>
      <c r="C135">
        <v>-13.893539000000001</v>
      </c>
      <c r="D135" t="s">
        <v>134</v>
      </c>
      <c r="E135">
        <v>1340</v>
      </c>
      <c r="F135">
        <f t="shared" si="4"/>
        <v>7.6364859129943445</v>
      </c>
    </row>
    <row r="136" spans="1:6" x14ac:dyDescent="0.25">
      <c r="A136">
        <v>1000</v>
      </c>
      <c r="B136">
        <v>2070.0708009999998</v>
      </c>
      <c r="C136">
        <v>-13.813558</v>
      </c>
      <c r="D136" t="s">
        <v>135</v>
      </c>
      <c r="E136">
        <v>1350</v>
      </c>
      <c r="F136">
        <f t="shared" si="4"/>
        <v>7.6353380890561349</v>
      </c>
    </row>
    <row r="137" spans="1:6" x14ac:dyDescent="0.25">
      <c r="A137">
        <v>1000</v>
      </c>
      <c r="B137">
        <v>2069.4482419999999</v>
      </c>
      <c r="C137">
        <v>-13.780403</v>
      </c>
      <c r="D137" t="s">
        <v>136</v>
      </c>
      <c r="E137">
        <v>1360</v>
      </c>
      <c r="F137">
        <f t="shared" si="4"/>
        <v>7.6350373009702599</v>
      </c>
    </row>
    <row r="138" spans="1:6" x14ac:dyDescent="0.25">
      <c r="A138">
        <v>1000</v>
      </c>
      <c r="B138">
        <v>2069.2041020000001</v>
      </c>
      <c r="C138">
        <v>-13.760774</v>
      </c>
      <c r="D138" t="s">
        <v>137</v>
      </c>
      <c r="E138">
        <v>1370</v>
      </c>
      <c r="F138">
        <f t="shared" si="4"/>
        <v>7.6349193205360555</v>
      </c>
    </row>
    <row r="139" spans="1:6" x14ac:dyDescent="0.25">
      <c r="A139">
        <v>1000</v>
      </c>
      <c r="B139">
        <v>2070.6220699999999</v>
      </c>
      <c r="C139">
        <v>-13.770759999999999</v>
      </c>
      <c r="D139" t="s">
        <v>138</v>
      </c>
      <c r="E139">
        <v>1380</v>
      </c>
      <c r="F139">
        <f t="shared" si="4"/>
        <v>7.6356043580214656</v>
      </c>
    </row>
    <row r="140" spans="1:6" x14ac:dyDescent="0.25">
      <c r="A140">
        <v>1000</v>
      </c>
      <c r="B140">
        <v>2066.4436040000001</v>
      </c>
      <c r="C140">
        <v>-13.594868999999999</v>
      </c>
      <c r="D140" t="s">
        <v>139</v>
      </c>
      <c r="E140">
        <v>1390</v>
      </c>
      <c r="F140">
        <f t="shared" si="4"/>
        <v>7.6335843429914414</v>
      </c>
    </row>
    <row r="141" spans="1:6" x14ac:dyDescent="0.25">
      <c r="A141">
        <v>1000</v>
      </c>
      <c r="B141">
        <v>2066.8303219999998</v>
      </c>
      <c r="C141">
        <v>-13.609826</v>
      </c>
      <c r="D141" t="s">
        <v>140</v>
      </c>
      <c r="E141">
        <v>1400</v>
      </c>
      <c r="F141">
        <f t="shared" si="4"/>
        <v>7.6337714672943804</v>
      </c>
    </row>
    <row r="142" spans="1:6" x14ac:dyDescent="0.25">
      <c r="A142">
        <v>1000</v>
      </c>
      <c r="B142">
        <v>2068.5502929999998</v>
      </c>
      <c r="C142">
        <v>-13.638021</v>
      </c>
      <c r="D142" t="s">
        <v>141</v>
      </c>
      <c r="E142">
        <v>1410</v>
      </c>
      <c r="F142">
        <f t="shared" si="4"/>
        <v>7.6346032993598199</v>
      </c>
    </row>
    <row r="143" spans="1:6" x14ac:dyDescent="0.25">
      <c r="A143">
        <v>1000</v>
      </c>
      <c r="B143">
        <v>2067.6669919999999</v>
      </c>
      <c r="C143">
        <v>-13.646777999999999</v>
      </c>
      <c r="D143" t="s">
        <v>142</v>
      </c>
      <c r="E143">
        <v>1420</v>
      </c>
      <c r="F143">
        <f t="shared" si="4"/>
        <v>7.6341761936482166</v>
      </c>
    </row>
    <row r="144" spans="1:6" x14ac:dyDescent="0.25">
      <c r="A144">
        <v>1000</v>
      </c>
      <c r="B144">
        <v>2066.281982</v>
      </c>
      <c r="C144">
        <v>-13.596303000000001</v>
      </c>
      <c r="D144" t="s">
        <v>143</v>
      </c>
      <c r="E144">
        <v>1430</v>
      </c>
      <c r="F144">
        <f t="shared" si="4"/>
        <v>7.6335061272973581</v>
      </c>
    </row>
    <row r="145" spans="1:6" x14ac:dyDescent="0.25">
      <c r="A145">
        <v>1000</v>
      </c>
      <c r="B145">
        <v>2067.8469239999999</v>
      </c>
      <c r="C145">
        <v>-13.631396000000001</v>
      </c>
      <c r="D145" t="s">
        <v>144</v>
      </c>
      <c r="E145">
        <v>1440</v>
      </c>
      <c r="F145">
        <f t="shared" si="4"/>
        <v>7.6342632116120139</v>
      </c>
    </row>
    <row r="146" spans="1:6" x14ac:dyDescent="0.25">
      <c r="A146">
        <v>1000</v>
      </c>
      <c r="B146">
        <v>2066.2006839999999</v>
      </c>
      <c r="C146">
        <v>-13.529258</v>
      </c>
      <c r="D146" t="s">
        <v>145</v>
      </c>
      <c r="E146">
        <v>1450</v>
      </c>
      <c r="F146">
        <f t="shared" si="4"/>
        <v>7.6334667814577832</v>
      </c>
    </row>
    <row r="147" spans="1:6" x14ac:dyDescent="0.25">
      <c r="A147">
        <v>1000</v>
      </c>
      <c r="B147">
        <v>2065.1423340000001</v>
      </c>
      <c r="C147">
        <v>-13.503876</v>
      </c>
      <c r="D147" t="s">
        <v>146</v>
      </c>
      <c r="E147">
        <v>1460</v>
      </c>
      <c r="F147">
        <f t="shared" si="4"/>
        <v>7.6329544298962988</v>
      </c>
    </row>
    <row r="148" spans="1:6" x14ac:dyDescent="0.25">
      <c r="A148">
        <v>1000</v>
      </c>
      <c r="B148">
        <v>2064.6623540000001</v>
      </c>
      <c r="C148">
        <v>-13.503712</v>
      </c>
      <c r="D148" t="s">
        <v>147</v>
      </c>
      <c r="E148">
        <v>1470</v>
      </c>
      <c r="F148">
        <f t="shared" si="4"/>
        <v>7.6327219830672481</v>
      </c>
    </row>
    <row r="149" spans="1:6" x14ac:dyDescent="0.25">
      <c r="A149">
        <v>1000</v>
      </c>
      <c r="B149">
        <v>2064.1491700000001</v>
      </c>
      <c r="C149">
        <v>-13.454262</v>
      </c>
      <c r="D149" t="s">
        <v>148</v>
      </c>
      <c r="E149">
        <v>1480</v>
      </c>
      <c r="F149">
        <f t="shared" si="4"/>
        <v>7.632473396276759</v>
      </c>
    </row>
    <row r="150" spans="1:6" x14ac:dyDescent="0.25">
      <c r="A150">
        <v>1000</v>
      </c>
      <c r="B150">
        <v>2064.6281739999999</v>
      </c>
      <c r="C150">
        <v>-13.468387</v>
      </c>
      <c r="D150" t="s">
        <v>149</v>
      </c>
      <c r="E150">
        <v>1490</v>
      </c>
      <c r="F150">
        <f t="shared" si="4"/>
        <v>7.6327054281652531</v>
      </c>
    </row>
    <row r="151" spans="1:6" x14ac:dyDescent="0.25">
      <c r="A151">
        <v>1000</v>
      </c>
      <c r="B151">
        <v>2063.748047</v>
      </c>
      <c r="C151">
        <v>-13.435957</v>
      </c>
      <c r="D151" t="s">
        <v>150</v>
      </c>
      <c r="E151">
        <v>1500</v>
      </c>
      <c r="F151">
        <f t="shared" si="4"/>
        <v>7.6322790488983356</v>
      </c>
    </row>
    <row r="152" spans="1:6" x14ac:dyDescent="0.25">
      <c r="A152">
        <v>1000</v>
      </c>
      <c r="B152">
        <v>2064.0607909999999</v>
      </c>
      <c r="C152">
        <v>-13.413773000000001</v>
      </c>
      <c r="D152" t="s">
        <v>151</v>
      </c>
      <c r="E152">
        <v>1510</v>
      </c>
      <c r="F152">
        <f t="shared" si="4"/>
        <v>7.6324305791715981</v>
      </c>
    </row>
    <row r="153" spans="1:6" x14ac:dyDescent="0.25">
      <c r="A153">
        <v>1000</v>
      </c>
      <c r="B153">
        <v>2061.2084960000002</v>
      </c>
      <c r="C153">
        <v>-13.314844000000001</v>
      </c>
      <c r="D153" t="s">
        <v>152</v>
      </c>
      <c r="E153">
        <v>1520</v>
      </c>
      <c r="F153">
        <f t="shared" si="4"/>
        <v>7.6310477383163295</v>
      </c>
    </row>
    <row r="154" spans="1:6" x14ac:dyDescent="0.25">
      <c r="A154">
        <v>1000</v>
      </c>
      <c r="B154">
        <v>2062.6369629999999</v>
      </c>
      <c r="C154">
        <v>-13.342574000000001</v>
      </c>
      <c r="D154" t="s">
        <v>153</v>
      </c>
      <c r="E154">
        <v>1530</v>
      </c>
      <c r="F154">
        <f t="shared" si="4"/>
        <v>7.6317405223070658</v>
      </c>
    </row>
    <row r="155" spans="1:6" x14ac:dyDescent="0.25">
      <c r="A155">
        <v>1000</v>
      </c>
      <c r="B155">
        <v>2062.3876949999999</v>
      </c>
      <c r="C155">
        <v>-13.333477</v>
      </c>
      <c r="D155" t="s">
        <v>154</v>
      </c>
      <c r="E155">
        <v>1540</v>
      </c>
      <c r="F155">
        <f t="shared" si="4"/>
        <v>7.6316196658172402</v>
      </c>
    </row>
    <row r="156" spans="1:6" x14ac:dyDescent="0.25">
      <c r="A156">
        <v>1000</v>
      </c>
      <c r="B156">
        <v>2061.1892090000001</v>
      </c>
      <c r="C156">
        <v>-13.268795000000001</v>
      </c>
      <c r="D156" t="s">
        <v>155</v>
      </c>
      <c r="E156">
        <v>1550</v>
      </c>
      <c r="F156">
        <f t="shared" si="4"/>
        <v>7.6310383811405398</v>
      </c>
    </row>
    <row r="157" spans="1:6" x14ac:dyDescent="0.25">
      <c r="A157">
        <v>1000</v>
      </c>
      <c r="B157">
        <v>2061.5878910000001</v>
      </c>
      <c r="C157">
        <v>-13.301033</v>
      </c>
      <c r="D157" t="s">
        <v>156</v>
      </c>
      <c r="E157">
        <v>1560</v>
      </c>
      <c r="F157">
        <f t="shared" si="4"/>
        <v>7.6312317857275804</v>
      </c>
    </row>
    <row r="158" spans="1:6" x14ac:dyDescent="0.25">
      <c r="A158">
        <v>1000</v>
      </c>
      <c r="B158">
        <v>2060.9655760000001</v>
      </c>
      <c r="C158">
        <v>-13.306293</v>
      </c>
      <c r="D158" t="s">
        <v>157</v>
      </c>
      <c r="E158">
        <v>1570</v>
      </c>
      <c r="F158">
        <f t="shared" si="4"/>
        <v>7.6309298781794022</v>
      </c>
    </row>
    <row r="159" spans="1:6" x14ac:dyDescent="0.25">
      <c r="A159">
        <v>1000</v>
      </c>
      <c r="B159">
        <v>2059.9978030000002</v>
      </c>
      <c r="C159">
        <v>-13.276786</v>
      </c>
      <c r="D159" t="s">
        <v>158</v>
      </c>
      <c r="E159">
        <v>1580</v>
      </c>
      <c r="F159">
        <f t="shared" si="4"/>
        <v>7.6304601952782036</v>
      </c>
    </row>
    <row r="160" spans="1:6" x14ac:dyDescent="0.25">
      <c r="A160">
        <v>1000</v>
      </c>
      <c r="B160">
        <v>2061.6203609999998</v>
      </c>
      <c r="C160">
        <v>-13.306334</v>
      </c>
      <c r="D160" t="s">
        <v>159</v>
      </c>
      <c r="E160">
        <v>1590</v>
      </c>
      <c r="F160">
        <f t="shared" si="4"/>
        <v>7.631247535599047</v>
      </c>
    </row>
    <row r="161" spans="1:6" x14ac:dyDescent="0.25">
      <c r="A161">
        <v>1000</v>
      </c>
      <c r="B161">
        <v>2059.7626949999999</v>
      </c>
      <c r="C161">
        <v>-13.238918999999999</v>
      </c>
      <c r="D161" t="s">
        <v>160</v>
      </c>
      <c r="E161">
        <v>1600</v>
      </c>
      <c r="F161">
        <f t="shared" ref="F161:F193" si="5">LN(B161)</f>
        <v>7.6303460585460465</v>
      </c>
    </row>
    <row r="162" spans="1:6" x14ac:dyDescent="0.25">
      <c r="A162">
        <v>1000</v>
      </c>
      <c r="B162">
        <v>2059.6987300000001</v>
      </c>
      <c r="C162">
        <v>-13.216312</v>
      </c>
      <c r="D162" t="s">
        <v>161</v>
      </c>
      <c r="E162">
        <v>1610</v>
      </c>
      <c r="F162">
        <f t="shared" si="5"/>
        <v>7.6303150035155918</v>
      </c>
    </row>
    <row r="163" spans="1:6" x14ac:dyDescent="0.25">
      <c r="A163">
        <v>1000</v>
      </c>
      <c r="B163">
        <v>2059.639893</v>
      </c>
      <c r="C163">
        <v>-13.190248</v>
      </c>
      <c r="D163" t="s">
        <v>162</v>
      </c>
      <c r="E163">
        <v>1620</v>
      </c>
      <c r="F163">
        <f t="shared" si="5"/>
        <v>7.6302864372794126</v>
      </c>
    </row>
    <row r="164" spans="1:6" x14ac:dyDescent="0.25">
      <c r="A164">
        <v>1000</v>
      </c>
      <c r="B164">
        <v>2060.1972660000001</v>
      </c>
      <c r="C164">
        <v>-13.222486</v>
      </c>
      <c r="D164" t="s">
        <v>163</v>
      </c>
      <c r="E164">
        <v>1630</v>
      </c>
      <c r="F164">
        <f t="shared" si="5"/>
        <v>7.6305570173930866</v>
      </c>
    </row>
    <row r="165" spans="1:6" x14ac:dyDescent="0.25">
      <c r="A165">
        <v>1000</v>
      </c>
      <c r="B165">
        <v>2058.955078</v>
      </c>
      <c r="C165">
        <v>-13.207159000000001</v>
      </c>
      <c r="D165" t="s">
        <v>164</v>
      </c>
      <c r="E165">
        <v>1640</v>
      </c>
      <c r="F165">
        <f t="shared" si="5"/>
        <v>7.6299538894027057</v>
      </c>
    </row>
    <row r="166" spans="1:6" x14ac:dyDescent="0.25">
      <c r="A166">
        <v>1000</v>
      </c>
      <c r="B166">
        <v>2060.8420409999999</v>
      </c>
      <c r="C166">
        <v>-13.271514</v>
      </c>
      <c r="D166" t="s">
        <v>165</v>
      </c>
      <c r="E166">
        <v>1650</v>
      </c>
      <c r="F166">
        <f t="shared" si="5"/>
        <v>7.6308699360319192</v>
      </c>
    </row>
    <row r="167" spans="1:6" x14ac:dyDescent="0.25">
      <c r="A167">
        <v>1000</v>
      </c>
      <c r="B167">
        <v>2061.0964359999998</v>
      </c>
      <c r="C167">
        <v>-13.309229999999999</v>
      </c>
      <c r="D167" t="s">
        <v>166</v>
      </c>
      <c r="E167">
        <v>1660</v>
      </c>
      <c r="F167">
        <f t="shared" si="5"/>
        <v>7.6309933706740143</v>
      </c>
    </row>
    <row r="168" spans="1:6" x14ac:dyDescent="0.25">
      <c r="A168">
        <v>1000</v>
      </c>
      <c r="B168">
        <v>2060.1945799999999</v>
      </c>
      <c r="C168">
        <v>-13.24616</v>
      </c>
      <c r="D168" t="s">
        <v>167</v>
      </c>
      <c r="E168">
        <v>1670</v>
      </c>
      <c r="F168">
        <f t="shared" si="5"/>
        <v>7.6305557136335898</v>
      </c>
    </row>
    <row r="169" spans="1:6" x14ac:dyDescent="0.25">
      <c r="A169">
        <v>1000</v>
      </c>
      <c r="B169">
        <v>2057.6440429999998</v>
      </c>
      <c r="C169">
        <v>-13.107521</v>
      </c>
      <c r="D169" t="s">
        <v>168</v>
      </c>
      <c r="E169">
        <v>1680</v>
      </c>
      <c r="F169">
        <f t="shared" si="5"/>
        <v>7.6293169388492075</v>
      </c>
    </row>
    <row r="170" spans="1:6" x14ac:dyDescent="0.25">
      <c r="A170">
        <v>1000</v>
      </c>
      <c r="B170">
        <v>2058.3642580000001</v>
      </c>
      <c r="C170">
        <v>-13.067686999999999</v>
      </c>
      <c r="D170" t="s">
        <v>169</v>
      </c>
      <c r="E170">
        <v>1690</v>
      </c>
      <c r="F170">
        <f t="shared" si="5"/>
        <v>7.6296668968447614</v>
      </c>
    </row>
    <row r="171" spans="1:6" x14ac:dyDescent="0.25">
      <c r="A171">
        <v>1000</v>
      </c>
      <c r="B171">
        <v>2058.1804200000001</v>
      </c>
      <c r="C171">
        <v>-13.112124</v>
      </c>
      <c r="D171" t="s">
        <v>170</v>
      </c>
      <c r="E171">
        <v>1700</v>
      </c>
      <c r="F171">
        <f t="shared" si="5"/>
        <v>7.6295775801898964</v>
      </c>
    </row>
    <row r="172" spans="1:6" x14ac:dyDescent="0.25">
      <c r="A172">
        <v>1000</v>
      </c>
      <c r="B172">
        <v>2058.7307129999999</v>
      </c>
      <c r="C172">
        <v>-13.123339</v>
      </c>
      <c r="D172" t="s">
        <v>171</v>
      </c>
      <c r="E172">
        <v>1710</v>
      </c>
      <c r="F172">
        <f t="shared" si="5"/>
        <v>7.6298449131419561</v>
      </c>
    </row>
    <row r="173" spans="1:6" x14ac:dyDescent="0.25">
      <c r="A173">
        <v>1000</v>
      </c>
      <c r="B173">
        <v>2057.5251459999999</v>
      </c>
      <c r="C173">
        <v>-13.058766</v>
      </c>
      <c r="D173" t="s">
        <v>172</v>
      </c>
      <c r="E173">
        <v>1720</v>
      </c>
      <c r="F173">
        <f t="shared" si="5"/>
        <v>7.629259154104731</v>
      </c>
    </row>
    <row r="174" spans="1:6" x14ac:dyDescent="0.25">
      <c r="A174">
        <v>1000</v>
      </c>
      <c r="B174">
        <v>2057.4575199999999</v>
      </c>
      <c r="C174">
        <v>-13.033331</v>
      </c>
      <c r="D174" t="s">
        <v>173</v>
      </c>
      <c r="E174">
        <v>1730</v>
      </c>
      <c r="F174">
        <f t="shared" si="5"/>
        <v>7.6292262859225319</v>
      </c>
    </row>
    <row r="175" spans="1:6" x14ac:dyDescent="0.25">
      <c r="A175">
        <v>1000</v>
      </c>
      <c r="B175">
        <v>2057.4997560000002</v>
      </c>
      <c r="C175">
        <v>-13.040229999999999</v>
      </c>
      <c r="D175" t="s">
        <v>174</v>
      </c>
      <c r="E175">
        <v>1740</v>
      </c>
      <c r="F175">
        <f t="shared" si="5"/>
        <v>7.6292468139606955</v>
      </c>
    </row>
    <row r="176" spans="1:6" x14ac:dyDescent="0.25">
      <c r="A176">
        <v>1000</v>
      </c>
      <c r="B176">
        <v>2057.1059570000002</v>
      </c>
      <c r="C176">
        <v>-13.052607</v>
      </c>
      <c r="D176" t="s">
        <v>175</v>
      </c>
      <c r="E176">
        <v>1750</v>
      </c>
      <c r="F176">
        <f t="shared" si="5"/>
        <v>7.629055398778454</v>
      </c>
    </row>
    <row r="177" spans="1:6" x14ac:dyDescent="0.25">
      <c r="A177">
        <v>1000</v>
      </c>
      <c r="B177">
        <v>2057.4235840000001</v>
      </c>
      <c r="C177">
        <v>-13.012062</v>
      </c>
      <c r="D177" t="s">
        <v>176</v>
      </c>
      <c r="E177">
        <v>1760</v>
      </c>
      <c r="F177">
        <f t="shared" si="5"/>
        <v>7.6292097916427979</v>
      </c>
    </row>
    <row r="178" spans="1:6" x14ac:dyDescent="0.25">
      <c r="A178">
        <v>1000</v>
      </c>
      <c r="B178">
        <v>2057.060547</v>
      </c>
      <c r="C178">
        <v>-12.985042</v>
      </c>
      <c r="D178" t="s">
        <v>177</v>
      </c>
      <c r="E178">
        <v>1770</v>
      </c>
      <c r="F178">
        <f t="shared" si="5"/>
        <v>7.6290333238332826</v>
      </c>
    </row>
    <row r="179" spans="1:6" x14ac:dyDescent="0.25">
      <c r="A179">
        <v>1000</v>
      </c>
      <c r="B179">
        <v>2054.4685060000002</v>
      </c>
      <c r="C179">
        <v>-12.940058000000001</v>
      </c>
      <c r="D179" t="s">
        <v>178</v>
      </c>
      <c r="E179">
        <v>1780</v>
      </c>
      <c r="F179">
        <f t="shared" si="5"/>
        <v>7.6277724589287734</v>
      </c>
    </row>
    <row r="180" spans="1:6" x14ac:dyDescent="0.25">
      <c r="A180">
        <v>1000</v>
      </c>
      <c r="B180">
        <v>2056.1625979999999</v>
      </c>
      <c r="C180">
        <v>-12.919063</v>
      </c>
      <c r="D180" t="s">
        <v>179</v>
      </c>
      <c r="E180">
        <v>1790</v>
      </c>
      <c r="F180">
        <f t="shared" si="5"/>
        <v>7.6285967080783816</v>
      </c>
    </row>
    <row r="181" spans="1:6" x14ac:dyDescent="0.25">
      <c r="A181">
        <v>1000</v>
      </c>
      <c r="B181">
        <v>2055.3520509999998</v>
      </c>
      <c r="C181">
        <v>-12.884036999999999</v>
      </c>
      <c r="D181" t="s">
        <v>180</v>
      </c>
      <c r="E181">
        <v>1800</v>
      </c>
      <c r="F181">
        <f t="shared" si="5"/>
        <v>7.6282024266129378</v>
      </c>
    </row>
    <row r="182" spans="1:6" x14ac:dyDescent="0.25">
      <c r="A182">
        <v>1000</v>
      </c>
      <c r="B182">
        <v>2055.2270509999998</v>
      </c>
      <c r="C182">
        <v>-12.863451</v>
      </c>
      <c r="D182" t="s">
        <v>181</v>
      </c>
      <c r="E182">
        <v>1810</v>
      </c>
      <c r="F182">
        <f t="shared" si="5"/>
        <v>7.628141607931707</v>
      </c>
    </row>
    <row r="183" spans="1:6" x14ac:dyDescent="0.25">
      <c r="A183">
        <v>1000</v>
      </c>
      <c r="B183">
        <v>2054.3442380000001</v>
      </c>
      <c r="C183">
        <v>-12.844804999999999</v>
      </c>
      <c r="D183" t="s">
        <v>182</v>
      </c>
      <c r="E183">
        <v>1820</v>
      </c>
      <c r="F183">
        <f t="shared" si="5"/>
        <v>7.6277119704092033</v>
      </c>
    </row>
    <row r="184" spans="1:6" x14ac:dyDescent="0.25">
      <c r="A184">
        <v>1000</v>
      </c>
      <c r="B184">
        <v>2053.6335450000001</v>
      </c>
      <c r="C184">
        <v>-12.793481999999999</v>
      </c>
      <c r="D184" t="s">
        <v>183</v>
      </c>
      <c r="E184">
        <v>1830</v>
      </c>
      <c r="F184">
        <f t="shared" si="5"/>
        <v>7.6273659641527765</v>
      </c>
    </row>
    <row r="185" spans="1:6" x14ac:dyDescent="0.25">
      <c r="A185">
        <v>1000</v>
      </c>
      <c r="B185">
        <v>2053.8427729999999</v>
      </c>
      <c r="C185">
        <v>-12.753375</v>
      </c>
      <c r="D185" t="s">
        <v>184</v>
      </c>
      <c r="E185">
        <v>1840</v>
      </c>
      <c r="F185">
        <f t="shared" si="5"/>
        <v>7.6274678408205805</v>
      </c>
    </row>
    <row r="186" spans="1:6" x14ac:dyDescent="0.25">
      <c r="A186">
        <v>1000</v>
      </c>
      <c r="B186">
        <v>2052.733643</v>
      </c>
      <c r="C186">
        <v>-12.683024</v>
      </c>
      <c r="D186" t="s">
        <v>185</v>
      </c>
      <c r="E186">
        <v>1850</v>
      </c>
      <c r="F186">
        <f t="shared" si="5"/>
        <v>7.6269276682219909</v>
      </c>
    </row>
    <row r="187" spans="1:6" x14ac:dyDescent="0.25">
      <c r="A187">
        <v>1000</v>
      </c>
      <c r="B187">
        <v>2052.6110840000001</v>
      </c>
      <c r="C187">
        <v>-12.678421</v>
      </c>
      <c r="D187" t="s">
        <v>186</v>
      </c>
      <c r="E187">
        <v>1860</v>
      </c>
      <c r="F187">
        <f t="shared" si="5"/>
        <v>7.6268679611775472</v>
      </c>
    </row>
    <row r="188" spans="1:6" x14ac:dyDescent="0.25">
      <c r="A188">
        <v>1000</v>
      </c>
      <c r="B188">
        <v>2052.97876</v>
      </c>
      <c r="C188">
        <v>-12.692218</v>
      </c>
      <c r="D188" t="s">
        <v>187</v>
      </c>
      <c r="E188">
        <v>1870</v>
      </c>
      <c r="F188">
        <f t="shared" si="5"/>
        <v>7.6270470711300522</v>
      </c>
    </row>
    <row r="189" spans="1:6" x14ac:dyDescent="0.25">
      <c r="A189">
        <v>1000</v>
      </c>
      <c r="B189">
        <v>2053.921143</v>
      </c>
      <c r="C189">
        <v>-12.750002</v>
      </c>
      <c r="D189" t="s">
        <v>188</v>
      </c>
      <c r="E189">
        <v>1880</v>
      </c>
      <c r="F189">
        <f t="shared" si="5"/>
        <v>7.6275059978333068</v>
      </c>
    </row>
    <row r="190" spans="1:6" x14ac:dyDescent="0.25">
      <c r="A190">
        <v>1000</v>
      </c>
      <c r="B190">
        <v>2053.17749</v>
      </c>
      <c r="C190">
        <v>-12.769166</v>
      </c>
      <c r="D190" t="s">
        <v>189</v>
      </c>
      <c r="E190">
        <v>1890</v>
      </c>
      <c r="F190">
        <f t="shared" si="5"/>
        <v>7.6271438672518048</v>
      </c>
    </row>
    <row r="191" spans="1:6" x14ac:dyDescent="0.25">
      <c r="A191">
        <v>1000</v>
      </c>
      <c r="B191">
        <v>2055.6228030000002</v>
      </c>
      <c r="C191">
        <v>-12.810366</v>
      </c>
      <c r="D191" t="s">
        <v>190</v>
      </c>
      <c r="E191">
        <v>1900</v>
      </c>
      <c r="F191">
        <f t="shared" si="5"/>
        <v>7.6283341481680464</v>
      </c>
    </row>
    <row r="192" spans="1:6" x14ac:dyDescent="0.25">
      <c r="A192">
        <v>1000</v>
      </c>
      <c r="B192">
        <v>2054.8276369999999</v>
      </c>
      <c r="C192">
        <v>-12.806118</v>
      </c>
      <c r="D192" t="s">
        <v>191</v>
      </c>
      <c r="E192">
        <v>1910</v>
      </c>
      <c r="F192">
        <f t="shared" si="5"/>
        <v>7.6279472484734629</v>
      </c>
    </row>
    <row r="193" spans="1:6" x14ac:dyDescent="0.25">
      <c r="A193">
        <v>1000</v>
      </c>
      <c r="B193">
        <v>2045.919312</v>
      </c>
      <c r="C193">
        <v>-12.327786</v>
      </c>
      <c r="D193" t="s">
        <v>192</v>
      </c>
      <c r="E193">
        <v>1920</v>
      </c>
      <c r="F193">
        <f t="shared" si="5"/>
        <v>7.623602508783768</v>
      </c>
    </row>
  </sheetData>
  <sortState ref="A1:H193">
    <sortCondition ref="F1:F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opLeftCell="A163" zoomScaleNormal="100" workbookViewId="0">
      <selection sqref="A1:D196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  <col min="13" max="13" width="13.140625" bestFit="1" customWidth="1"/>
  </cols>
  <sheetData>
    <row r="1" spans="1:13" x14ac:dyDescent="0.25">
      <c r="A1">
        <v>1000</v>
      </c>
      <c r="B1">
        <v>1989.0354</v>
      </c>
      <c r="C1">
        <v>-12.436946000000001</v>
      </c>
      <c r="D1" t="s">
        <v>193</v>
      </c>
      <c r="E1">
        <v>0</v>
      </c>
      <c r="F1">
        <f>LN(B1)</f>
        <v>7.5954050765839778</v>
      </c>
      <c r="I1" s="1" t="s">
        <v>194</v>
      </c>
      <c r="J1" s="1" t="s">
        <v>195</v>
      </c>
      <c r="L1" s="2"/>
      <c r="M1" t="s">
        <v>704</v>
      </c>
    </row>
    <row r="2" spans="1:13" x14ac:dyDescent="0.25">
      <c r="A2">
        <v>1000</v>
      </c>
      <c r="B2">
        <v>1949.207764</v>
      </c>
      <c r="C2">
        <v>-11.535005</v>
      </c>
      <c r="D2" t="s">
        <v>196</v>
      </c>
      <c r="E2">
        <v>10</v>
      </c>
      <c r="F2">
        <f t="shared" ref="F2:F65" si="0">LN(B2)</f>
        <v>7.5751782941340018</v>
      </c>
      <c r="H2" t="s">
        <v>197</v>
      </c>
      <c r="I2">
        <f>1/(0.000002)</f>
        <v>500000</v>
      </c>
      <c r="J2">
        <f>1/(0.00005)</f>
        <v>20000</v>
      </c>
      <c r="K2" s="3" t="s">
        <v>577</v>
      </c>
      <c r="L2" s="2"/>
      <c r="M2">
        <v>1484</v>
      </c>
    </row>
    <row r="3" spans="1:13" x14ac:dyDescent="0.25">
      <c r="A3">
        <v>1000</v>
      </c>
      <c r="B3">
        <v>1938.024048</v>
      </c>
      <c r="C3">
        <v>-11.277398</v>
      </c>
      <c r="D3" t="s">
        <v>198</v>
      </c>
      <c r="E3">
        <v>20</v>
      </c>
      <c r="F3">
        <f t="shared" si="0"/>
        <v>7.5694242010424553</v>
      </c>
      <c r="I3">
        <f>I2/60</f>
        <v>8333.3333333333339</v>
      </c>
      <c r="J3">
        <f>J2/60</f>
        <v>333.33333333333331</v>
      </c>
      <c r="K3" s="3" t="s">
        <v>578</v>
      </c>
    </row>
    <row r="4" spans="1:13" x14ac:dyDescent="0.25">
      <c r="A4">
        <v>1000</v>
      </c>
      <c r="B4">
        <v>1931.1016850000001</v>
      </c>
      <c r="C4">
        <v>-11.123977999999999</v>
      </c>
      <c r="D4" t="s">
        <v>199</v>
      </c>
      <c r="E4">
        <v>30</v>
      </c>
      <c r="F4">
        <f t="shared" si="0"/>
        <v>7.5658459402859801</v>
      </c>
      <c r="I4">
        <f>I3/60</f>
        <v>138.88888888888889</v>
      </c>
      <c r="J4">
        <f>J3/60</f>
        <v>5.5555555555555554</v>
      </c>
      <c r="K4" s="3" t="s">
        <v>579</v>
      </c>
    </row>
    <row r="5" spans="1:13" x14ac:dyDescent="0.25">
      <c r="A5">
        <v>1000</v>
      </c>
      <c r="B5">
        <v>1925.0732419999999</v>
      </c>
      <c r="C5">
        <v>-10.987156000000001</v>
      </c>
      <c r="D5" t="s">
        <v>200</v>
      </c>
      <c r="E5">
        <v>40</v>
      </c>
      <c r="F5">
        <f t="shared" si="0"/>
        <v>7.5627192937902938</v>
      </c>
    </row>
    <row r="6" spans="1:13" x14ac:dyDescent="0.25">
      <c r="A6">
        <v>1000</v>
      </c>
      <c r="B6">
        <v>1920.006226</v>
      </c>
      <c r="C6">
        <v>-10.822576</v>
      </c>
      <c r="D6" t="s">
        <v>201</v>
      </c>
      <c r="E6">
        <v>50</v>
      </c>
      <c r="F6">
        <f t="shared" si="0"/>
        <v>7.5600837077249032</v>
      </c>
    </row>
    <row r="7" spans="1:13" x14ac:dyDescent="0.25">
      <c r="A7">
        <v>1000</v>
      </c>
      <c r="B7">
        <v>1916.115356</v>
      </c>
      <c r="C7">
        <v>-10.660181</v>
      </c>
      <c r="D7" t="s">
        <v>202</v>
      </c>
      <c r="E7">
        <v>60</v>
      </c>
      <c r="F7">
        <f t="shared" si="0"/>
        <v>7.5580551633990414</v>
      </c>
    </row>
    <row r="8" spans="1:13" x14ac:dyDescent="0.25">
      <c r="A8">
        <v>1000</v>
      </c>
      <c r="B8">
        <v>1912.9952390000001</v>
      </c>
      <c r="C8">
        <v>-10.566757000000001</v>
      </c>
      <c r="D8" t="s">
        <v>203</v>
      </c>
      <c r="E8">
        <v>70</v>
      </c>
      <c r="F8">
        <f t="shared" si="0"/>
        <v>7.5564254806760474</v>
      </c>
    </row>
    <row r="9" spans="1:13" x14ac:dyDescent="0.25">
      <c r="A9">
        <v>1000</v>
      </c>
      <c r="B9">
        <v>1910.2944339999999</v>
      </c>
      <c r="C9">
        <v>-10.482637</v>
      </c>
      <c r="D9" t="s">
        <v>204</v>
      </c>
      <c r="E9">
        <v>80</v>
      </c>
      <c r="F9">
        <f t="shared" si="0"/>
        <v>7.555012663086881</v>
      </c>
    </row>
    <row r="10" spans="1:13" x14ac:dyDescent="0.25">
      <c r="A10">
        <v>1000</v>
      </c>
      <c r="B10">
        <v>1908.544312</v>
      </c>
      <c r="C10">
        <v>-10.401344</v>
      </c>
      <c r="D10" t="s">
        <v>205</v>
      </c>
      <c r="E10">
        <v>90</v>
      </c>
      <c r="F10">
        <f t="shared" si="0"/>
        <v>7.5540960901499608</v>
      </c>
    </row>
    <row r="11" spans="1:13" x14ac:dyDescent="0.25">
      <c r="A11">
        <v>1000</v>
      </c>
      <c r="B11">
        <v>1905.9570309999999</v>
      </c>
      <c r="C11">
        <v>-10.321922000000001</v>
      </c>
      <c r="D11" t="s">
        <v>206</v>
      </c>
      <c r="E11">
        <v>100</v>
      </c>
      <c r="F11">
        <f t="shared" si="0"/>
        <v>7.5527395398886723</v>
      </c>
    </row>
    <row r="12" spans="1:13" x14ac:dyDescent="0.25">
      <c r="A12">
        <v>1000</v>
      </c>
      <c r="B12">
        <v>1904.528198</v>
      </c>
      <c r="C12">
        <v>-10.276311</v>
      </c>
      <c r="D12" t="s">
        <v>207</v>
      </c>
      <c r="E12">
        <v>110</v>
      </c>
      <c r="F12">
        <f t="shared" si="0"/>
        <v>7.5519895917948743</v>
      </c>
    </row>
    <row r="13" spans="1:13" x14ac:dyDescent="0.25">
      <c r="A13">
        <v>1000</v>
      </c>
      <c r="B13">
        <v>1903.0780030000001</v>
      </c>
      <c r="C13">
        <v>-10.228676999999999</v>
      </c>
      <c r="D13" t="s">
        <v>208</v>
      </c>
      <c r="E13">
        <v>120</v>
      </c>
      <c r="F13">
        <f t="shared" si="0"/>
        <v>7.5512278559463821</v>
      </c>
    </row>
    <row r="14" spans="1:13" x14ac:dyDescent="0.25">
      <c r="A14">
        <v>1000</v>
      </c>
      <c r="B14">
        <v>1901.4832759999999</v>
      </c>
      <c r="C14">
        <v>-10.175592</v>
      </c>
      <c r="D14" t="s">
        <v>209</v>
      </c>
      <c r="E14">
        <v>130</v>
      </c>
      <c r="F14">
        <f t="shared" si="0"/>
        <v>7.5503895321679222</v>
      </c>
    </row>
    <row r="15" spans="1:13" x14ac:dyDescent="0.25">
      <c r="A15">
        <v>1000</v>
      </c>
      <c r="B15">
        <v>1901.940308</v>
      </c>
      <c r="C15">
        <v>-10.202285</v>
      </c>
      <c r="D15" t="s">
        <v>210</v>
      </c>
      <c r="E15">
        <v>140</v>
      </c>
      <c r="F15">
        <f t="shared" si="0"/>
        <v>7.5506298588063343</v>
      </c>
    </row>
    <row r="16" spans="1:13" x14ac:dyDescent="0.25">
      <c r="A16">
        <v>1000</v>
      </c>
      <c r="B16">
        <v>1906.059814</v>
      </c>
      <c r="C16">
        <v>-10.559792</v>
      </c>
      <c r="D16" t="s">
        <v>211</v>
      </c>
      <c r="E16">
        <v>150</v>
      </c>
      <c r="F16">
        <f t="shared" si="0"/>
        <v>7.5527934656734752</v>
      </c>
    </row>
    <row r="17" spans="1:6" x14ac:dyDescent="0.25">
      <c r="A17">
        <v>1000</v>
      </c>
      <c r="B17">
        <v>1911.688232</v>
      </c>
      <c r="C17">
        <v>-10.993999000000001</v>
      </c>
      <c r="D17" t="s">
        <v>212</v>
      </c>
      <c r="E17">
        <v>160</v>
      </c>
      <c r="F17">
        <f t="shared" si="0"/>
        <v>7.5557420217384452</v>
      </c>
    </row>
    <row r="18" spans="1:6" x14ac:dyDescent="0.25">
      <c r="A18">
        <v>1000</v>
      </c>
      <c r="B18">
        <v>1905.3138429999999</v>
      </c>
      <c r="C18">
        <v>-10.572713</v>
      </c>
      <c r="D18" t="s">
        <v>213</v>
      </c>
      <c r="E18">
        <v>170</v>
      </c>
      <c r="F18">
        <f t="shared" si="0"/>
        <v>7.5524020209731351</v>
      </c>
    </row>
    <row r="19" spans="1:6" x14ac:dyDescent="0.25">
      <c r="A19">
        <v>1000</v>
      </c>
      <c r="B19">
        <v>1901.001831</v>
      </c>
      <c r="C19">
        <v>-10.304014</v>
      </c>
      <c r="D19" t="s">
        <v>214</v>
      </c>
      <c r="E19">
        <v>180</v>
      </c>
      <c r="F19">
        <f t="shared" si="0"/>
        <v>7.5501363056652409</v>
      </c>
    </row>
    <row r="20" spans="1:6" x14ac:dyDescent="0.25">
      <c r="A20">
        <v>1000</v>
      </c>
      <c r="B20">
        <v>1898.396606</v>
      </c>
      <c r="C20">
        <v>-10.140485999999999</v>
      </c>
      <c r="D20" t="s">
        <v>215</v>
      </c>
      <c r="E20">
        <v>190</v>
      </c>
      <c r="F20">
        <f t="shared" si="0"/>
        <v>7.5487649172986329</v>
      </c>
    </row>
    <row r="21" spans="1:6" x14ac:dyDescent="0.25">
      <c r="A21">
        <v>1000</v>
      </c>
      <c r="B21">
        <v>1897.1602780000001</v>
      </c>
      <c r="C21">
        <v>-10.053782</v>
      </c>
      <c r="D21" t="s">
        <v>216</v>
      </c>
      <c r="E21">
        <v>200</v>
      </c>
      <c r="F21">
        <f t="shared" si="0"/>
        <v>7.5481134566136738</v>
      </c>
    </row>
    <row r="22" spans="1:6" x14ac:dyDescent="0.25">
      <c r="A22">
        <v>1000</v>
      </c>
      <c r="B22">
        <v>1903.0092770000001</v>
      </c>
      <c r="C22">
        <v>-10.527307</v>
      </c>
      <c r="D22" t="s">
        <v>217</v>
      </c>
      <c r="E22">
        <v>210</v>
      </c>
      <c r="F22">
        <f t="shared" si="0"/>
        <v>7.551191742218581</v>
      </c>
    </row>
    <row r="23" spans="1:6" x14ac:dyDescent="0.25">
      <c r="A23">
        <v>1000</v>
      </c>
      <c r="B23">
        <v>1902.9517820000001</v>
      </c>
      <c r="C23">
        <v>-10.520638999999999</v>
      </c>
      <c r="D23" t="s">
        <v>218</v>
      </c>
      <c r="E23">
        <v>220</v>
      </c>
      <c r="F23">
        <f t="shared" si="0"/>
        <v>7.5511615290875937</v>
      </c>
    </row>
    <row r="24" spans="1:6" x14ac:dyDescent="0.25">
      <c r="A24">
        <v>1000</v>
      </c>
      <c r="B24">
        <v>1901.4774170000001</v>
      </c>
      <c r="C24">
        <v>-10.451504999999999</v>
      </c>
      <c r="D24" t="s">
        <v>219</v>
      </c>
      <c r="E24">
        <v>230</v>
      </c>
      <c r="F24">
        <f t="shared" si="0"/>
        <v>7.5503864508844316</v>
      </c>
    </row>
    <row r="25" spans="1:6" x14ac:dyDescent="0.25">
      <c r="A25">
        <v>1000</v>
      </c>
      <c r="B25">
        <v>1897.5273440000001</v>
      </c>
      <c r="C25">
        <v>-10.150744</v>
      </c>
      <c r="D25" t="s">
        <v>220</v>
      </c>
      <c r="E25">
        <v>240</v>
      </c>
      <c r="F25">
        <f t="shared" si="0"/>
        <v>7.548306919706139</v>
      </c>
    </row>
    <row r="26" spans="1:6" x14ac:dyDescent="0.25">
      <c r="A26">
        <v>1000</v>
      </c>
      <c r="B26">
        <v>1895.230957</v>
      </c>
      <c r="C26">
        <v>-9.9995370000000001</v>
      </c>
      <c r="D26" t="s">
        <v>221</v>
      </c>
      <c r="E26">
        <v>250</v>
      </c>
      <c r="F26">
        <f t="shared" si="0"/>
        <v>7.5470959871349779</v>
      </c>
    </row>
    <row r="27" spans="1:6" x14ac:dyDescent="0.25">
      <c r="A27">
        <v>1000</v>
      </c>
      <c r="B27">
        <v>1893.497192</v>
      </c>
      <c r="C27">
        <v>-9.9099660000000007</v>
      </c>
      <c r="D27" t="s">
        <v>222</v>
      </c>
      <c r="E27">
        <v>260</v>
      </c>
      <c r="F27">
        <f t="shared" si="0"/>
        <v>7.5461807643727017</v>
      </c>
    </row>
    <row r="28" spans="1:6" x14ac:dyDescent="0.25">
      <c r="A28">
        <v>1000</v>
      </c>
      <c r="B28">
        <v>1893.3583980000001</v>
      </c>
      <c r="C28">
        <v>-9.8763760000000005</v>
      </c>
      <c r="D28" t="s">
        <v>223</v>
      </c>
      <c r="E28">
        <v>270</v>
      </c>
      <c r="F28">
        <f t="shared" si="0"/>
        <v>7.5461074613397425</v>
      </c>
    </row>
    <row r="29" spans="1:6" x14ac:dyDescent="0.25">
      <c r="A29">
        <v>1000</v>
      </c>
      <c r="B29">
        <v>1891.907471</v>
      </c>
      <c r="C29">
        <v>-9.8021180000000001</v>
      </c>
      <c r="D29" t="s">
        <v>224</v>
      </c>
      <c r="E29">
        <v>280</v>
      </c>
      <c r="F29">
        <f t="shared" si="0"/>
        <v>7.5453408430247952</v>
      </c>
    </row>
    <row r="30" spans="1:6" x14ac:dyDescent="0.25">
      <c r="A30">
        <v>1000</v>
      </c>
      <c r="B30">
        <v>1891.6762699999999</v>
      </c>
      <c r="C30">
        <v>-9.7542919999999995</v>
      </c>
      <c r="D30" t="s">
        <v>225</v>
      </c>
      <c r="E30">
        <v>290</v>
      </c>
      <c r="F30">
        <f t="shared" si="0"/>
        <v>7.5452186303205897</v>
      </c>
    </row>
    <row r="31" spans="1:6" x14ac:dyDescent="0.25">
      <c r="A31">
        <v>1000</v>
      </c>
      <c r="B31">
        <v>1890.6313479999999</v>
      </c>
      <c r="C31">
        <v>-9.6786820000000002</v>
      </c>
      <c r="D31" t="s">
        <v>226</v>
      </c>
      <c r="E31">
        <v>300</v>
      </c>
      <c r="F31">
        <f t="shared" si="0"/>
        <v>7.544666098833404</v>
      </c>
    </row>
    <row r="32" spans="1:6" x14ac:dyDescent="0.25">
      <c r="A32">
        <v>1000</v>
      </c>
      <c r="B32">
        <v>1890.0479740000001</v>
      </c>
      <c r="C32">
        <v>-9.6332210000000007</v>
      </c>
      <c r="D32" t="s">
        <v>227</v>
      </c>
      <c r="E32">
        <v>310</v>
      </c>
      <c r="F32">
        <f t="shared" si="0"/>
        <v>7.5443574908003264</v>
      </c>
    </row>
    <row r="33" spans="1:6" x14ac:dyDescent="0.25">
      <c r="A33">
        <v>1000</v>
      </c>
      <c r="B33">
        <v>1889.154663</v>
      </c>
      <c r="C33">
        <v>-9.6056810000000006</v>
      </c>
      <c r="D33" t="s">
        <v>228</v>
      </c>
      <c r="E33">
        <v>320</v>
      </c>
      <c r="F33">
        <f t="shared" si="0"/>
        <v>7.5438847397454394</v>
      </c>
    </row>
    <row r="34" spans="1:6" x14ac:dyDescent="0.25">
      <c r="A34">
        <v>1000</v>
      </c>
      <c r="B34">
        <v>1888.6951899999999</v>
      </c>
      <c r="C34">
        <v>-9.5705190000000009</v>
      </c>
      <c r="D34" t="s">
        <v>229</v>
      </c>
      <c r="E34">
        <v>330</v>
      </c>
      <c r="F34">
        <f t="shared" si="0"/>
        <v>7.543641493973297</v>
      </c>
    </row>
    <row r="35" spans="1:6" x14ac:dyDescent="0.25">
      <c r="A35">
        <v>1000</v>
      </c>
      <c r="B35">
        <v>1888.2769780000001</v>
      </c>
      <c r="C35">
        <v>-9.5634569999999997</v>
      </c>
      <c r="D35" t="s">
        <v>230</v>
      </c>
      <c r="E35">
        <v>340</v>
      </c>
      <c r="F35">
        <f t="shared" si="0"/>
        <v>7.5434200403945528</v>
      </c>
    </row>
    <row r="36" spans="1:6" x14ac:dyDescent="0.25">
      <c r="A36">
        <v>1000</v>
      </c>
      <c r="B36">
        <v>1887.818115</v>
      </c>
      <c r="C36">
        <v>-9.5282680000000006</v>
      </c>
      <c r="D36" t="s">
        <v>231</v>
      </c>
      <c r="E36">
        <v>350</v>
      </c>
      <c r="F36">
        <f t="shared" si="0"/>
        <v>7.5431770046706337</v>
      </c>
    </row>
    <row r="37" spans="1:6" x14ac:dyDescent="0.25">
      <c r="A37">
        <v>1000</v>
      </c>
      <c r="B37">
        <v>1887.3942870000001</v>
      </c>
      <c r="C37">
        <v>-9.4817129999999992</v>
      </c>
      <c r="D37" t="s">
        <v>232</v>
      </c>
      <c r="E37">
        <v>360</v>
      </c>
      <c r="F37">
        <f t="shared" si="0"/>
        <v>7.5429524726673183</v>
      </c>
    </row>
    <row r="38" spans="1:6" x14ac:dyDescent="0.25">
      <c r="A38">
        <v>1000</v>
      </c>
      <c r="B38">
        <v>1892.650879</v>
      </c>
      <c r="C38">
        <v>-9.9221380000000003</v>
      </c>
      <c r="D38" t="s">
        <v>233</v>
      </c>
      <c r="E38">
        <v>370</v>
      </c>
      <c r="F38">
        <f t="shared" si="0"/>
        <v>7.5457337068365327</v>
      </c>
    </row>
    <row r="39" spans="1:6" x14ac:dyDescent="0.25">
      <c r="A39">
        <v>1000</v>
      </c>
      <c r="B39">
        <v>1892.6480710000001</v>
      </c>
      <c r="C39">
        <v>-9.9331619999999994</v>
      </c>
      <c r="D39" t="s">
        <v>234</v>
      </c>
      <c r="E39">
        <v>380</v>
      </c>
      <c r="F39">
        <f t="shared" si="0"/>
        <v>7.5457322232020632</v>
      </c>
    </row>
    <row r="40" spans="1:6" x14ac:dyDescent="0.25">
      <c r="A40">
        <v>1000</v>
      </c>
      <c r="B40">
        <v>1891.3476559999999</v>
      </c>
      <c r="C40">
        <v>-9.8689719999999994</v>
      </c>
      <c r="D40" t="s">
        <v>235</v>
      </c>
      <c r="E40">
        <v>390</v>
      </c>
      <c r="F40">
        <f t="shared" si="0"/>
        <v>7.5450448994601702</v>
      </c>
    </row>
    <row r="41" spans="1:6" x14ac:dyDescent="0.25">
      <c r="A41">
        <v>1000</v>
      </c>
      <c r="B41">
        <v>1890.8145750000001</v>
      </c>
      <c r="C41">
        <v>-9.8305179999999996</v>
      </c>
      <c r="D41" t="s">
        <v>236</v>
      </c>
      <c r="E41">
        <v>400</v>
      </c>
      <c r="F41">
        <f t="shared" si="0"/>
        <v>7.544763007266778</v>
      </c>
    </row>
    <row r="42" spans="1:6" x14ac:dyDescent="0.25">
      <c r="A42">
        <v>1000</v>
      </c>
      <c r="B42">
        <v>1889.5251459999999</v>
      </c>
      <c r="C42">
        <v>-9.6946650000000005</v>
      </c>
      <c r="D42" t="s">
        <v>237</v>
      </c>
      <c r="E42">
        <v>410</v>
      </c>
      <c r="F42">
        <f t="shared" si="0"/>
        <v>7.5440808309836038</v>
      </c>
    </row>
    <row r="43" spans="1:6" x14ac:dyDescent="0.25">
      <c r="A43">
        <v>1000</v>
      </c>
      <c r="B43">
        <v>1888.578125</v>
      </c>
      <c r="C43">
        <v>-9.6491209999999992</v>
      </c>
      <c r="D43" t="s">
        <v>238</v>
      </c>
      <c r="E43">
        <v>420</v>
      </c>
      <c r="F43">
        <f t="shared" si="0"/>
        <v>7.5435795101080716</v>
      </c>
    </row>
    <row r="44" spans="1:6" x14ac:dyDescent="0.25">
      <c r="A44">
        <v>1000</v>
      </c>
      <c r="B44">
        <v>1887.4388429999999</v>
      </c>
      <c r="C44">
        <v>-9.5603560000000005</v>
      </c>
      <c r="D44" t="s">
        <v>239</v>
      </c>
      <c r="E44">
        <v>430</v>
      </c>
      <c r="F44">
        <f t="shared" si="0"/>
        <v>7.5429760795386516</v>
      </c>
    </row>
    <row r="45" spans="1:6" x14ac:dyDescent="0.25">
      <c r="A45">
        <v>1000</v>
      </c>
      <c r="B45">
        <v>1889.9104</v>
      </c>
      <c r="C45">
        <v>-9.757517</v>
      </c>
      <c r="D45" t="s">
        <v>240</v>
      </c>
      <c r="E45">
        <v>440</v>
      </c>
      <c r="F45">
        <f t="shared" si="0"/>
        <v>7.5442846995225139</v>
      </c>
    </row>
    <row r="46" spans="1:6" x14ac:dyDescent="0.25">
      <c r="A46">
        <v>1000</v>
      </c>
      <c r="B46">
        <v>1889.3295900000001</v>
      </c>
      <c r="C46">
        <v>-9.6900209999999998</v>
      </c>
      <c r="D46" t="s">
        <v>241</v>
      </c>
      <c r="E46">
        <v>450</v>
      </c>
      <c r="F46">
        <f t="shared" si="0"/>
        <v>7.5439773308419804</v>
      </c>
    </row>
    <row r="47" spans="1:6" x14ac:dyDescent="0.25">
      <c r="A47">
        <v>1000</v>
      </c>
      <c r="B47">
        <v>1887.673706</v>
      </c>
      <c r="C47">
        <v>-9.5366280000000003</v>
      </c>
      <c r="D47" t="s">
        <v>242</v>
      </c>
      <c r="E47">
        <v>460</v>
      </c>
      <c r="F47">
        <f t="shared" si="0"/>
        <v>7.5431005065575834</v>
      </c>
    </row>
    <row r="48" spans="1:6" x14ac:dyDescent="0.25">
      <c r="A48">
        <v>1000</v>
      </c>
      <c r="B48">
        <v>1886.7810059999999</v>
      </c>
      <c r="C48">
        <v>-9.4585319999999999</v>
      </c>
      <c r="D48" t="s">
        <v>243</v>
      </c>
      <c r="E48">
        <v>470</v>
      </c>
      <c r="F48">
        <f t="shared" si="0"/>
        <v>7.542627484579703</v>
      </c>
    </row>
    <row r="49" spans="1:6" x14ac:dyDescent="0.25">
      <c r="A49">
        <v>1000</v>
      </c>
      <c r="B49">
        <v>1885.7226559999999</v>
      </c>
      <c r="C49">
        <v>-9.3964320000000008</v>
      </c>
      <c r="D49" t="s">
        <v>244</v>
      </c>
      <c r="E49">
        <v>480</v>
      </c>
      <c r="F49">
        <f t="shared" si="0"/>
        <v>7.5420663982971758</v>
      </c>
    </row>
    <row r="50" spans="1:6" x14ac:dyDescent="0.25">
      <c r="A50">
        <v>1000</v>
      </c>
      <c r="B50">
        <v>1885.6207280000001</v>
      </c>
      <c r="C50">
        <v>-9.3538929999999993</v>
      </c>
      <c r="D50" t="s">
        <v>245</v>
      </c>
      <c r="E50">
        <v>490</v>
      </c>
      <c r="F50">
        <f t="shared" si="0"/>
        <v>7.5420123443489429</v>
      </c>
    </row>
    <row r="51" spans="1:6" x14ac:dyDescent="0.25">
      <c r="A51">
        <v>1000</v>
      </c>
      <c r="B51">
        <v>1884.159302</v>
      </c>
      <c r="C51">
        <v>-9.2907829999999993</v>
      </c>
      <c r="D51" t="s">
        <v>246</v>
      </c>
      <c r="E51">
        <v>500</v>
      </c>
      <c r="F51">
        <f t="shared" si="0"/>
        <v>7.5412370067634171</v>
      </c>
    </row>
    <row r="52" spans="1:6" x14ac:dyDescent="0.25">
      <c r="A52">
        <v>1000</v>
      </c>
      <c r="B52">
        <v>1884.4642329999999</v>
      </c>
      <c r="C52">
        <v>-9.2602379999999993</v>
      </c>
      <c r="D52" t="s">
        <v>247</v>
      </c>
      <c r="E52">
        <v>510</v>
      </c>
      <c r="F52">
        <f t="shared" si="0"/>
        <v>7.5413988329568982</v>
      </c>
    </row>
    <row r="53" spans="1:6" x14ac:dyDescent="0.25">
      <c r="A53">
        <v>1000</v>
      </c>
      <c r="B53">
        <v>1883.497192</v>
      </c>
      <c r="C53">
        <v>-9.2208690000000004</v>
      </c>
      <c r="D53" t="s">
        <v>248</v>
      </c>
      <c r="E53">
        <v>520</v>
      </c>
      <c r="F53">
        <f t="shared" si="0"/>
        <v>7.5408855362894665</v>
      </c>
    </row>
    <row r="54" spans="1:6" x14ac:dyDescent="0.25">
      <c r="A54">
        <v>1000</v>
      </c>
      <c r="B54">
        <v>1883.4600829999999</v>
      </c>
      <c r="C54">
        <v>-9.1927559999999993</v>
      </c>
      <c r="D54" t="s">
        <v>249</v>
      </c>
      <c r="E54">
        <v>530</v>
      </c>
      <c r="F54">
        <f t="shared" si="0"/>
        <v>7.5408658339157508</v>
      </c>
    </row>
    <row r="55" spans="1:6" x14ac:dyDescent="0.25">
      <c r="A55">
        <v>1000</v>
      </c>
      <c r="B55">
        <v>1883.2460940000001</v>
      </c>
      <c r="C55">
        <v>-9.1682889999999997</v>
      </c>
      <c r="D55" t="s">
        <v>250</v>
      </c>
      <c r="E55">
        <v>540</v>
      </c>
      <c r="F55">
        <f t="shared" si="0"/>
        <v>7.5407522126295792</v>
      </c>
    </row>
    <row r="56" spans="1:6" x14ac:dyDescent="0.25">
      <c r="A56">
        <v>1000</v>
      </c>
      <c r="B56">
        <v>1883.4233400000001</v>
      </c>
      <c r="C56">
        <v>-9.1646560000000008</v>
      </c>
      <c r="D56" t="s">
        <v>251</v>
      </c>
      <c r="E56">
        <v>550</v>
      </c>
      <c r="F56">
        <f t="shared" si="0"/>
        <v>7.5408463254808584</v>
      </c>
    </row>
    <row r="57" spans="1:6" x14ac:dyDescent="0.25">
      <c r="A57">
        <v>1000</v>
      </c>
      <c r="B57">
        <v>1883.15625</v>
      </c>
      <c r="C57">
        <v>-9.1440830000000002</v>
      </c>
      <c r="D57" t="s">
        <v>252</v>
      </c>
      <c r="E57">
        <v>560</v>
      </c>
      <c r="F57">
        <f t="shared" si="0"/>
        <v>7.5407045045029317</v>
      </c>
    </row>
    <row r="58" spans="1:6" x14ac:dyDescent="0.25">
      <c r="A58">
        <v>1000</v>
      </c>
      <c r="B58">
        <v>1882.8479</v>
      </c>
      <c r="C58">
        <v>-9.1115860000000009</v>
      </c>
      <c r="D58" t="s">
        <v>253</v>
      </c>
      <c r="E58">
        <v>570</v>
      </c>
      <c r="F58">
        <f t="shared" si="0"/>
        <v>7.5405407500361772</v>
      </c>
    </row>
    <row r="59" spans="1:6" x14ac:dyDescent="0.25">
      <c r="A59">
        <v>1000</v>
      </c>
      <c r="B59">
        <v>1882.6429439999999</v>
      </c>
      <c r="C59">
        <v>-9.0943869999999993</v>
      </c>
      <c r="D59" t="s">
        <v>254</v>
      </c>
      <c r="E59">
        <v>580</v>
      </c>
      <c r="F59">
        <f t="shared" si="0"/>
        <v>7.5404318898590086</v>
      </c>
    </row>
    <row r="60" spans="1:6" x14ac:dyDescent="0.25">
      <c r="A60">
        <v>1000</v>
      </c>
      <c r="B60">
        <v>1882.3713379999999</v>
      </c>
      <c r="C60">
        <v>-9.0899889999999992</v>
      </c>
      <c r="D60" t="s">
        <v>255</v>
      </c>
      <c r="E60">
        <v>590</v>
      </c>
      <c r="F60">
        <f t="shared" si="0"/>
        <v>7.5402876109903891</v>
      </c>
    </row>
    <row r="61" spans="1:6" x14ac:dyDescent="0.25">
      <c r="A61">
        <v>1000</v>
      </c>
      <c r="B61">
        <v>1882.1575929999999</v>
      </c>
      <c r="C61">
        <v>-9.0765740000000008</v>
      </c>
      <c r="D61" t="s">
        <v>256</v>
      </c>
      <c r="E61">
        <v>600</v>
      </c>
      <c r="F61">
        <f t="shared" si="0"/>
        <v>7.5401740536215138</v>
      </c>
    </row>
    <row r="62" spans="1:6" x14ac:dyDescent="0.25">
      <c r="A62">
        <v>1000</v>
      </c>
      <c r="B62">
        <v>1882.6070560000001</v>
      </c>
      <c r="C62">
        <v>-9.0662739999999999</v>
      </c>
      <c r="D62" t="s">
        <v>257</v>
      </c>
      <c r="E62">
        <v>610</v>
      </c>
      <c r="F62">
        <f t="shared" si="0"/>
        <v>7.5404128271141699</v>
      </c>
    </row>
    <row r="63" spans="1:6" x14ac:dyDescent="0.25">
      <c r="A63">
        <v>1000</v>
      </c>
      <c r="B63">
        <v>1882.6401370000001</v>
      </c>
      <c r="C63">
        <v>-9.0819840000000003</v>
      </c>
      <c r="D63" t="s">
        <v>258</v>
      </c>
      <c r="E63">
        <v>620</v>
      </c>
      <c r="F63">
        <f t="shared" si="0"/>
        <v>7.5404303988688541</v>
      </c>
    </row>
    <row r="64" spans="1:6" x14ac:dyDescent="0.25">
      <c r="A64">
        <v>1000</v>
      </c>
      <c r="B64">
        <v>1882.5462649999999</v>
      </c>
      <c r="C64">
        <v>-9.0629010000000001</v>
      </c>
      <c r="D64" t="s">
        <v>259</v>
      </c>
      <c r="E64">
        <v>630</v>
      </c>
      <c r="F64">
        <f t="shared" si="0"/>
        <v>7.5403805357332763</v>
      </c>
    </row>
    <row r="65" spans="1:6" x14ac:dyDescent="0.25">
      <c r="A65">
        <v>1000</v>
      </c>
      <c r="B65">
        <v>1882.997803</v>
      </c>
      <c r="C65">
        <v>-9.0871329999999997</v>
      </c>
      <c r="D65" t="s">
        <v>260</v>
      </c>
      <c r="E65">
        <v>640</v>
      </c>
      <c r="F65">
        <f t="shared" si="0"/>
        <v>7.5406203619012935</v>
      </c>
    </row>
    <row r="66" spans="1:6" x14ac:dyDescent="0.25">
      <c r="A66">
        <v>1000</v>
      </c>
      <c r="B66">
        <v>1884.780518</v>
      </c>
      <c r="C66">
        <v>-9.2359089999999995</v>
      </c>
      <c r="D66" t="s">
        <v>261</v>
      </c>
      <c r="E66">
        <v>650</v>
      </c>
      <c r="F66">
        <f t="shared" ref="F66:F129" si="1">LN(B66)</f>
        <v>7.5415666570286346</v>
      </c>
    </row>
    <row r="67" spans="1:6" x14ac:dyDescent="0.25">
      <c r="A67">
        <v>1000</v>
      </c>
      <c r="B67">
        <v>1886.3352050000001</v>
      </c>
      <c r="C67">
        <v>-9.3627450000000003</v>
      </c>
      <c r="D67" t="s">
        <v>262</v>
      </c>
      <c r="E67">
        <v>660</v>
      </c>
      <c r="F67">
        <f t="shared" si="1"/>
        <v>7.5423911806986963</v>
      </c>
    </row>
    <row r="68" spans="1:6" x14ac:dyDescent="0.25">
      <c r="A68">
        <v>1000</v>
      </c>
      <c r="B68">
        <v>1887.4335940000001</v>
      </c>
      <c r="C68">
        <v>-9.4418939999999996</v>
      </c>
      <c r="D68" t="s">
        <v>263</v>
      </c>
      <c r="E68">
        <v>670</v>
      </c>
      <c r="F68">
        <f t="shared" si="1"/>
        <v>7.5429732985175244</v>
      </c>
    </row>
    <row r="69" spans="1:6" x14ac:dyDescent="0.25">
      <c r="A69">
        <v>1000</v>
      </c>
      <c r="B69">
        <v>1887.7398679999999</v>
      </c>
      <c r="C69">
        <v>-9.4559909999999991</v>
      </c>
      <c r="D69" t="s">
        <v>264</v>
      </c>
      <c r="E69">
        <v>680</v>
      </c>
      <c r="F69">
        <f t="shared" si="1"/>
        <v>7.543135555433004</v>
      </c>
    </row>
    <row r="70" spans="1:6" x14ac:dyDescent="0.25">
      <c r="A70">
        <v>1000</v>
      </c>
      <c r="B70">
        <v>1888.7463379999999</v>
      </c>
      <c r="C70">
        <v>-9.5159870000000009</v>
      </c>
      <c r="D70" t="s">
        <v>265</v>
      </c>
      <c r="E70">
        <v>690</v>
      </c>
      <c r="F70">
        <f t="shared" si="1"/>
        <v>7.5436685747366248</v>
      </c>
    </row>
    <row r="71" spans="1:6" x14ac:dyDescent="0.25">
      <c r="A71">
        <v>1000</v>
      </c>
      <c r="B71">
        <v>1889.3912350000001</v>
      </c>
      <c r="C71">
        <v>-9.5709020000000002</v>
      </c>
      <c r="D71" t="s">
        <v>266</v>
      </c>
      <c r="E71">
        <v>700</v>
      </c>
      <c r="F71">
        <f t="shared" si="1"/>
        <v>7.5440099582854252</v>
      </c>
    </row>
    <row r="72" spans="1:6" x14ac:dyDescent="0.25">
      <c r="A72">
        <v>1000</v>
      </c>
      <c r="B72">
        <v>1889.909058</v>
      </c>
      <c r="C72">
        <v>-9.5860109999999992</v>
      </c>
      <c r="D72" t="s">
        <v>267</v>
      </c>
      <c r="E72">
        <v>710</v>
      </c>
      <c r="F72">
        <f t="shared" si="1"/>
        <v>7.5442839894356881</v>
      </c>
    </row>
    <row r="73" spans="1:6" x14ac:dyDescent="0.25">
      <c r="A73">
        <v>1000</v>
      </c>
      <c r="B73">
        <v>1888.2116699999999</v>
      </c>
      <c r="C73">
        <v>-9.4701160000000009</v>
      </c>
      <c r="D73" t="s">
        <v>268</v>
      </c>
      <c r="E73">
        <v>720</v>
      </c>
      <c r="F73">
        <f t="shared" si="1"/>
        <v>7.5433854537686722</v>
      </c>
    </row>
    <row r="74" spans="1:6" x14ac:dyDescent="0.25">
      <c r="A74">
        <v>1000</v>
      </c>
      <c r="B74">
        <v>1886.7022710000001</v>
      </c>
      <c r="C74">
        <v>-9.2948939999999993</v>
      </c>
      <c r="D74" t="s">
        <v>269</v>
      </c>
      <c r="E74">
        <v>730</v>
      </c>
      <c r="F74">
        <f t="shared" si="1"/>
        <v>7.5425857539058239</v>
      </c>
    </row>
    <row r="75" spans="1:6" x14ac:dyDescent="0.25">
      <c r="A75">
        <v>1000</v>
      </c>
      <c r="B75">
        <v>1885.155518</v>
      </c>
      <c r="C75">
        <v>-9.1915119999999995</v>
      </c>
      <c r="D75" t="s">
        <v>270</v>
      </c>
      <c r="E75">
        <v>740</v>
      </c>
      <c r="F75">
        <f t="shared" si="1"/>
        <v>7.5417655993967045</v>
      </c>
    </row>
    <row r="76" spans="1:6" x14ac:dyDescent="0.25">
      <c r="A76">
        <v>1000</v>
      </c>
      <c r="B76">
        <v>1884.5428469999999</v>
      </c>
      <c r="C76">
        <v>-9.0993320000000004</v>
      </c>
      <c r="D76" t="s">
        <v>271</v>
      </c>
      <c r="E76">
        <v>750</v>
      </c>
      <c r="F76">
        <f t="shared" si="1"/>
        <v>7.5414405489836085</v>
      </c>
    </row>
    <row r="77" spans="1:6" x14ac:dyDescent="0.25">
      <c r="A77">
        <v>1000</v>
      </c>
      <c r="B77">
        <v>1883.7576899999999</v>
      </c>
      <c r="C77">
        <v>-9.056343</v>
      </c>
      <c r="D77" t="s">
        <v>272</v>
      </c>
      <c r="E77">
        <v>760</v>
      </c>
      <c r="F77">
        <f t="shared" si="1"/>
        <v>7.5410238322150533</v>
      </c>
    </row>
    <row r="78" spans="1:6" x14ac:dyDescent="0.25">
      <c r="A78">
        <v>1000</v>
      </c>
      <c r="B78">
        <v>1883.457275</v>
      </c>
      <c r="C78">
        <v>-8.9966200000000001</v>
      </c>
      <c r="D78" t="s">
        <v>273</v>
      </c>
      <c r="E78">
        <v>770</v>
      </c>
      <c r="F78">
        <f t="shared" si="1"/>
        <v>7.540864343041525</v>
      </c>
    </row>
    <row r="79" spans="1:6" x14ac:dyDescent="0.25">
      <c r="A79">
        <v>1000</v>
      </c>
      <c r="B79">
        <v>1883.1243899999999</v>
      </c>
      <c r="C79">
        <v>-8.9543680000000005</v>
      </c>
      <c r="D79" t="s">
        <v>274</v>
      </c>
      <c r="E79">
        <v>780</v>
      </c>
      <c r="F79">
        <f t="shared" si="1"/>
        <v>7.540687585954875</v>
      </c>
    </row>
    <row r="80" spans="1:6" x14ac:dyDescent="0.25">
      <c r="A80">
        <v>1000</v>
      </c>
      <c r="B80">
        <v>1882.7341309999999</v>
      </c>
      <c r="C80">
        <v>-8.9335090000000008</v>
      </c>
      <c r="D80" t="s">
        <v>275</v>
      </c>
      <c r="E80">
        <v>790</v>
      </c>
      <c r="F80">
        <f t="shared" si="1"/>
        <v>7.5404803243176035</v>
      </c>
    </row>
    <row r="81" spans="1:6" x14ac:dyDescent="0.25">
      <c r="A81">
        <v>1000</v>
      </c>
      <c r="B81">
        <v>1883.9133300000001</v>
      </c>
      <c r="C81">
        <v>-8.9922339999999998</v>
      </c>
      <c r="D81" t="s">
        <v>276</v>
      </c>
      <c r="E81">
        <v>800</v>
      </c>
      <c r="F81">
        <f t="shared" si="1"/>
        <v>7.541106450893416</v>
      </c>
    </row>
    <row r="82" spans="1:6" x14ac:dyDescent="0.25">
      <c r="A82">
        <v>1000</v>
      </c>
      <c r="B82">
        <v>1885.3466800000001</v>
      </c>
      <c r="C82">
        <v>-9.1149730000000009</v>
      </c>
      <c r="D82" t="s">
        <v>277</v>
      </c>
      <c r="E82">
        <v>810</v>
      </c>
      <c r="F82">
        <f t="shared" si="1"/>
        <v>7.5418669980911623</v>
      </c>
    </row>
    <row r="83" spans="1:6" x14ac:dyDescent="0.25">
      <c r="A83">
        <v>1000</v>
      </c>
      <c r="B83">
        <v>1885.731567</v>
      </c>
      <c r="C83">
        <v>-9.1583590000000008</v>
      </c>
      <c r="D83" t="s">
        <v>278</v>
      </c>
      <c r="E83">
        <v>820</v>
      </c>
      <c r="F83">
        <f t="shared" si="1"/>
        <v>7.5420711237953384</v>
      </c>
    </row>
    <row r="84" spans="1:6" x14ac:dyDescent="0.25">
      <c r="A84">
        <v>1000</v>
      </c>
      <c r="B84">
        <v>1887.215942</v>
      </c>
      <c r="C84">
        <v>-9.207713</v>
      </c>
      <c r="D84" t="s">
        <v>279</v>
      </c>
      <c r="E84">
        <v>830</v>
      </c>
      <c r="F84">
        <f t="shared" si="1"/>
        <v>7.5428579754931402</v>
      </c>
    </row>
    <row r="85" spans="1:6" x14ac:dyDescent="0.25">
      <c r="A85">
        <v>1000</v>
      </c>
      <c r="B85">
        <v>1887.3350829999999</v>
      </c>
      <c r="C85">
        <v>-9.2241599999999995</v>
      </c>
      <c r="D85" t="s">
        <v>280</v>
      </c>
      <c r="E85">
        <v>840</v>
      </c>
      <c r="F85">
        <f t="shared" si="1"/>
        <v>7.5429211040608823</v>
      </c>
    </row>
    <row r="86" spans="1:6" x14ac:dyDescent="0.25">
      <c r="A86">
        <v>1000</v>
      </c>
      <c r="B86">
        <v>1887.3641359999999</v>
      </c>
      <c r="C86">
        <v>-9.2338869999999993</v>
      </c>
      <c r="D86" t="s">
        <v>281</v>
      </c>
      <c r="E86">
        <v>850</v>
      </c>
      <c r="F86">
        <f t="shared" si="1"/>
        <v>7.5429364976052762</v>
      </c>
    </row>
    <row r="87" spans="1:6" x14ac:dyDescent="0.25">
      <c r="A87">
        <v>1000</v>
      </c>
      <c r="B87">
        <v>1887.963135</v>
      </c>
      <c r="C87">
        <v>-9.2212650000000007</v>
      </c>
      <c r="D87" t="s">
        <v>282</v>
      </c>
      <c r="E87">
        <v>860</v>
      </c>
      <c r="F87">
        <f t="shared" si="1"/>
        <v>7.5432538205614224</v>
      </c>
    </row>
    <row r="88" spans="1:6" x14ac:dyDescent="0.25">
      <c r="A88">
        <v>1000</v>
      </c>
      <c r="B88">
        <v>1886.143188</v>
      </c>
      <c r="C88">
        <v>-9.0790869999999995</v>
      </c>
      <c r="D88" t="s">
        <v>283</v>
      </c>
      <c r="E88">
        <v>870</v>
      </c>
      <c r="F88">
        <f t="shared" si="1"/>
        <v>7.5422893818385512</v>
      </c>
    </row>
    <row r="89" spans="1:6" x14ac:dyDescent="0.25">
      <c r="A89">
        <v>1000</v>
      </c>
      <c r="B89">
        <v>1885.2703859999999</v>
      </c>
      <c r="C89">
        <v>-8.9898030000000002</v>
      </c>
      <c r="D89" t="s">
        <v>284</v>
      </c>
      <c r="E89">
        <v>880</v>
      </c>
      <c r="F89">
        <f t="shared" si="1"/>
        <v>7.5418265304442622</v>
      </c>
    </row>
    <row r="90" spans="1:6" x14ac:dyDescent="0.25">
      <c r="A90">
        <v>1000</v>
      </c>
      <c r="B90">
        <v>1885.088501</v>
      </c>
      <c r="C90">
        <v>-8.9231130000000007</v>
      </c>
      <c r="D90" t="s">
        <v>285</v>
      </c>
      <c r="E90">
        <v>890</v>
      </c>
      <c r="F90">
        <f t="shared" si="1"/>
        <v>7.5417300489126138</v>
      </c>
    </row>
    <row r="91" spans="1:6" x14ac:dyDescent="0.25">
      <c r="A91">
        <v>1000</v>
      </c>
      <c r="B91">
        <v>1884.393433</v>
      </c>
      <c r="C91">
        <v>-8.9264880000000009</v>
      </c>
      <c r="D91" t="s">
        <v>286</v>
      </c>
      <c r="E91">
        <v>900</v>
      </c>
      <c r="F91">
        <f t="shared" si="1"/>
        <v>7.5413612618909234</v>
      </c>
    </row>
    <row r="92" spans="1:6" x14ac:dyDescent="0.25">
      <c r="A92">
        <v>1000</v>
      </c>
      <c r="B92">
        <v>1884.0611570000001</v>
      </c>
      <c r="C92">
        <v>-8.8399629999999991</v>
      </c>
      <c r="D92" t="s">
        <v>287</v>
      </c>
      <c r="E92">
        <v>910</v>
      </c>
      <c r="F92">
        <f t="shared" si="1"/>
        <v>7.5411849158621074</v>
      </c>
    </row>
    <row r="93" spans="1:6" x14ac:dyDescent="0.25">
      <c r="A93">
        <v>1000</v>
      </c>
      <c r="B93">
        <v>1884.9686280000001</v>
      </c>
      <c r="C93">
        <v>-8.8708489999999998</v>
      </c>
      <c r="D93" t="s">
        <v>288</v>
      </c>
      <c r="E93">
        <v>920</v>
      </c>
      <c r="F93">
        <f t="shared" si="1"/>
        <v>7.5416664567727931</v>
      </c>
    </row>
    <row r="94" spans="1:6" x14ac:dyDescent="0.25">
      <c r="A94">
        <v>1000</v>
      </c>
      <c r="B94">
        <v>1884.273682</v>
      </c>
      <c r="C94">
        <v>-8.8286519999999999</v>
      </c>
      <c r="D94" t="s">
        <v>289</v>
      </c>
      <c r="E94">
        <v>930</v>
      </c>
      <c r="F94">
        <f t="shared" si="1"/>
        <v>7.5412977110405111</v>
      </c>
    </row>
    <row r="95" spans="1:6" x14ac:dyDescent="0.25">
      <c r="A95">
        <v>1000</v>
      </c>
      <c r="B95">
        <v>1884.275024</v>
      </c>
      <c r="C95">
        <v>-8.7817830000000008</v>
      </c>
      <c r="D95" t="s">
        <v>290</v>
      </c>
      <c r="E95">
        <v>940</v>
      </c>
      <c r="F95">
        <f t="shared" si="1"/>
        <v>7.5412984232510221</v>
      </c>
    </row>
    <row r="96" spans="1:6" x14ac:dyDescent="0.25">
      <c r="A96">
        <v>1000</v>
      </c>
      <c r="B96">
        <v>1884.1241460000001</v>
      </c>
      <c r="C96">
        <v>-8.7593940000000003</v>
      </c>
      <c r="D96" t="s">
        <v>291</v>
      </c>
      <c r="E96">
        <v>950</v>
      </c>
      <c r="F96">
        <f t="shared" si="1"/>
        <v>7.5412183478697932</v>
      </c>
    </row>
    <row r="97" spans="1:6" x14ac:dyDescent="0.25">
      <c r="A97">
        <v>1000</v>
      </c>
      <c r="B97">
        <v>1883.2202150000001</v>
      </c>
      <c r="C97">
        <v>-8.7161589999999993</v>
      </c>
      <c r="D97" t="s">
        <v>292</v>
      </c>
      <c r="E97">
        <v>960</v>
      </c>
      <c r="F97">
        <f t="shared" si="1"/>
        <v>7.5407384708366747</v>
      </c>
    </row>
    <row r="98" spans="1:6" x14ac:dyDescent="0.25">
      <c r="A98">
        <v>1000</v>
      </c>
      <c r="B98">
        <v>1883.9155270000001</v>
      </c>
      <c r="C98">
        <v>-8.6769669999999994</v>
      </c>
      <c r="D98" t="s">
        <v>293</v>
      </c>
      <c r="E98">
        <v>970</v>
      </c>
      <c r="F98">
        <f t="shared" si="1"/>
        <v>7.5411076170822655</v>
      </c>
    </row>
    <row r="99" spans="1:6" x14ac:dyDescent="0.25">
      <c r="A99">
        <v>1000</v>
      </c>
      <c r="B99">
        <v>1883.7661129999999</v>
      </c>
      <c r="C99">
        <v>-8.6545919999999992</v>
      </c>
      <c r="D99" t="s">
        <v>294</v>
      </c>
      <c r="E99">
        <v>980</v>
      </c>
      <c r="F99">
        <f t="shared" si="1"/>
        <v>7.5410283035869359</v>
      </c>
    </row>
    <row r="100" spans="1:6" x14ac:dyDescent="0.25">
      <c r="A100">
        <v>1000</v>
      </c>
      <c r="B100">
        <v>1883.2854</v>
      </c>
      <c r="C100">
        <v>-8.6713930000000001</v>
      </c>
      <c r="D100" t="s">
        <v>295</v>
      </c>
      <c r="E100">
        <v>990</v>
      </c>
      <c r="F100">
        <f t="shared" si="1"/>
        <v>7.5407730838210529</v>
      </c>
    </row>
    <row r="101" spans="1:6" x14ac:dyDescent="0.25">
      <c r="A101">
        <v>1000</v>
      </c>
      <c r="B101">
        <v>1883.366577</v>
      </c>
      <c r="C101">
        <v>-8.6500020000000006</v>
      </c>
      <c r="D101" t="s">
        <v>296</v>
      </c>
      <c r="E101">
        <v>1000</v>
      </c>
      <c r="F101">
        <f t="shared" si="1"/>
        <v>7.540816186821016</v>
      </c>
    </row>
    <row r="102" spans="1:6" x14ac:dyDescent="0.25">
      <c r="A102">
        <v>1000</v>
      </c>
      <c r="B102">
        <v>1884.1674800000001</v>
      </c>
      <c r="C102">
        <v>-8.7015419999999999</v>
      </c>
      <c r="D102" t="s">
        <v>297</v>
      </c>
      <c r="E102">
        <v>1010</v>
      </c>
      <c r="F102">
        <f t="shared" si="1"/>
        <v>7.5412413471513258</v>
      </c>
    </row>
    <row r="103" spans="1:6" x14ac:dyDescent="0.25">
      <c r="A103">
        <v>1000</v>
      </c>
      <c r="B103">
        <v>1884.2969969999999</v>
      </c>
      <c r="C103">
        <v>-8.6561620000000001</v>
      </c>
      <c r="D103" t="s">
        <v>298</v>
      </c>
      <c r="E103">
        <v>1020</v>
      </c>
      <c r="F103">
        <f t="shared" si="1"/>
        <v>7.5413100844319034</v>
      </c>
    </row>
    <row r="104" spans="1:6" x14ac:dyDescent="0.25">
      <c r="A104">
        <v>1000</v>
      </c>
      <c r="B104">
        <v>1884.290894</v>
      </c>
      <c r="C104">
        <v>-8.6256039999999992</v>
      </c>
      <c r="D104" t="s">
        <v>299</v>
      </c>
      <c r="E104">
        <v>1030</v>
      </c>
      <c r="F104">
        <f t="shared" si="1"/>
        <v>7.5413068455529508</v>
      </c>
    </row>
    <row r="105" spans="1:6" x14ac:dyDescent="0.25">
      <c r="A105">
        <v>1000</v>
      </c>
      <c r="B105">
        <v>1883.963745</v>
      </c>
      <c r="C105">
        <v>-8.6068210000000001</v>
      </c>
      <c r="D105" t="s">
        <v>300</v>
      </c>
      <c r="E105">
        <v>1040</v>
      </c>
      <c r="F105">
        <f t="shared" si="1"/>
        <v>7.5411332113205738</v>
      </c>
    </row>
    <row r="106" spans="1:6" x14ac:dyDescent="0.25">
      <c r="A106">
        <v>1000</v>
      </c>
      <c r="B106">
        <v>1886.572144</v>
      </c>
      <c r="C106">
        <v>-8.6862290000000009</v>
      </c>
      <c r="D106" t="s">
        <v>301</v>
      </c>
      <c r="E106">
        <v>1050</v>
      </c>
      <c r="F106">
        <f t="shared" si="1"/>
        <v>7.542516780920697</v>
      </c>
    </row>
    <row r="107" spans="1:6" x14ac:dyDescent="0.25">
      <c r="A107">
        <v>1000</v>
      </c>
      <c r="B107">
        <v>1887.4097899999999</v>
      </c>
      <c r="C107">
        <v>-8.6967479999999995</v>
      </c>
      <c r="D107" t="s">
        <v>302</v>
      </c>
      <c r="E107">
        <v>1060</v>
      </c>
      <c r="F107">
        <f t="shared" si="1"/>
        <v>7.5429606866035561</v>
      </c>
    </row>
    <row r="108" spans="1:6" x14ac:dyDescent="0.25">
      <c r="A108">
        <v>1000</v>
      </c>
      <c r="B108">
        <v>1885.701904</v>
      </c>
      <c r="C108">
        <v>-8.6365999999999996</v>
      </c>
      <c r="D108" t="s">
        <v>303</v>
      </c>
      <c r="E108">
        <v>1070</v>
      </c>
      <c r="F108">
        <f t="shared" si="1"/>
        <v>7.5420553934369865</v>
      </c>
    </row>
    <row r="109" spans="1:6" x14ac:dyDescent="0.25">
      <c r="A109">
        <v>1000</v>
      </c>
      <c r="B109">
        <v>1886.4011230000001</v>
      </c>
      <c r="C109">
        <v>-8.6196210000000004</v>
      </c>
      <c r="D109" t="s">
        <v>304</v>
      </c>
      <c r="E109">
        <v>1080</v>
      </c>
      <c r="F109">
        <f t="shared" si="1"/>
        <v>7.542426125096755</v>
      </c>
    </row>
    <row r="110" spans="1:6" x14ac:dyDescent="0.25">
      <c r="A110">
        <v>1000</v>
      </c>
      <c r="B110">
        <v>1885.1671140000001</v>
      </c>
      <c r="C110">
        <v>-8.5700199999999995</v>
      </c>
      <c r="D110" t="s">
        <v>305</v>
      </c>
      <c r="E110">
        <v>1090</v>
      </c>
      <c r="F110">
        <f t="shared" si="1"/>
        <v>7.5417717505944308</v>
      </c>
    </row>
    <row r="111" spans="1:6" x14ac:dyDescent="0.25">
      <c r="A111">
        <v>1000</v>
      </c>
      <c r="B111">
        <v>1885.088013</v>
      </c>
      <c r="C111">
        <v>-8.545814</v>
      </c>
      <c r="D111" t="s">
        <v>306</v>
      </c>
      <c r="E111">
        <v>1100</v>
      </c>
      <c r="F111">
        <f t="shared" si="1"/>
        <v>7.5417297900387936</v>
      </c>
    </row>
    <row r="112" spans="1:6" x14ac:dyDescent="0.25">
      <c r="A112">
        <v>1000</v>
      </c>
      <c r="B112">
        <v>1885.961914</v>
      </c>
      <c r="C112">
        <v>-8.5375619999999994</v>
      </c>
      <c r="D112" t="s">
        <v>307</v>
      </c>
      <c r="E112">
        <v>1110</v>
      </c>
      <c r="F112">
        <f t="shared" si="1"/>
        <v>7.5421932689279938</v>
      </c>
    </row>
    <row r="113" spans="1:6" x14ac:dyDescent="0.25">
      <c r="A113">
        <v>1000</v>
      </c>
      <c r="B113">
        <v>1885.650513</v>
      </c>
      <c r="C113">
        <v>-8.4870059999999992</v>
      </c>
      <c r="D113" t="s">
        <v>308</v>
      </c>
      <c r="E113">
        <v>1120</v>
      </c>
      <c r="F113">
        <f t="shared" si="1"/>
        <v>7.5420281400836418</v>
      </c>
    </row>
    <row r="114" spans="1:6" x14ac:dyDescent="0.25">
      <c r="A114">
        <v>1000</v>
      </c>
      <c r="B114">
        <v>1886.2303469999999</v>
      </c>
      <c r="C114">
        <v>-8.4880030000000009</v>
      </c>
      <c r="D114" t="s">
        <v>309</v>
      </c>
      <c r="E114">
        <v>1130</v>
      </c>
      <c r="F114">
        <f t="shared" si="1"/>
        <v>7.5423355909422929</v>
      </c>
    </row>
    <row r="115" spans="1:6" x14ac:dyDescent="0.25">
      <c r="A115">
        <v>1000</v>
      </c>
      <c r="B115">
        <v>1886.5791019999999</v>
      </c>
      <c r="C115">
        <v>-8.5276449999999997</v>
      </c>
      <c r="D115" t="s">
        <v>310</v>
      </c>
      <c r="E115">
        <v>1140</v>
      </c>
      <c r="F115">
        <f t="shared" si="1"/>
        <v>7.5425204690845407</v>
      </c>
    </row>
    <row r="116" spans="1:6" x14ac:dyDescent="0.25">
      <c r="A116">
        <v>1000</v>
      </c>
      <c r="B116">
        <v>1886.1591800000001</v>
      </c>
      <c r="C116">
        <v>-8.4787680000000005</v>
      </c>
      <c r="D116" t="s">
        <v>311</v>
      </c>
      <c r="E116">
        <v>1150</v>
      </c>
      <c r="F116">
        <f t="shared" si="1"/>
        <v>7.5422978604802076</v>
      </c>
    </row>
    <row r="117" spans="1:6" x14ac:dyDescent="0.25">
      <c r="A117">
        <v>1000</v>
      </c>
      <c r="B117">
        <v>1886.2001949999999</v>
      </c>
      <c r="C117">
        <v>-8.4711060000000007</v>
      </c>
      <c r="D117" t="s">
        <v>312</v>
      </c>
      <c r="E117">
        <v>1160</v>
      </c>
      <c r="F117">
        <f t="shared" si="1"/>
        <v>7.5423196054922412</v>
      </c>
    </row>
    <row r="118" spans="1:6" x14ac:dyDescent="0.25">
      <c r="A118">
        <v>1000</v>
      </c>
      <c r="B118">
        <v>1886.2508539999999</v>
      </c>
      <c r="C118">
        <v>-8.4439209999999996</v>
      </c>
      <c r="D118" t="s">
        <v>313</v>
      </c>
      <c r="E118">
        <v>1170</v>
      </c>
      <c r="F118">
        <f t="shared" si="1"/>
        <v>7.5423464628321222</v>
      </c>
    </row>
    <row r="119" spans="1:6" x14ac:dyDescent="0.25">
      <c r="A119">
        <v>1000</v>
      </c>
      <c r="B119">
        <v>1886.290039</v>
      </c>
      <c r="C119">
        <v>-8.4140189999999997</v>
      </c>
      <c r="D119" t="s">
        <v>314</v>
      </c>
      <c r="E119">
        <v>1180</v>
      </c>
      <c r="F119">
        <f t="shared" si="1"/>
        <v>7.5423672366294712</v>
      </c>
    </row>
    <row r="120" spans="1:6" x14ac:dyDescent="0.25">
      <c r="A120">
        <v>1000</v>
      </c>
      <c r="B120">
        <v>1886.2811280000001</v>
      </c>
      <c r="C120">
        <v>-8.4069420000000008</v>
      </c>
      <c r="D120" t="s">
        <v>315</v>
      </c>
      <c r="E120">
        <v>1190</v>
      </c>
      <c r="F120">
        <f t="shared" si="1"/>
        <v>7.5423625125303859</v>
      </c>
    </row>
    <row r="121" spans="1:6" x14ac:dyDescent="0.25">
      <c r="A121">
        <v>1000</v>
      </c>
      <c r="B121">
        <v>1886.652466</v>
      </c>
      <c r="C121">
        <v>-8.3835010000000008</v>
      </c>
      <c r="D121" t="s">
        <v>316</v>
      </c>
      <c r="E121">
        <v>1200</v>
      </c>
      <c r="F121">
        <f t="shared" si="1"/>
        <v>7.5425593556456683</v>
      </c>
    </row>
    <row r="122" spans="1:6" x14ac:dyDescent="0.25">
      <c r="A122">
        <v>1000</v>
      </c>
      <c r="B122">
        <v>1886.560547</v>
      </c>
      <c r="C122">
        <v>-8.3644999999999996</v>
      </c>
      <c r="D122" t="s">
        <v>317</v>
      </c>
      <c r="E122">
        <v>1210</v>
      </c>
      <c r="F122">
        <f t="shared" si="1"/>
        <v>7.5425106337740422</v>
      </c>
    </row>
    <row r="123" spans="1:6" x14ac:dyDescent="0.25">
      <c r="A123">
        <v>1000</v>
      </c>
      <c r="B123">
        <v>1886.5874020000001</v>
      </c>
      <c r="C123">
        <v>-8.3620409999999996</v>
      </c>
      <c r="D123" t="s">
        <v>318</v>
      </c>
      <c r="E123">
        <v>1220</v>
      </c>
      <c r="F123">
        <f t="shared" si="1"/>
        <v>7.5425248685723405</v>
      </c>
    </row>
    <row r="124" spans="1:6" x14ac:dyDescent="0.25">
      <c r="A124">
        <v>1000</v>
      </c>
      <c r="B124">
        <v>1887.121216</v>
      </c>
      <c r="C124">
        <v>-8.3402390000000004</v>
      </c>
      <c r="D124" t="s">
        <v>319</v>
      </c>
      <c r="E124">
        <v>1230</v>
      </c>
      <c r="F124">
        <f t="shared" si="1"/>
        <v>7.5428077807193006</v>
      </c>
    </row>
    <row r="125" spans="1:6" x14ac:dyDescent="0.25">
      <c r="A125">
        <v>1000</v>
      </c>
      <c r="B125">
        <v>1887.0310059999999</v>
      </c>
      <c r="C125">
        <v>-8.3323710000000002</v>
      </c>
      <c r="D125" t="s">
        <v>320</v>
      </c>
      <c r="E125">
        <v>1240</v>
      </c>
      <c r="F125">
        <f t="shared" si="1"/>
        <v>7.5427599766061055</v>
      </c>
    </row>
    <row r="126" spans="1:6" x14ac:dyDescent="0.25">
      <c r="A126">
        <v>1000</v>
      </c>
      <c r="B126">
        <v>1886.726318</v>
      </c>
      <c r="C126">
        <v>-8.3234370000000002</v>
      </c>
      <c r="D126" t="s">
        <v>321</v>
      </c>
      <c r="E126">
        <v>1250</v>
      </c>
      <c r="F126">
        <f t="shared" si="1"/>
        <v>7.5425984993437902</v>
      </c>
    </row>
    <row r="127" spans="1:6" x14ac:dyDescent="0.25">
      <c r="A127">
        <v>1000</v>
      </c>
      <c r="B127">
        <v>1887.1904300000001</v>
      </c>
      <c r="C127">
        <v>-8.3190240000000006</v>
      </c>
      <c r="D127" t="s">
        <v>322</v>
      </c>
      <c r="E127">
        <v>1260</v>
      </c>
      <c r="F127">
        <f t="shared" si="1"/>
        <v>7.5428444570759448</v>
      </c>
    </row>
    <row r="128" spans="1:6" x14ac:dyDescent="0.25">
      <c r="A128">
        <v>1000</v>
      </c>
      <c r="B128">
        <v>1886.684448</v>
      </c>
      <c r="C128">
        <v>-8.2815940000000001</v>
      </c>
      <c r="D128" t="s">
        <v>323</v>
      </c>
      <c r="E128">
        <v>1270</v>
      </c>
      <c r="F128">
        <f t="shared" si="1"/>
        <v>7.5425763072196883</v>
      </c>
    </row>
    <row r="129" spans="1:6" x14ac:dyDescent="0.25">
      <c r="A129">
        <v>1000</v>
      </c>
      <c r="B129">
        <v>1886.9646</v>
      </c>
      <c r="C129">
        <v>-8.2959110000000003</v>
      </c>
      <c r="D129" t="s">
        <v>324</v>
      </c>
      <c r="E129">
        <v>1280</v>
      </c>
      <c r="F129">
        <f t="shared" si="1"/>
        <v>7.5427247852561736</v>
      </c>
    </row>
    <row r="130" spans="1:6" x14ac:dyDescent="0.25">
      <c r="A130">
        <v>1000</v>
      </c>
      <c r="B130">
        <v>1887.2147219999999</v>
      </c>
      <c r="C130">
        <v>-8.2861569999999993</v>
      </c>
      <c r="D130" t="s">
        <v>325</v>
      </c>
      <c r="E130">
        <v>1290</v>
      </c>
      <c r="F130">
        <f t="shared" ref="F130:F193" si="2">LN(B130)</f>
        <v>7.5428573290380276</v>
      </c>
    </row>
    <row r="131" spans="1:6" x14ac:dyDescent="0.25">
      <c r="A131">
        <v>1000</v>
      </c>
      <c r="B131">
        <v>1887.327759</v>
      </c>
      <c r="C131">
        <v>-8.2693270000000005</v>
      </c>
      <c r="D131" t="s">
        <v>326</v>
      </c>
      <c r="E131">
        <v>1300</v>
      </c>
      <c r="F131">
        <f t="shared" si="2"/>
        <v>7.5429172234493915</v>
      </c>
    </row>
    <row r="132" spans="1:6" x14ac:dyDescent="0.25">
      <c r="A132">
        <v>1000</v>
      </c>
      <c r="B132">
        <v>1887.50647</v>
      </c>
      <c r="C132">
        <v>-8.2657760000000007</v>
      </c>
      <c r="D132" t="s">
        <v>327</v>
      </c>
      <c r="E132">
        <v>1310</v>
      </c>
      <c r="F132">
        <f t="shared" si="2"/>
        <v>7.5430119089318746</v>
      </c>
    </row>
    <row r="133" spans="1:6" x14ac:dyDescent="0.25">
      <c r="A133">
        <v>1000</v>
      </c>
      <c r="B133">
        <v>1887.838379</v>
      </c>
      <c r="C133">
        <v>-8.2722510000000007</v>
      </c>
      <c r="D133" t="s">
        <v>328</v>
      </c>
      <c r="E133">
        <v>1320</v>
      </c>
      <c r="F133">
        <f t="shared" si="2"/>
        <v>7.5431877386979647</v>
      </c>
    </row>
    <row r="134" spans="1:6" x14ac:dyDescent="0.25">
      <c r="A134">
        <v>1000</v>
      </c>
      <c r="B134">
        <v>1888.446533</v>
      </c>
      <c r="C134">
        <v>-8.2746420000000001</v>
      </c>
      <c r="D134" t="s">
        <v>329</v>
      </c>
      <c r="E134">
        <v>1330</v>
      </c>
      <c r="F134">
        <f t="shared" si="2"/>
        <v>7.5435098298639813</v>
      </c>
    </row>
    <row r="135" spans="1:6" x14ac:dyDescent="0.25">
      <c r="A135">
        <v>1000</v>
      </c>
      <c r="B135">
        <v>1889.3680420000001</v>
      </c>
      <c r="C135">
        <v>-8.2737259999999999</v>
      </c>
      <c r="D135" t="s">
        <v>330</v>
      </c>
      <c r="E135">
        <v>1340</v>
      </c>
      <c r="F135">
        <f t="shared" si="2"/>
        <v>7.5439976828276363</v>
      </c>
    </row>
    <row r="136" spans="1:6" x14ac:dyDescent="0.25">
      <c r="A136">
        <v>1000</v>
      </c>
      <c r="B136">
        <v>1888.6403809999999</v>
      </c>
      <c r="C136">
        <v>-8.2505039999999994</v>
      </c>
      <c r="D136" t="s">
        <v>331</v>
      </c>
      <c r="E136">
        <v>1350</v>
      </c>
      <c r="F136">
        <f t="shared" si="2"/>
        <v>7.543612474046963</v>
      </c>
    </row>
    <row r="137" spans="1:6" x14ac:dyDescent="0.25">
      <c r="A137">
        <v>1000</v>
      </c>
      <c r="B137">
        <v>1890.0124510000001</v>
      </c>
      <c r="C137">
        <v>-8.2657620000000005</v>
      </c>
      <c r="D137" t="s">
        <v>332</v>
      </c>
      <c r="E137">
        <v>1360</v>
      </c>
      <c r="F137">
        <f t="shared" si="2"/>
        <v>7.5443386958626766</v>
      </c>
    </row>
    <row r="138" spans="1:6" x14ac:dyDescent="0.25">
      <c r="A138">
        <v>1000</v>
      </c>
      <c r="B138">
        <v>1889.2246090000001</v>
      </c>
      <c r="C138">
        <v>-8.2626209999999993</v>
      </c>
      <c r="D138" t="s">
        <v>333</v>
      </c>
      <c r="E138">
        <v>1370</v>
      </c>
      <c r="F138">
        <f t="shared" si="2"/>
        <v>7.5439217640857565</v>
      </c>
    </row>
    <row r="139" spans="1:6" x14ac:dyDescent="0.25">
      <c r="A139">
        <v>1000</v>
      </c>
      <c r="B139">
        <v>1889.243164</v>
      </c>
      <c r="C139">
        <v>-8.2156559999999992</v>
      </c>
      <c r="D139" t="s">
        <v>334</v>
      </c>
      <c r="E139">
        <v>1380</v>
      </c>
      <c r="F139">
        <f t="shared" si="2"/>
        <v>7.543931585527206</v>
      </c>
    </row>
    <row r="140" spans="1:6" x14ac:dyDescent="0.25">
      <c r="A140">
        <v>1000</v>
      </c>
      <c r="B140">
        <v>1888.7905270000001</v>
      </c>
      <c r="C140">
        <v>-8.2301359999999999</v>
      </c>
      <c r="D140" t="s">
        <v>335</v>
      </c>
      <c r="E140">
        <v>1390</v>
      </c>
      <c r="F140">
        <f t="shared" si="2"/>
        <v>7.5436919704050629</v>
      </c>
    </row>
    <row r="141" spans="1:6" x14ac:dyDescent="0.25">
      <c r="A141">
        <v>1000</v>
      </c>
      <c r="B141">
        <v>1889.7116699999999</v>
      </c>
      <c r="C141">
        <v>-8.2292349999999992</v>
      </c>
      <c r="D141" t="s">
        <v>336</v>
      </c>
      <c r="E141">
        <v>1400</v>
      </c>
      <c r="F141">
        <f t="shared" si="2"/>
        <v>7.54417954086035</v>
      </c>
    </row>
    <row r="142" spans="1:6" x14ac:dyDescent="0.25">
      <c r="A142">
        <v>1000</v>
      </c>
      <c r="B142">
        <v>1890.290405</v>
      </c>
      <c r="C142">
        <v>-8.2079520000000006</v>
      </c>
      <c r="D142" t="s">
        <v>337</v>
      </c>
      <c r="E142">
        <v>1410</v>
      </c>
      <c r="F142">
        <f t="shared" si="2"/>
        <v>7.5444857496893611</v>
      </c>
    </row>
    <row r="143" spans="1:6" x14ac:dyDescent="0.25">
      <c r="A143">
        <v>1000</v>
      </c>
      <c r="B143">
        <v>1890.239746</v>
      </c>
      <c r="C143">
        <v>-8.2158470000000001</v>
      </c>
      <c r="D143" t="s">
        <v>338</v>
      </c>
      <c r="E143">
        <v>1420</v>
      </c>
      <c r="F143">
        <f t="shared" si="2"/>
        <v>7.5444589497443904</v>
      </c>
    </row>
    <row r="144" spans="1:6" x14ac:dyDescent="0.25">
      <c r="A144">
        <v>1000</v>
      </c>
      <c r="B144">
        <v>1890.955811</v>
      </c>
      <c r="C144">
        <v>-8.2209009999999996</v>
      </c>
      <c r="D144" t="s">
        <v>339</v>
      </c>
      <c r="E144">
        <v>1430</v>
      </c>
      <c r="F144">
        <f t="shared" si="2"/>
        <v>7.5448377003261919</v>
      </c>
    </row>
    <row r="145" spans="1:6" x14ac:dyDescent="0.25">
      <c r="A145">
        <v>1000</v>
      </c>
      <c r="B145">
        <v>1891.5101320000001</v>
      </c>
      <c r="C145">
        <v>-8.2200399999999991</v>
      </c>
      <c r="D145" t="s">
        <v>340</v>
      </c>
      <c r="E145">
        <v>1440</v>
      </c>
      <c r="F145">
        <f t="shared" si="2"/>
        <v>7.5451308006540323</v>
      </c>
    </row>
    <row r="146" spans="1:6" x14ac:dyDescent="0.25">
      <c r="A146">
        <v>1000</v>
      </c>
      <c r="B146">
        <v>1891.5698239999999</v>
      </c>
      <c r="C146">
        <v>-8.1999460000000006</v>
      </c>
      <c r="D146" t="s">
        <v>341</v>
      </c>
      <c r="E146">
        <v>1450</v>
      </c>
      <c r="F146">
        <f t="shared" si="2"/>
        <v>7.545162358009784</v>
      </c>
    </row>
    <row r="147" spans="1:6" x14ac:dyDescent="0.25">
      <c r="A147">
        <v>1000</v>
      </c>
      <c r="B147">
        <v>1891.6689449999999</v>
      </c>
      <c r="C147">
        <v>-8.1956019999999992</v>
      </c>
      <c r="D147" t="s">
        <v>342</v>
      </c>
      <c r="E147">
        <v>1460</v>
      </c>
      <c r="F147">
        <f t="shared" si="2"/>
        <v>7.5452147580860549</v>
      </c>
    </row>
    <row r="148" spans="1:6" x14ac:dyDescent="0.25">
      <c r="A148">
        <v>1000</v>
      </c>
      <c r="B148">
        <v>1891.424561</v>
      </c>
      <c r="C148">
        <v>-8.1777490000000004</v>
      </c>
      <c r="D148" t="s">
        <v>343</v>
      </c>
      <c r="E148">
        <v>1470</v>
      </c>
      <c r="F148">
        <f t="shared" si="2"/>
        <v>7.5450855601162177</v>
      </c>
    </row>
    <row r="149" spans="1:6" x14ac:dyDescent="0.25">
      <c r="A149">
        <v>1000</v>
      </c>
      <c r="B149">
        <v>1891.0394289999999</v>
      </c>
      <c r="C149">
        <v>-8.1680360000000007</v>
      </c>
      <c r="D149" t="s">
        <v>344</v>
      </c>
      <c r="E149">
        <v>1480</v>
      </c>
      <c r="F149">
        <f t="shared" si="2"/>
        <v>7.5448819193136352</v>
      </c>
    </row>
    <row r="150" spans="1:6" x14ac:dyDescent="0.25">
      <c r="A150">
        <v>1000</v>
      </c>
      <c r="B150">
        <v>1891.0242920000001</v>
      </c>
      <c r="C150">
        <v>-8.1387479999999996</v>
      </c>
      <c r="D150" t="s">
        <v>345</v>
      </c>
      <c r="E150">
        <v>1490</v>
      </c>
      <c r="F150">
        <f t="shared" si="2"/>
        <v>7.5448739146891146</v>
      </c>
    </row>
    <row r="151" spans="1:6" x14ac:dyDescent="0.25">
      <c r="A151">
        <v>1000</v>
      </c>
      <c r="B151">
        <v>1891.3394780000001</v>
      </c>
      <c r="C151">
        <v>-8.1615330000000004</v>
      </c>
      <c r="D151" t="s">
        <v>346</v>
      </c>
      <c r="E151">
        <v>1500</v>
      </c>
      <c r="F151">
        <f t="shared" si="2"/>
        <v>7.5450405755498329</v>
      </c>
    </row>
    <row r="152" spans="1:6" x14ac:dyDescent="0.25">
      <c r="A152">
        <v>1000</v>
      </c>
      <c r="B152">
        <v>1892.199707</v>
      </c>
      <c r="C152">
        <v>-8.1434879999999996</v>
      </c>
      <c r="D152" t="s">
        <v>347</v>
      </c>
      <c r="E152">
        <v>1510</v>
      </c>
      <c r="F152">
        <f t="shared" si="2"/>
        <v>7.5454952974241207</v>
      </c>
    </row>
    <row r="153" spans="1:6" x14ac:dyDescent="0.25">
      <c r="A153">
        <v>1000</v>
      </c>
      <c r="B153">
        <v>1892.261841</v>
      </c>
      <c r="C153">
        <v>-8.1345410000000005</v>
      </c>
      <c r="D153" t="s">
        <v>348</v>
      </c>
      <c r="E153">
        <v>1520</v>
      </c>
      <c r="F153">
        <f t="shared" si="2"/>
        <v>7.5455281337995039</v>
      </c>
    </row>
    <row r="154" spans="1:6" x14ac:dyDescent="0.25">
      <c r="A154">
        <v>1000</v>
      </c>
      <c r="B154">
        <v>1892.8905030000001</v>
      </c>
      <c r="C154">
        <v>-8.1429139999999993</v>
      </c>
      <c r="D154" t="s">
        <v>349</v>
      </c>
      <c r="E154">
        <v>1530</v>
      </c>
      <c r="F154">
        <f t="shared" si="2"/>
        <v>7.545860306430165</v>
      </c>
    </row>
    <row r="155" spans="1:6" x14ac:dyDescent="0.25">
      <c r="A155">
        <v>1000</v>
      </c>
      <c r="B155">
        <v>1892.4075929999999</v>
      </c>
      <c r="C155">
        <v>-8.1487060000000007</v>
      </c>
      <c r="D155" t="s">
        <v>350</v>
      </c>
      <c r="E155">
        <v>1540</v>
      </c>
      <c r="F155">
        <f t="shared" si="2"/>
        <v>7.5456051561141937</v>
      </c>
    </row>
    <row r="156" spans="1:6" x14ac:dyDescent="0.25">
      <c r="A156">
        <v>1000</v>
      </c>
      <c r="B156">
        <v>1892.550659</v>
      </c>
      <c r="C156">
        <v>-8.151726</v>
      </c>
      <c r="D156" t="s">
        <v>351</v>
      </c>
      <c r="E156">
        <v>1550</v>
      </c>
      <c r="F156">
        <f t="shared" si="2"/>
        <v>7.5456807532492443</v>
      </c>
    </row>
    <row r="157" spans="1:6" x14ac:dyDescent="0.25">
      <c r="A157">
        <v>1000</v>
      </c>
      <c r="B157">
        <v>1892.771362</v>
      </c>
      <c r="C157">
        <v>-8.1444030000000005</v>
      </c>
      <c r="D157" t="s">
        <v>352</v>
      </c>
      <c r="E157">
        <v>1560</v>
      </c>
      <c r="F157">
        <f t="shared" si="2"/>
        <v>7.5457973631434756</v>
      </c>
    </row>
    <row r="158" spans="1:6" x14ac:dyDescent="0.25">
      <c r="A158">
        <v>1000</v>
      </c>
      <c r="B158">
        <v>1893.102173</v>
      </c>
      <c r="C158">
        <v>-8.1397309999999994</v>
      </c>
      <c r="D158" t="s">
        <v>353</v>
      </c>
      <c r="E158">
        <v>1570</v>
      </c>
      <c r="F158">
        <f t="shared" si="2"/>
        <v>7.5459721238679336</v>
      </c>
    </row>
    <row r="159" spans="1:6" x14ac:dyDescent="0.25">
      <c r="A159">
        <v>1000</v>
      </c>
      <c r="B159">
        <v>1894.1724850000001</v>
      </c>
      <c r="C159">
        <v>-8.1461109999999994</v>
      </c>
      <c r="D159" t="s">
        <v>354</v>
      </c>
      <c r="E159">
        <v>1580</v>
      </c>
      <c r="F159">
        <f t="shared" si="2"/>
        <v>7.5465373387652654</v>
      </c>
    </row>
    <row r="160" spans="1:6" x14ac:dyDescent="0.25">
      <c r="A160">
        <v>1000</v>
      </c>
      <c r="B160">
        <v>1894.024048</v>
      </c>
      <c r="C160">
        <v>-8.1388160000000003</v>
      </c>
      <c r="D160" t="s">
        <v>355</v>
      </c>
      <c r="E160">
        <v>1590</v>
      </c>
      <c r="F160">
        <f t="shared" si="2"/>
        <v>7.5464589706031164</v>
      </c>
    </row>
    <row r="161" spans="1:6" x14ac:dyDescent="0.25">
      <c r="A161">
        <v>1000</v>
      </c>
      <c r="B161">
        <v>1894.686279</v>
      </c>
      <c r="C161">
        <v>-8.1294730000000008</v>
      </c>
      <c r="D161" t="s">
        <v>356</v>
      </c>
      <c r="E161">
        <v>1600</v>
      </c>
      <c r="F161">
        <f t="shared" si="2"/>
        <v>7.5468085518323935</v>
      </c>
    </row>
    <row r="162" spans="1:6" x14ac:dyDescent="0.25">
      <c r="A162">
        <v>1000</v>
      </c>
      <c r="B162">
        <v>1894.7485349999999</v>
      </c>
      <c r="C162">
        <v>-8.1205390000000008</v>
      </c>
      <c r="D162" t="s">
        <v>357</v>
      </c>
      <c r="E162">
        <v>1610</v>
      </c>
      <c r="F162">
        <f t="shared" si="2"/>
        <v>7.5468414095027647</v>
      </c>
    </row>
    <row r="163" spans="1:6" x14ac:dyDescent="0.25">
      <c r="A163">
        <v>1000</v>
      </c>
      <c r="B163">
        <v>1894.8896480000001</v>
      </c>
      <c r="C163">
        <v>-8.1123969999999996</v>
      </c>
      <c r="D163" t="s">
        <v>358</v>
      </c>
      <c r="E163">
        <v>1620</v>
      </c>
      <c r="F163">
        <f t="shared" si="2"/>
        <v>7.5469158825755231</v>
      </c>
    </row>
    <row r="164" spans="1:6" x14ac:dyDescent="0.25">
      <c r="A164">
        <v>1000</v>
      </c>
      <c r="B164">
        <v>1895.2851559999999</v>
      </c>
      <c r="C164">
        <v>-8.1099519999999998</v>
      </c>
      <c r="D164" t="s">
        <v>359</v>
      </c>
      <c r="E164">
        <v>1630</v>
      </c>
      <c r="F164">
        <f t="shared" si="2"/>
        <v>7.547124584296097</v>
      </c>
    </row>
    <row r="165" spans="1:6" x14ac:dyDescent="0.25">
      <c r="A165">
        <v>1000</v>
      </c>
      <c r="B165">
        <v>1895.015991</v>
      </c>
      <c r="C165">
        <v>-8.1056899999999992</v>
      </c>
      <c r="D165" t="s">
        <v>360</v>
      </c>
      <c r="E165">
        <v>1640</v>
      </c>
      <c r="F165">
        <f t="shared" si="2"/>
        <v>7.5469825560033499</v>
      </c>
    </row>
    <row r="166" spans="1:6" x14ac:dyDescent="0.25">
      <c r="A166">
        <v>1000</v>
      </c>
      <c r="B166">
        <v>1895.450317</v>
      </c>
      <c r="C166">
        <v>-8.08826</v>
      </c>
      <c r="D166" t="s">
        <v>361</v>
      </c>
      <c r="E166">
        <v>1650</v>
      </c>
      <c r="F166">
        <f t="shared" si="2"/>
        <v>7.5472117235867602</v>
      </c>
    </row>
    <row r="167" spans="1:6" x14ac:dyDescent="0.25">
      <c r="A167">
        <v>1000</v>
      </c>
      <c r="B167">
        <v>1895.3149410000001</v>
      </c>
      <c r="C167">
        <v>-8.0619630000000004</v>
      </c>
      <c r="D167" t="s">
        <v>362</v>
      </c>
      <c r="E167">
        <v>1660</v>
      </c>
      <c r="F167">
        <f t="shared" si="2"/>
        <v>7.5471402994859025</v>
      </c>
    </row>
    <row r="168" spans="1:6" x14ac:dyDescent="0.25">
      <c r="A168">
        <v>1000</v>
      </c>
      <c r="B168">
        <v>1896.396606</v>
      </c>
      <c r="C168">
        <v>-8.0933949999999992</v>
      </c>
      <c r="D168" t="s">
        <v>363</v>
      </c>
      <c r="E168">
        <v>1670</v>
      </c>
      <c r="F168">
        <f t="shared" si="2"/>
        <v>7.5477108413195486</v>
      </c>
    </row>
    <row r="169" spans="1:6" x14ac:dyDescent="0.25">
      <c r="A169">
        <v>1000</v>
      </c>
      <c r="B169">
        <v>1896.917236</v>
      </c>
      <c r="C169">
        <v>-8.0810189999999995</v>
      </c>
      <c r="D169" t="s">
        <v>364</v>
      </c>
      <c r="E169">
        <v>1680</v>
      </c>
      <c r="F169">
        <f t="shared" si="2"/>
        <v>7.5479853400955292</v>
      </c>
    </row>
    <row r="170" spans="1:6" x14ac:dyDescent="0.25">
      <c r="A170">
        <v>1000</v>
      </c>
      <c r="B170">
        <v>1896.830933</v>
      </c>
      <c r="C170">
        <v>-8.0759779999999992</v>
      </c>
      <c r="D170" t="s">
        <v>365</v>
      </c>
      <c r="E170">
        <v>1690</v>
      </c>
      <c r="F170">
        <f t="shared" si="2"/>
        <v>7.5479398426106297</v>
      </c>
    </row>
    <row r="171" spans="1:6" x14ac:dyDescent="0.25">
      <c r="A171">
        <v>1000</v>
      </c>
      <c r="B171">
        <v>1896.3826899999999</v>
      </c>
      <c r="C171">
        <v>-8.0752539999999993</v>
      </c>
      <c r="D171" t="s">
        <v>366</v>
      </c>
      <c r="E171">
        <v>1700</v>
      </c>
      <c r="F171">
        <f t="shared" si="2"/>
        <v>7.5477035031651694</v>
      </c>
    </row>
    <row r="172" spans="1:6" x14ac:dyDescent="0.25">
      <c r="A172">
        <v>1000</v>
      </c>
      <c r="B172">
        <v>1896.8526609999999</v>
      </c>
      <c r="C172">
        <v>-8.0512669999999993</v>
      </c>
      <c r="D172" t="s">
        <v>367</v>
      </c>
      <c r="E172">
        <v>1710</v>
      </c>
      <c r="F172">
        <f t="shared" si="2"/>
        <v>7.547951297440461</v>
      </c>
    </row>
    <row r="173" spans="1:6" x14ac:dyDescent="0.25">
      <c r="A173">
        <v>1000</v>
      </c>
      <c r="B173">
        <v>1897.110107</v>
      </c>
      <c r="C173">
        <v>-8.0485349999999993</v>
      </c>
      <c r="D173" t="s">
        <v>368</v>
      </c>
      <c r="E173">
        <v>1720</v>
      </c>
      <c r="F173">
        <f t="shared" si="2"/>
        <v>7.5480870109496001</v>
      </c>
    </row>
    <row r="174" spans="1:6" x14ac:dyDescent="0.25">
      <c r="A174">
        <v>1000</v>
      </c>
      <c r="B174">
        <v>1897.777832</v>
      </c>
      <c r="C174">
        <v>-8.0615249999999996</v>
      </c>
      <c r="D174" t="s">
        <v>369</v>
      </c>
      <c r="E174">
        <v>1730</v>
      </c>
      <c r="F174">
        <f t="shared" si="2"/>
        <v>7.5484389185777694</v>
      </c>
    </row>
    <row r="175" spans="1:6" x14ac:dyDescent="0.25">
      <c r="A175">
        <v>1000</v>
      </c>
      <c r="B175">
        <v>1897.6513669999999</v>
      </c>
      <c r="C175">
        <v>-8.0603099999999994</v>
      </c>
      <c r="D175" t="s">
        <v>370</v>
      </c>
      <c r="E175">
        <v>1740</v>
      </c>
      <c r="F175">
        <f t="shared" si="2"/>
        <v>7.5483722778931899</v>
      </c>
    </row>
    <row r="176" spans="1:6" x14ac:dyDescent="0.25">
      <c r="A176">
        <v>1000</v>
      </c>
      <c r="B176">
        <v>1897.7136230000001</v>
      </c>
      <c r="C176">
        <v>-8.0513899999999996</v>
      </c>
      <c r="D176" t="s">
        <v>371</v>
      </c>
      <c r="E176">
        <v>1750</v>
      </c>
      <c r="F176">
        <f t="shared" si="2"/>
        <v>7.5484050842241599</v>
      </c>
    </row>
    <row r="177" spans="1:6" x14ac:dyDescent="0.25">
      <c r="A177">
        <v>1000</v>
      </c>
      <c r="B177">
        <v>1897.6345209999999</v>
      </c>
      <c r="C177">
        <v>-8.0309950000000008</v>
      </c>
      <c r="D177" t="s">
        <v>372</v>
      </c>
      <c r="E177">
        <v>1760</v>
      </c>
      <c r="F177">
        <f t="shared" si="2"/>
        <v>7.548363400564579</v>
      </c>
    </row>
    <row r="178" spans="1:6" x14ac:dyDescent="0.25">
      <c r="A178">
        <v>1000</v>
      </c>
      <c r="B178">
        <v>1897.8133539999999</v>
      </c>
      <c r="C178">
        <v>-8.0274839999999994</v>
      </c>
      <c r="D178" t="s">
        <v>373</v>
      </c>
      <c r="E178">
        <v>1770</v>
      </c>
      <c r="F178">
        <f t="shared" si="2"/>
        <v>7.54845763608356</v>
      </c>
    </row>
    <row r="179" spans="1:6" x14ac:dyDescent="0.25">
      <c r="A179">
        <v>1000</v>
      </c>
      <c r="B179">
        <v>1898.3988039999999</v>
      </c>
      <c r="C179">
        <v>-8.0173210000000008</v>
      </c>
      <c r="D179" t="s">
        <v>374</v>
      </c>
      <c r="E179">
        <v>1780</v>
      </c>
      <c r="F179">
        <f t="shared" si="2"/>
        <v>7.5487660751171415</v>
      </c>
    </row>
    <row r="180" spans="1:6" x14ac:dyDescent="0.25">
      <c r="A180">
        <v>1000</v>
      </c>
      <c r="B180">
        <v>1899.028564</v>
      </c>
      <c r="C180">
        <v>-8.0257079999999998</v>
      </c>
      <c r="D180" t="s">
        <v>375</v>
      </c>
      <c r="E180">
        <v>1790</v>
      </c>
      <c r="F180">
        <f t="shared" si="2"/>
        <v>7.5490977523000042</v>
      </c>
    </row>
    <row r="181" spans="1:6" x14ac:dyDescent="0.25">
      <c r="A181">
        <v>1000</v>
      </c>
      <c r="B181">
        <v>1899.2210689999999</v>
      </c>
      <c r="C181">
        <v>-8.0128679999999992</v>
      </c>
      <c r="D181" t="s">
        <v>376</v>
      </c>
      <c r="E181">
        <v>1800</v>
      </c>
      <c r="F181">
        <f t="shared" si="2"/>
        <v>7.5491991174122353</v>
      </c>
    </row>
    <row r="182" spans="1:6" x14ac:dyDescent="0.25">
      <c r="A182">
        <v>1000</v>
      </c>
      <c r="B182">
        <v>1899.715942</v>
      </c>
      <c r="C182">
        <v>-8.0511169999999996</v>
      </c>
      <c r="D182" t="s">
        <v>377</v>
      </c>
      <c r="E182">
        <v>1810</v>
      </c>
      <c r="F182">
        <f t="shared" si="2"/>
        <v>7.5494596497671367</v>
      </c>
    </row>
    <row r="183" spans="1:6" x14ac:dyDescent="0.25">
      <c r="A183">
        <v>1000</v>
      </c>
      <c r="B183">
        <v>1900.4895019999999</v>
      </c>
      <c r="C183">
        <v>-8.0703639999999996</v>
      </c>
      <c r="D183" t="s">
        <v>378</v>
      </c>
      <c r="E183">
        <v>1820</v>
      </c>
      <c r="F183">
        <f t="shared" si="2"/>
        <v>7.5498667646045234</v>
      </c>
    </row>
    <row r="184" spans="1:6" x14ac:dyDescent="0.25">
      <c r="A184">
        <v>1000</v>
      </c>
      <c r="B184">
        <v>1900.873169</v>
      </c>
      <c r="C184">
        <v>-8.1255659999999992</v>
      </c>
      <c r="D184" t="s">
        <v>379</v>
      </c>
      <c r="E184">
        <v>1830</v>
      </c>
      <c r="F184">
        <f t="shared" si="2"/>
        <v>7.5500686222195466</v>
      </c>
    </row>
    <row r="185" spans="1:6" x14ac:dyDescent="0.25">
      <c r="A185">
        <v>1000</v>
      </c>
      <c r="B185">
        <v>1901.02478</v>
      </c>
      <c r="C185">
        <v>-8.1132310000000007</v>
      </c>
      <c r="D185" t="s">
        <v>380</v>
      </c>
      <c r="E185">
        <v>1840</v>
      </c>
      <c r="F185">
        <f t="shared" si="2"/>
        <v>7.5501483776480791</v>
      </c>
    </row>
    <row r="186" spans="1:6" x14ac:dyDescent="0.25">
      <c r="A186">
        <v>1000</v>
      </c>
      <c r="B186">
        <v>1901.452393</v>
      </c>
      <c r="C186">
        <v>-8.1189809999999998</v>
      </c>
      <c r="D186" t="s">
        <v>381</v>
      </c>
      <c r="E186">
        <v>1850</v>
      </c>
      <c r="F186">
        <f t="shared" si="2"/>
        <v>7.5503732905048029</v>
      </c>
    </row>
    <row r="187" spans="1:6" x14ac:dyDescent="0.25">
      <c r="A187">
        <v>1000</v>
      </c>
      <c r="B187">
        <v>1901.3443600000001</v>
      </c>
      <c r="C187">
        <v>-8.1497989999999998</v>
      </c>
      <c r="D187" t="s">
        <v>382</v>
      </c>
      <c r="E187">
        <v>1860</v>
      </c>
      <c r="F187">
        <f t="shared" si="2"/>
        <v>7.5503164728481957</v>
      </c>
    </row>
    <row r="188" spans="1:6" x14ac:dyDescent="0.25">
      <c r="A188">
        <v>1000</v>
      </c>
      <c r="B188">
        <v>1903.3927000000001</v>
      </c>
      <c r="C188">
        <v>-8.1815460000000009</v>
      </c>
      <c r="D188" t="s">
        <v>383</v>
      </c>
      <c r="E188">
        <v>1870</v>
      </c>
      <c r="F188">
        <f t="shared" si="2"/>
        <v>7.55139320438869</v>
      </c>
    </row>
    <row r="189" spans="1:6" x14ac:dyDescent="0.25">
      <c r="A189">
        <v>1000</v>
      </c>
      <c r="B189">
        <v>1903.3901370000001</v>
      </c>
      <c r="C189">
        <v>-8.2073640000000001</v>
      </c>
      <c r="D189" t="s">
        <v>384</v>
      </c>
      <c r="E189">
        <v>1880</v>
      </c>
      <c r="F189">
        <f t="shared" si="2"/>
        <v>7.5513918578448447</v>
      </c>
    </row>
    <row r="190" spans="1:6" x14ac:dyDescent="0.25">
      <c r="A190">
        <v>1000</v>
      </c>
      <c r="B190">
        <v>1903.588135</v>
      </c>
      <c r="C190">
        <v>-8.2246450000000006</v>
      </c>
      <c r="D190" t="s">
        <v>385</v>
      </c>
      <c r="E190">
        <v>1890</v>
      </c>
      <c r="F190">
        <f t="shared" si="2"/>
        <v>7.5514958763004447</v>
      </c>
    </row>
    <row r="191" spans="1:6" x14ac:dyDescent="0.25">
      <c r="A191">
        <v>1000</v>
      </c>
      <c r="B191">
        <v>1904.3111570000001</v>
      </c>
      <c r="C191">
        <v>-8.2407369999999993</v>
      </c>
      <c r="D191" t="s">
        <v>386</v>
      </c>
      <c r="E191">
        <v>1900</v>
      </c>
      <c r="F191">
        <f t="shared" si="2"/>
        <v>7.5518756247933778</v>
      </c>
    </row>
    <row r="192" spans="1:6" x14ac:dyDescent="0.25">
      <c r="A192">
        <v>1000</v>
      </c>
      <c r="B192">
        <v>1904.762939</v>
      </c>
      <c r="C192">
        <v>-8.2525940000000002</v>
      </c>
      <c r="D192" t="s">
        <v>387</v>
      </c>
      <c r="E192">
        <v>1910</v>
      </c>
      <c r="F192">
        <f t="shared" si="2"/>
        <v>7.5521128383475027</v>
      </c>
    </row>
    <row r="193" spans="1:6" x14ac:dyDescent="0.25">
      <c r="A193">
        <v>1000</v>
      </c>
      <c r="B193">
        <v>1904.9985349999999</v>
      </c>
      <c r="C193">
        <v>-8.2435910000000003</v>
      </c>
      <c r="D193" t="s">
        <v>388</v>
      </c>
      <c r="E193">
        <v>1920</v>
      </c>
      <c r="F193">
        <f t="shared" si="2"/>
        <v>7.5522365185316342</v>
      </c>
    </row>
    <row r="194" spans="1:6" x14ac:dyDescent="0.25">
      <c r="A194">
        <v>1000</v>
      </c>
      <c r="B194">
        <v>1905.4724120000001</v>
      </c>
      <c r="C194">
        <v>-8.2616499999999995</v>
      </c>
      <c r="D194" t="s">
        <v>389</v>
      </c>
      <c r="E194">
        <v>1930</v>
      </c>
      <c r="F194">
        <f t="shared" ref="F194:F195" si="3">LN(B194)</f>
        <v>7.5524852421193662</v>
      </c>
    </row>
    <row r="195" spans="1:6" x14ac:dyDescent="0.25">
      <c r="A195">
        <v>1000</v>
      </c>
      <c r="B195">
        <v>1906.3740230000001</v>
      </c>
      <c r="C195">
        <v>-8.2630169999999996</v>
      </c>
      <c r="D195" t="s">
        <v>390</v>
      </c>
      <c r="E195">
        <v>1940</v>
      </c>
      <c r="F195">
        <f t="shared" si="3"/>
        <v>7.5529582994852325</v>
      </c>
    </row>
    <row r="196" spans="1:6" x14ac:dyDescent="0.25">
      <c r="A196">
        <v>1000</v>
      </c>
      <c r="B196">
        <v>1910.6967770000001</v>
      </c>
      <c r="C196">
        <v>-8.2745870000000004</v>
      </c>
      <c r="D196" t="s">
        <v>391</v>
      </c>
      <c r="E196">
        <v>1950</v>
      </c>
      <c r="F196">
        <f>LN(B196)</f>
        <v>7.5552232592276569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zoomScaleNormal="100" workbookViewId="0">
      <selection sqref="A1:D32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3.140625" bestFit="1" customWidth="1"/>
    <col min="14" max="14" width="16.7109375" bestFit="1" customWidth="1"/>
  </cols>
  <sheetData>
    <row r="1" spans="1:13" x14ac:dyDescent="0.25">
      <c r="A1">
        <v>1000</v>
      </c>
      <c r="B1">
        <v>2015.4567870000001</v>
      </c>
      <c r="C1">
        <v>-12.973990000000001</v>
      </c>
      <c r="D1" t="s">
        <v>427</v>
      </c>
      <c r="E1">
        <v>0</v>
      </c>
      <c r="F1">
        <f t="shared" ref="F1:F32" si="0">LN(B1)</f>
        <v>7.6086011419899879</v>
      </c>
      <c r="I1" s="1" t="s">
        <v>194</v>
      </c>
      <c r="J1" s="1"/>
      <c r="M1" t="s">
        <v>704</v>
      </c>
    </row>
    <row r="2" spans="1:13" x14ac:dyDescent="0.25">
      <c r="A2">
        <v>1000</v>
      </c>
      <c r="B2">
        <v>2007.9575199999999</v>
      </c>
      <c r="C2">
        <v>-12.849708</v>
      </c>
      <c r="D2" t="s">
        <v>428</v>
      </c>
      <c r="E2">
        <v>10</v>
      </c>
      <c r="F2">
        <f t="shared" si="0"/>
        <v>7.6048733252093559</v>
      </c>
      <c r="H2" t="s">
        <v>197</v>
      </c>
      <c r="I2">
        <f>1/(0.00007)</f>
        <v>14285.714285714286</v>
      </c>
      <c r="J2" s="3" t="s">
        <v>577</v>
      </c>
      <c r="M2">
        <v>1478</v>
      </c>
    </row>
    <row r="3" spans="1:13" x14ac:dyDescent="0.25">
      <c r="A3">
        <v>1000</v>
      </c>
      <c r="B3">
        <v>2001.9454350000001</v>
      </c>
      <c r="C3">
        <v>-12.717394000000001</v>
      </c>
      <c r="D3" t="s">
        <v>429</v>
      </c>
      <c r="E3">
        <v>20</v>
      </c>
      <c r="F3">
        <f t="shared" si="0"/>
        <v>7.6018747042589796</v>
      </c>
      <c r="I3">
        <f>I2/60</f>
        <v>238.0952380952381</v>
      </c>
      <c r="J3" s="3" t="s">
        <v>578</v>
      </c>
      <c r="K3" s="3"/>
    </row>
    <row r="4" spans="1:13" x14ac:dyDescent="0.25">
      <c r="A4">
        <v>1000</v>
      </c>
      <c r="B4">
        <v>1996.8558350000001</v>
      </c>
      <c r="C4">
        <v>-12.596035000000001</v>
      </c>
      <c r="D4" t="s">
        <v>430</v>
      </c>
      <c r="E4">
        <v>30</v>
      </c>
      <c r="F4">
        <f t="shared" si="0"/>
        <v>7.5993291400237561</v>
      </c>
      <c r="I4">
        <f>I3/60</f>
        <v>3.9682539682539684</v>
      </c>
      <c r="J4" s="3" t="s">
        <v>579</v>
      </c>
      <c r="K4" s="3"/>
    </row>
    <row r="5" spans="1:13" x14ac:dyDescent="0.25">
      <c r="A5">
        <v>1000</v>
      </c>
      <c r="B5">
        <v>1992.088501</v>
      </c>
      <c r="C5">
        <v>-12.523211</v>
      </c>
      <c r="D5" t="s">
        <v>431</v>
      </c>
      <c r="E5">
        <v>40</v>
      </c>
      <c r="F5">
        <f t="shared" si="0"/>
        <v>7.5969388653704915</v>
      </c>
    </row>
    <row r="6" spans="1:13" x14ac:dyDescent="0.25">
      <c r="A6">
        <v>1000</v>
      </c>
      <c r="B6">
        <v>1989.6945800000001</v>
      </c>
      <c r="C6">
        <v>-12.446754</v>
      </c>
      <c r="D6" t="s">
        <v>432</v>
      </c>
      <c r="E6">
        <v>50</v>
      </c>
      <c r="F6">
        <f t="shared" si="0"/>
        <v>7.595736428552744</v>
      </c>
    </row>
    <row r="7" spans="1:13" x14ac:dyDescent="0.25">
      <c r="A7">
        <v>1000</v>
      </c>
      <c r="B7">
        <v>1986.6264650000001</v>
      </c>
      <c r="C7">
        <v>-12.378738999999999</v>
      </c>
      <c r="D7" t="s">
        <v>433</v>
      </c>
      <c r="E7">
        <v>60</v>
      </c>
      <c r="F7">
        <f t="shared" si="0"/>
        <v>7.5941932354482855</v>
      </c>
    </row>
    <row r="8" spans="1:13" x14ac:dyDescent="0.25">
      <c r="A8">
        <v>1000</v>
      </c>
      <c r="B8">
        <v>1984.846802</v>
      </c>
      <c r="C8">
        <v>-12.298866</v>
      </c>
      <c r="D8" t="s">
        <v>434</v>
      </c>
      <c r="E8">
        <v>70</v>
      </c>
      <c r="F8">
        <f t="shared" si="0"/>
        <v>7.5932970123091756</v>
      </c>
    </row>
    <row r="9" spans="1:13" x14ac:dyDescent="0.25">
      <c r="A9">
        <v>1000</v>
      </c>
      <c r="B9">
        <v>1983.0584719999999</v>
      </c>
      <c r="C9">
        <v>-12.243187000000001</v>
      </c>
      <c r="D9" t="s">
        <v>435</v>
      </c>
      <c r="E9">
        <v>80</v>
      </c>
      <c r="F9">
        <f t="shared" si="0"/>
        <v>7.5923956147214833</v>
      </c>
    </row>
    <row r="10" spans="1:13" x14ac:dyDescent="0.25">
      <c r="A10">
        <v>1000</v>
      </c>
      <c r="B10">
        <v>1981.5623780000001</v>
      </c>
      <c r="C10">
        <v>-12.220648000000001</v>
      </c>
      <c r="D10" t="s">
        <v>436</v>
      </c>
      <c r="E10">
        <v>90</v>
      </c>
      <c r="F10">
        <f t="shared" si="0"/>
        <v>7.5916408923267724</v>
      </c>
    </row>
    <row r="11" spans="1:13" x14ac:dyDescent="0.25">
      <c r="A11">
        <v>1000</v>
      </c>
      <c r="B11">
        <v>1979.8793949999999</v>
      </c>
      <c r="C11">
        <v>-12.150938999999999</v>
      </c>
      <c r="D11" t="s">
        <v>437</v>
      </c>
      <c r="E11">
        <v>100</v>
      </c>
      <c r="F11">
        <f t="shared" si="0"/>
        <v>7.5907912102172315</v>
      </c>
    </row>
    <row r="12" spans="1:13" x14ac:dyDescent="0.25">
      <c r="A12">
        <v>1000</v>
      </c>
      <c r="B12">
        <v>1978.4259030000001</v>
      </c>
      <c r="C12">
        <v>-12.122935</v>
      </c>
      <c r="D12" t="s">
        <v>438</v>
      </c>
      <c r="E12">
        <v>110</v>
      </c>
      <c r="F12">
        <f t="shared" si="0"/>
        <v>7.5900568090248512</v>
      </c>
    </row>
    <row r="13" spans="1:13" x14ac:dyDescent="0.25">
      <c r="A13">
        <v>1000</v>
      </c>
      <c r="B13">
        <v>1977.3961179999999</v>
      </c>
      <c r="C13">
        <v>-12.084427</v>
      </c>
      <c r="D13" t="s">
        <v>439</v>
      </c>
      <c r="E13">
        <v>120</v>
      </c>
      <c r="F13">
        <f t="shared" si="0"/>
        <v>7.5895361662771261</v>
      </c>
    </row>
    <row r="14" spans="1:13" x14ac:dyDescent="0.25">
      <c r="A14">
        <v>1000</v>
      </c>
      <c r="B14">
        <v>1975.518433</v>
      </c>
      <c r="C14">
        <v>-12.026697</v>
      </c>
      <c r="D14" t="s">
        <v>440</v>
      </c>
      <c r="E14">
        <v>130</v>
      </c>
      <c r="F14">
        <f t="shared" si="0"/>
        <v>7.5885861406102419</v>
      </c>
    </row>
    <row r="15" spans="1:13" x14ac:dyDescent="0.25">
      <c r="A15">
        <v>1000</v>
      </c>
      <c r="B15">
        <v>1974.0145259999999</v>
      </c>
      <c r="C15">
        <v>-11.972219000000001</v>
      </c>
      <c r="D15" t="s">
        <v>441</v>
      </c>
      <c r="E15">
        <v>140</v>
      </c>
      <c r="F15">
        <f t="shared" si="0"/>
        <v>7.5878245786289664</v>
      </c>
    </row>
    <row r="16" spans="1:13" x14ac:dyDescent="0.25">
      <c r="A16">
        <v>1000</v>
      </c>
      <c r="B16">
        <v>1973.239746</v>
      </c>
      <c r="C16">
        <v>-11.948411</v>
      </c>
      <c r="D16" t="s">
        <v>442</v>
      </c>
      <c r="E16">
        <v>150</v>
      </c>
      <c r="F16">
        <f t="shared" si="0"/>
        <v>7.5874320120717789</v>
      </c>
    </row>
    <row r="17" spans="1:6" x14ac:dyDescent="0.25">
      <c r="A17">
        <v>1000</v>
      </c>
      <c r="B17">
        <v>1971.943726</v>
      </c>
      <c r="C17">
        <v>-11.908875999999999</v>
      </c>
      <c r="D17" t="s">
        <v>443</v>
      </c>
      <c r="E17">
        <v>160</v>
      </c>
      <c r="F17">
        <f t="shared" si="0"/>
        <v>7.5867749982442509</v>
      </c>
    </row>
    <row r="18" spans="1:6" x14ac:dyDescent="0.25">
      <c r="A18">
        <v>1000</v>
      </c>
      <c r="B18">
        <v>1970.5205080000001</v>
      </c>
      <c r="C18">
        <v>-11.833363</v>
      </c>
      <c r="D18" t="s">
        <v>444</v>
      </c>
      <c r="E18">
        <v>170</v>
      </c>
      <c r="F18">
        <f t="shared" si="0"/>
        <v>7.5860530040916849</v>
      </c>
    </row>
    <row r="19" spans="1:6" x14ac:dyDescent="0.25">
      <c r="A19">
        <v>1000</v>
      </c>
      <c r="B19">
        <v>1967.88147</v>
      </c>
      <c r="C19">
        <v>-11.763367000000001</v>
      </c>
      <c r="D19" t="s">
        <v>445</v>
      </c>
      <c r="E19">
        <v>180</v>
      </c>
      <c r="F19">
        <f t="shared" si="0"/>
        <v>7.5847128471398433</v>
      </c>
    </row>
    <row r="20" spans="1:6" x14ac:dyDescent="0.25">
      <c r="A20">
        <v>1000</v>
      </c>
      <c r="B20">
        <v>1968.584717</v>
      </c>
      <c r="C20">
        <v>-11.790182</v>
      </c>
      <c r="D20" t="s">
        <v>446</v>
      </c>
      <c r="E20">
        <v>190</v>
      </c>
      <c r="F20">
        <f t="shared" si="0"/>
        <v>7.5850701457798291</v>
      </c>
    </row>
    <row r="21" spans="1:6" x14ac:dyDescent="0.25">
      <c r="A21">
        <v>1000</v>
      </c>
      <c r="B21">
        <v>1968.5554199999999</v>
      </c>
      <c r="C21">
        <v>-11.725759999999999</v>
      </c>
      <c r="D21" t="s">
        <v>447</v>
      </c>
      <c r="E21">
        <v>200</v>
      </c>
      <c r="F21">
        <f t="shared" si="0"/>
        <v>7.5850552634037989</v>
      </c>
    </row>
    <row r="22" spans="1:6" x14ac:dyDescent="0.25">
      <c r="A22">
        <v>1000</v>
      </c>
      <c r="B22">
        <v>1967.265625</v>
      </c>
      <c r="C22">
        <v>-11.673126</v>
      </c>
      <c r="D22" t="s">
        <v>448</v>
      </c>
      <c r="E22">
        <v>210</v>
      </c>
      <c r="F22">
        <f t="shared" si="0"/>
        <v>7.5843998499429608</v>
      </c>
    </row>
    <row r="23" spans="1:6" x14ac:dyDescent="0.25">
      <c r="A23">
        <v>1000</v>
      </c>
      <c r="B23">
        <v>1964.665405</v>
      </c>
      <c r="C23">
        <v>-11.625123</v>
      </c>
      <c r="D23" t="s">
        <v>449</v>
      </c>
      <c r="E23">
        <v>220</v>
      </c>
      <c r="F23">
        <f t="shared" si="0"/>
        <v>7.5830772324508375</v>
      </c>
    </row>
    <row r="24" spans="1:6" x14ac:dyDescent="0.25">
      <c r="A24">
        <v>1000</v>
      </c>
      <c r="B24">
        <v>1964.980591</v>
      </c>
      <c r="C24">
        <v>-11.616816999999999</v>
      </c>
      <c r="D24" t="s">
        <v>450</v>
      </c>
      <c r="E24">
        <v>230</v>
      </c>
      <c r="F24">
        <f t="shared" si="0"/>
        <v>7.5832376469008906</v>
      </c>
    </row>
    <row r="25" spans="1:6" x14ac:dyDescent="0.25">
      <c r="A25">
        <v>1000</v>
      </c>
      <c r="B25">
        <v>1964.8811040000001</v>
      </c>
      <c r="C25">
        <v>-11.613567</v>
      </c>
      <c r="D25" t="s">
        <v>451</v>
      </c>
      <c r="E25">
        <v>240</v>
      </c>
      <c r="F25">
        <f t="shared" si="0"/>
        <v>7.5831870156025181</v>
      </c>
    </row>
    <row r="26" spans="1:6" x14ac:dyDescent="0.25">
      <c r="A26">
        <v>1000</v>
      </c>
      <c r="B26">
        <v>1963.3012699999999</v>
      </c>
      <c r="C26">
        <v>-11.573364</v>
      </c>
      <c r="D26" t="s">
        <v>452</v>
      </c>
      <c r="E26">
        <v>250</v>
      </c>
      <c r="F26">
        <f t="shared" si="0"/>
        <v>7.58238265677456</v>
      </c>
    </row>
    <row r="27" spans="1:6" x14ac:dyDescent="0.25">
      <c r="A27">
        <v>1000</v>
      </c>
      <c r="B27">
        <v>1963.17749</v>
      </c>
      <c r="C27">
        <v>-11.535688</v>
      </c>
      <c r="D27" t="s">
        <v>453</v>
      </c>
      <c r="E27">
        <v>260</v>
      </c>
      <c r="F27">
        <f t="shared" si="0"/>
        <v>7.5823196079169923</v>
      </c>
    </row>
    <row r="28" spans="1:6" x14ac:dyDescent="0.25">
      <c r="A28">
        <v>1000</v>
      </c>
      <c r="B28">
        <v>1961.755981</v>
      </c>
      <c r="C28">
        <v>-11.47139</v>
      </c>
      <c r="D28" t="s">
        <v>454</v>
      </c>
      <c r="E28">
        <v>270</v>
      </c>
      <c r="F28">
        <f t="shared" si="0"/>
        <v>7.5815952598113965</v>
      </c>
    </row>
    <row r="29" spans="1:6" x14ac:dyDescent="0.25">
      <c r="A29">
        <v>1000</v>
      </c>
      <c r="B29">
        <v>1961.881226</v>
      </c>
      <c r="C29">
        <v>-11.509078000000001</v>
      </c>
      <c r="D29" t="s">
        <v>455</v>
      </c>
      <c r="E29">
        <v>280</v>
      </c>
      <c r="F29">
        <f t="shared" si="0"/>
        <v>7.5816591010859264</v>
      </c>
    </row>
    <row r="30" spans="1:6" x14ac:dyDescent="0.25">
      <c r="A30">
        <v>1000</v>
      </c>
      <c r="B30">
        <v>1961.2653809999999</v>
      </c>
      <c r="C30">
        <v>-11.47725</v>
      </c>
      <c r="D30" t="s">
        <v>456</v>
      </c>
      <c r="E30">
        <v>290</v>
      </c>
      <c r="F30">
        <f t="shared" si="0"/>
        <v>7.5813451464639092</v>
      </c>
    </row>
    <row r="31" spans="1:6" x14ac:dyDescent="0.25">
      <c r="A31">
        <v>1000</v>
      </c>
      <c r="B31">
        <v>1960.8291019999999</v>
      </c>
      <c r="C31">
        <v>-11.428004</v>
      </c>
      <c r="D31" t="s">
        <v>457</v>
      </c>
      <c r="E31">
        <v>300</v>
      </c>
      <c r="F31">
        <f t="shared" si="0"/>
        <v>7.5811226740050275</v>
      </c>
    </row>
    <row r="32" spans="1:6" x14ac:dyDescent="0.25">
      <c r="A32">
        <v>1000</v>
      </c>
      <c r="B32">
        <v>1960.461548</v>
      </c>
      <c r="C32">
        <v>-11.394482</v>
      </c>
      <c r="D32" t="s">
        <v>458</v>
      </c>
      <c r="E32">
        <v>310</v>
      </c>
      <c r="F32">
        <f t="shared" si="0"/>
        <v>7.5809352081761041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34" zoomScaleNormal="100" workbookViewId="0">
      <selection sqref="A1:D35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  <col min="13" max="13" width="13.140625" bestFit="1" customWidth="1"/>
  </cols>
  <sheetData>
    <row r="1" spans="1:13" x14ac:dyDescent="0.25">
      <c r="A1">
        <v>1000</v>
      </c>
      <c r="B1">
        <v>2310.3879390000002</v>
      </c>
      <c r="C1">
        <v>-13.041732</v>
      </c>
      <c r="D1" t="s">
        <v>392</v>
      </c>
      <c r="E1">
        <v>0</v>
      </c>
      <c r="F1">
        <f>LN(B1)</f>
        <v>7.7451707283767099</v>
      </c>
      <c r="I1" s="1" t="s">
        <v>194</v>
      </c>
      <c r="J1" s="1"/>
      <c r="L1" s="2"/>
      <c r="M1" t="s">
        <v>704</v>
      </c>
    </row>
    <row r="2" spans="1:13" x14ac:dyDescent="0.25">
      <c r="A2">
        <v>1000</v>
      </c>
      <c r="B2">
        <v>2162.318115</v>
      </c>
      <c r="C2">
        <v>-12.827168</v>
      </c>
      <c r="D2" t="s">
        <v>393</v>
      </c>
      <c r="E2">
        <v>10</v>
      </c>
      <c r="F2">
        <f t="shared" ref="F2:F35" si="0">LN(B2)</f>
        <v>7.6789361265981819</v>
      </c>
      <c r="H2" t="s">
        <v>197</v>
      </c>
      <c r="I2">
        <f>1/(0.0002)</f>
        <v>5000</v>
      </c>
      <c r="J2" s="3" t="s">
        <v>577</v>
      </c>
      <c r="L2" s="2"/>
      <c r="M2">
        <v>1484</v>
      </c>
    </row>
    <row r="3" spans="1:13" x14ac:dyDescent="0.25">
      <c r="A3">
        <v>1000</v>
      </c>
      <c r="B3">
        <v>2090.9885250000002</v>
      </c>
      <c r="C3">
        <v>-12.110804</v>
      </c>
      <c r="D3" t="s">
        <v>394</v>
      </c>
      <c r="E3">
        <v>20</v>
      </c>
      <c r="F3">
        <f t="shared" si="0"/>
        <v>7.6453922116086979</v>
      </c>
      <c r="I3">
        <f>I2/60</f>
        <v>83.333333333333329</v>
      </c>
      <c r="J3" s="3" t="s">
        <v>578</v>
      </c>
    </row>
    <row r="4" spans="1:13" x14ac:dyDescent="0.25">
      <c r="A4">
        <v>1000</v>
      </c>
      <c r="B4">
        <v>2073.9960940000001</v>
      </c>
      <c r="C4">
        <v>-11.893044</v>
      </c>
      <c r="D4" t="s">
        <v>395</v>
      </c>
      <c r="E4">
        <v>30</v>
      </c>
      <c r="F4">
        <f t="shared" si="0"/>
        <v>7.637232505470438</v>
      </c>
      <c r="I4">
        <f>I3/60</f>
        <v>1.3888888888888888</v>
      </c>
      <c r="J4" s="3" t="s">
        <v>579</v>
      </c>
    </row>
    <row r="5" spans="1:13" x14ac:dyDescent="0.25">
      <c r="A5">
        <v>1000</v>
      </c>
      <c r="B5">
        <v>2063.4584960000002</v>
      </c>
      <c r="C5">
        <v>-11.655886000000001</v>
      </c>
      <c r="D5" t="s">
        <v>396</v>
      </c>
      <c r="E5">
        <v>40</v>
      </c>
      <c r="F5">
        <f t="shared" si="0"/>
        <v>7.6321387355907957</v>
      </c>
    </row>
    <row r="6" spans="1:13" x14ac:dyDescent="0.25">
      <c r="A6">
        <v>1000</v>
      </c>
      <c r="B6">
        <v>2055.8996579999998</v>
      </c>
      <c r="C6">
        <v>-11.481688</v>
      </c>
      <c r="D6" t="s">
        <v>397</v>
      </c>
      <c r="E6">
        <v>50</v>
      </c>
      <c r="F6">
        <f t="shared" si="0"/>
        <v>7.6284688209093705</v>
      </c>
    </row>
    <row r="7" spans="1:13" x14ac:dyDescent="0.25">
      <c r="A7">
        <v>1000</v>
      </c>
      <c r="B7">
        <v>2049.631836</v>
      </c>
      <c r="C7">
        <v>-11.333009000000001</v>
      </c>
      <c r="D7" t="s">
        <v>398</v>
      </c>
      <c r="E7">
        <v>60</v>
      </c>
      <c r="F7">
        <f t="shared" si="0"/>
        <v>7.6254154638087224</v>
      </c>
    </row>
    <row r="8" spans="1:13" x14ac:dyDescent="0.25">
      <c r="A8">
        <v>1000</v>
      </c>
      <c r="B8">
        <v>2044.3907469999999</v>
      </c>
      <c r="C8">
        <v>-11.172321999999999</v>
      </c>
      <c r="D8" t="s">
        <v>399</v>
      </c>
      <c r="E8">
        <v>70</v>
      </c>
      <c r="F8">
        <f t="shared" si="0"/>
        <v>7.6228551008615772</v>
      </c>
    </row>
    <row r="9" spans="1:13" x14ac:dyDescent="0.25">
      <c r="A9">
        <v>1000</v>
      </c>
      <c r="B9">
        <v>2038.9521480000001</v>
      </c>
      <c r="C9">
        <v>-11.037603000000001</v>
      </c>
      <c r="D9" t="s">
        <v>400</v>
      </c>
      <c r="E9">
        <v>80</v>
      </c>
      <c r="F9">
        <f t="shared" si="0"/>
        <v>7.6201913019322225</v>
      </c>
    </row>
    <row r="10" spans="1:13" x14ac:dyDescent="0.25">
      <c r="A10">
        <v>1000</v>
      </c>
      <c r="B10">
        <v>2035.1967770000001</v>
      </c>
      <c r="C10">
        <v>-10.918608000000001</v>
      </c>
      <c r="D10" t="s">
        <v>401</v>
      </c>
      <c r="E10">
        <v>90</v>
      </c>
      <c r="F10">
        <f t="shared" si="0"/>
        <v>7.6183477895164042</v>
      </c>
    </row>
    <row r="11" spans="1:13" x14ac:dyDescent="0.25">
      <c r="A11">
        <v>1000</v>
      </c>
      <c r="B11">
        <v>2031.353149</v>
      </c>
      <c r="C11">
        <v>-10.804584999999999</v>
      </c>
      <c r="D11" t="s">
        <v>402</v>
      </c>
      <c r="E11">
        <v>100</v>
      </c>
      <c r="F11">
        <f t="shared" si="0"/>
        <v>7.6164574258348878</v>
      </c>
    </row>
    <row r="12" spans="1:13" x14ac:dyDescent="0.25">
      <c r="A12">
        <v>1000</v>
      </c>
      <c r="B12">
        <v>2028.1685789999999</v>
      </c>
      <c r="C12">
        <v>-10.712910000000001</v>
      </c>
      <c r="D12" t="s">
        <v>403</v>
      </c>
      <c r="E12">
        <v>110</v>
      </c>
      <c r="F12">
        <f t="shared" si="0"/>
        <v>7.6148884869959659</v>
      </c>
    </row>
    <row r="13" spans="1:13" x14ac:dyDescent="0.25">
      <c r="A13">
        <v>1000</v>
      </c>
      <c r="B13">
        <v>2026.0117190000001</v>
      </c>
      <c r="C13">
        <v>-10.667980999999999</v>
      </c>
      <c r="D13" t="s">
        <v>404</v>
      </c>
      <c r="E13">
        <v>120</v>
      </c>
      <c r="F13">
        <f t="shared" si="0"/>
        <v>7.6138244690959471</v>
      </c>
    </row>
    <row r="14" spans="1:13" x14ac:dyDescent="0.25">
      <c r="A14">
        <v>1000</v>
      </c>
      <c r="B14">
        <v>2023.6164550000001</v>
      </c>
      <c r="C14">
        <v>-10.594351</v>
      </c>
      <c r="D14" t="s">
        <v>405</v>
      </c>
      <c r="E14">
        <v>130</v>
      </c>
      <c r="F14">
        <f t="shared" si="0"/>
        <v>7.6126415139324566</v>
      </c>
    </row>
    <row r="15" spans="1:13" x14ac:dyDescent="0.25">
      <c r="A15">
        <v>1000</v>
      </c>
      <c r="B15">
        <v>2021.4626459999999</v>
      </c>
      <c r="C15">
        <v>-10.507676</v>
      </c>
      <c r="D15" t="s">
        <v>406</v>
      </c>
      <c r="E15">
        <v>140</v>
      </c>
      <c r="F15">
        <f t="shared" si="0"/>
        <v>7.6115766105524436</v>
      </c>
    </row>
    <row r="16" spans="1:13" x14ac:dyDescent="0.25">
      <c r="A16">
        <v>1000</v>
      </c>
      <c r="B16">
        <v>2019.6213379999999</v>
      </c>
      <c r="C16">
        <v>-10.424621999999999</v>
      </c>
      <c r="D16" t="s">
        <v>407</v>
      </c>
      <c r="E16">
        <v>150</v>
      </c>
      <c r="F16">
        <f t="shared" si="0"/>
        <v>7.6106653163874531</v>
      </c>
    </row>
    <row r="17" spans="1:6" x14ac:dyDescent="0.25">
      <c r="A17">
        <v>1000</v>
      </c>
      <c r="B17">
        <v>2017.0177000000001</v>
      </c>
      <c r="C17">
        <v>-10.346757</v>
      </c>
      <c r="D17" t="s">
        <v>408</v>
      </c>
      <c r="E17">
        <v>160</v>
      </c>
      <c r="F17">
        <f t="shared" si="0"/>
        <v>7.6093753133247315</v>
      </c>
    </row>
    <row r="18" spans="1:6" x14ac:dyDescent="0.25">
      <c r="A18">
        <v>1000</v>
      </c>
      <c r="B18">
        <v>2016.7376710000001</v>
      </c>
      <c r="C18">
        <v>-10.288399999999999</v>
      </c>
      <c r="D18" t="s">
        <v>409</v>
      </c>
      <c r="E18">
        <v>170</v>
      </c>
      <c r="F18">
        <f t="shared" si="0"/>
        <v>7.6092364704972946</v>
      </c>
    </row>
    <row r="19" spans="1:6" x14ac:dyDescent="0.25">
      <c r="A19">
        <v>1000</v>
      </c>
      <c r="B19">
        <v>2015.0626219999999</v>
      </c>
      <c r="C19">
        <v>-10.216042</v>
      </c>
      <c r="D19" t="s">
        <v>410</v>
      </c>
      <c r="E19">
        <v>180</v>
      </c>
      <c r="F19">
        <f t="shared" si="0"/>
        <v>7.6084055518135081</v>
      </c>
    </row>
    <row r="20" spans="1:6" x14ac:dyDescent="0.25">
      <c r="A20">
        <v>1000</v>
      </c>
      <c r="B20">
        <v>2013.178467</v>
      </c>
      <c r="C20">
        <v>-10.170771</v>
      </c>
      <c r="D20" t="s">
        <v>411</v>
      </c>
      <c r="E20">
        <v>190</v>
      </c>
      <c r="F20">
        <f t="shared" si="0"/>
        <v>7.6074700789379897</v>
      </c>
    </row>
    <row r="21" spans="1:6" x14ac:dyDescent="0.25">
      <c r="A21">
        <v>1000</v>
      </c>
      <c r="B21">
        <v>2011.959106</v>
      </c>
      <c r="C21">
        <v>-10.12688</v>
      </c>
      <c r="D21" t="s">
        <v>412</v>
      </c>
      <c r="E21">
        <v>200</v>
      </c>
      <c r="F21">
        <f t="shared" si="0"/>
        <v>7.6068642059633715</v>
      </c>
    </row>
    <row r="22" spans="1:6" x14ac:dyDescent="0.25">
      <c r="A22">
        <v>1000</v>
      </c>
      <c r="B22">
        <v>2011.151245</v>
      </c>
      <c r="C22">
        <v>-10.074342</v>
      </c>
      <c r="D22" t="s">
        <v>413</v>
      </c>
      <c r="E22">
        <v>210</v>
      </c>
      <c r="F22">
        <f t="shared" si="0"/>
        <v>7.606462595795926</v>
      </c>
    </row>
    <row r="23" spans="1:6" x14ac:dyDescent="0.25">
      <c r="A23">
        <v>1000</v>
      </c>
      <c r="B23">
        <v>2010.100952</v>
      </c>
      <c r="C23">
        <v>-10.040464</v>
      </c>
      <c r="D23" t="s">
        <v>414</v>
      </c>
      <c r="E23">
        <v>220</v>
      </c>
      <c r="F23">
        <f t="shared" si="0"/>
        <v>7.6059402246675161</v>
      </c>
    </row>
    <row r="24" spans="1:6" x14ac:dyDescent="0.25">
      <c r="A24">
        <v>1000</v>
      </c>
      <c r="B24">
        <v>2009.3217770000001</v>
      </c>
      <c r="C24">
        <v>-9.9995370000000001</v>
      </c>
      <c r="D24" t="s">
        <v>415</v>
      </c>
      <c r="E24">
        <v>230</v>
      </c>
      <c r="F24">
        <f t="shared" si="0"/>
        <v>7.6055525197345979</v>
      </c>
    </row>
    <row r="25" spans="1:6" x14ac:dyDescent="0.25">
      <c r="A25">
        <v>1000</v>
      </c>
      <c r="B25">
        <v>2007.9111330000001</v>
      </c>
      <c r="C25">
        <v>-9.9369180000000004</v>
      </c>
      <c r="D25" t="s">
        <v>416</v>
      </c>
      <c r="E25">
        <v>240</v>
      </c>
      <c r="F25">
        <f t="shared" si="0"/>
        <v>7.6048502233581692</v>
      </c>
    </row>
    <row r="26" spans="1:6" x14ac:dyDescent="0.25">
      <c r="A26">
        <v>1000</v>
      </c>
      <c r="B26">
        <v>2007.1145019999999</v>
      </c>
      <c r="C26">
        <v>-9.9153350000000007</v>
      </c>
      <c r="D26" t="s">
        <v>417</v>
      </c>
      <c r="E26">
        <v>250</v>
      </c>
      <c r="F26">
        <f t="shared" si="0"/>
        <v>7.6044533984893521</v>
      </c>
    </row>
    <row r="27" spans="1:6" x14ac:dyDescent="0.25">
      <c r="A27">
        <v>1000</v>
      </c>
      <c r="B27">
        <v>2006.2775879999999</v>
      </c>
      <c r="C27">
        <v>-9.8941610000000004</v>
      </c>
      <c r="D27" t="s">
        <v>418</v>
      </c>
      <c r="E27">
        <v>260</v>
      </c>
      <c r="F27">
        <f t="shared" si="0"/>
        <v>7.6040363378118192</v>
      </c>
    </row>
    <row r="28" spans="1:6" x14ac:dyDescent="0.25">
      <c r="A28">
        <v>1000</v>
      </c>
      <c r="B28">
        <v>2005.541138</v>
      </c>
      <c r="C28">
        <v>-9.8425519999999995</v>
      </c>
      <c r="D28" t="s">
        <v>419</v>
      </c>
      <c r="E28">
        <v>270</v>
      </c>
      <c r="F28">
        <f t="shared" si="0"/>
        <v>7.6036691975901034</v>
      </c>
    </row>
    <row r="29" spans="1:6" x14ac:dyDescent="0.25">
      <c r="A29">
        <v>1000</v>
      </c>
      <c r="B29">
        <v>2005.0454099999999</v>
      </c>
      <c r="C29">
        <v>-9.8201079999999994</v>
      </c>
      <c r="D29" t="s">
        <v>420</v>
      </c>
      <c r="E29">
        <v>280</v>
      </c>
      <c r="F29">
        <f t="shared" si="0"/>
        <v>7.6034219878632516</v>
      </c>
    </row>
    <row r="30" spans="1:6" x14ac:dyDescent="0.25">
      <c r="A30">
        <v>1000</v>
      </c>
      <c r="B30">
        <v>2004.2120359999999</v>
      </c>
      <c r="C30">
        <v>-9.8011890000000008</v>
      </c>
      <c r="D30" t="s">
        <v>421</v>
      </c>
      <c r="E30">
        <v>290</v>
      </c>
      <c r="F30">
        <f t="shared" si="0"/>
        <v>7.6030062629948798</v>
      </c>
    </row>
    <row r="31" spans="1:6" x14ac:dyDescent="0.25">
      <c r="A31">
        <v>1000</v>
      </c>
      <c r="B31">
        <v>2004.1861570000001</v>
      </c>
      <c r="C31">
        <v>-9.7478180000000005</v>
      </c>
      <c r="D31" t="s">
        <v>422</v>
      </c>
      <c r="E31">
        <v>300</v>
      </c>
      <c r="F31">
        <f t="shared" si="0"/>
        <v>7.6029933506050655</v>
      </c>
    </row>
    <row r="32" spans="1:6" x14ac:dyDescent="0.25">
      <c r="A32">
        <v>1000</v>
      </c>
      <c r="B32">
        <v>2003.6577150000001</v>
      </c>
      <c r="C32">
        <v>-9.751493</v>
      </c>
      <c r="D32" t="s">
        <v>423</v>
      </c>
      <c r="E32">
        <v>310</v>
      </c>
      <c r="F32">
        <f t="shared" si="0"/>
        <v>7.6027296467184176</v>
      </c>
    </row>
    <row r="33" spans="1:6" x14ac:dyDescent="0.25">
      <c r="A33">
        <v>1000</v>
      </c>
      <c r="B33">
        <v>2002.6180420000001</v>
      </c>
      <c r="C33">
        <v>-9.7173960000000008</v>
      </c>
      <c r="D33" t="s">
        <v>424</v>
      </c>
      <c r="E33">
        <v>320</v>
      </c>
      <c r="F33">
        <f t="shared" si="0"/>
        <v>7.602210624521045</v>
      </c>
    </row>
    <row r="34" spans="1:6" x14ac:dyDescent="0.25">
      <c r="A34">
        <v>1000</v>
      </c>
      <c r="B34">
        <v>2002.145874</v>
      </c>
      <c r="C34">
        <v>-9.6700079999999993</v>
      </c>
      <c r="D34" t="s">
        <v>425</v>
      </c>
      <c r="E34">
        <v>330</v>
      </c>
      <c r="F34">
        <f t="shared" si="0"/>
        <v>7.6019748213565679</v>
      </c>
    </row>
    <row r="35" spans="1:6" x14ac:dyDescent="0.25">
      <c r="A35">
        <v>1000</v>
      </c>
      <c r="B35">
        <v>2002.0479740000001</v>
      </c>
      <c r="C35">
        <v>-9.6500909999999998</v>
      </c>
      <c r="D35" t="s">
        <v>426</v>
      </c>
      <c r="E35">
        <v>340</v>
      </c>
      <c r="F35">
        <f t="shared" si="0"/>
        <v>7.6019259226250195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Cu_1stPhase</vt:lpstr>
      <vt:lpstr>PANI_1stPhase</vt:lpstr>
      <vt:lpstr>Cu_2ndPhase</vt:lpstr>
      <vt:lpstr>PANI_2ndPhase</vt:lpstr>
      <vt:lpstr>Cu_3rdPhase</vt:lpstr>
      <vt:lpstr>PANI_3rdPhase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2021-11-26T08:02:26Z</dcterms:created>
  <dcterms:modified xsi:type="dcterms:W3CDTF">2021-11-29T12:26:14Z</dcterms:modified>
</cp:coreProperties>
</file>