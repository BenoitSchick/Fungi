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9_batch\"/>
    </mc:Choice>
  </mc:AlternateContent>
  <bookViews>
    <workbookView xWindow="0" yWindow="0" windowWidth="25200" windowHeight="11250" activeTab="6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  <sheet name="Summary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5" l="1"/>
  <c r="F29" i="5" s="1"/>
  <c r="H29" i="5" s="1"/>
  <c r="I29" i="5"/>
  <c r="E30" i="5"/>
  <c r="F30" i="5"/>
  <c r="H30" i="5"/>
  <c r="I30" i="5"/>
  <c r="E31" i="5"/>
  <c r="F31" i="5" s="1"/>
  <c r="H31" i="5" s="1"/>
  <c r="I31" i="5"/>
  <c r="E32" i="5"/>
  <c r="F32" i="5"/>
  <c r="H32" i="5"/>
  <c r="I32" i="5"/>
  <c r="E33" i="5"/>
  <c r="F33" i="5" s="1"/>
  <c r="H33" i="5" s="1"/>
  <c r="I33" i="5"/>
  <c r="E34" i="5"/>
  <c r="F34" i="5"/>
  <c r="H34" i="5" s="1"/>
  <c r="I34" i="5"/>
  <c r="E35" i="5"/>
  <c r="F35" i="5" s="1"/>
  <c r="H35" i="5" s="1"/>
  <c r="I35" i="5"/>
  <c r="E36" i="5"/>
  <c r="F36" i="5"/>
  <c r="H36" i="5"/>
  <c r="I36" i="5"/>
  <c r="E28" i="4"/>
  <c r="F28" i="4" s="1"/>
  <c r="H28" i="4" s="1"/>
  <c r="I28" i="4"/>
  <c r="E29" i="4"/>
  <c r="F29" i="4" s="1"/>
  <c r="H29" i="4" s="1"/>
  <c r="I29" i="4"/>
  <c r="E30" i="4"/>
  <c r="F30" i="4" s="1"/>
  <c r="H30" i="4" s="1"/>
  <c r="I30" i="4"/>
  <c r="E31" i="4"/>
  <c r="F31" i="4" s="1"/>
  <c r="H31" i="4" s="1"/>
  <c r="I31" i="4"/>
  <c r="E32" i="4"/>
  <c r="F32" i="4" s="1"/>
  <c r="H32" i="4" s="1"/>
  <c r="I32" i="4"/>
  <c r="E33" i="4"/>
  <c r="F33" i="4" s="1"/>
  <c r="H33" i="4" s="1"/>
  <c r="I33" i="4"/>
  <c r="I197" i="2"/>
  <c r="E197" i="2"/>
  <c r="F197" i="2" s="1"/>
  <c r="H197" i="2" s="1"/>
  <c r="D4" i="8" l="1"/>
  <c r="D3" i="8"/>
  <c r="B4" i="8"/>
  <c r="B3" i="8"/>
  <c r="S42" i="6"/>
  <c r="S43" i="6" s="1"/>
  <c r="S44" i="6" s="1"/>
  <c r="S40" i="1"/>
  <c r="S41" i="1" s="1"/>
  <c r="S42" i="1" s="1"/>
  <c r="I188" i="1"/>
  <c r="I189" i="1"/>
  <c r="I190" i="1"/>
  <c r="I191" i="1"/>
  <c r="I192" i="1"/>
  <c r="I193" i="1"/>
  <c r="I194" i="1"/>
  <c r="E188" i="1"/>
  <c r="F188" i="1"/>
  <c r="H188" i="1" s="1"/>
  <c r="E189" i="1"/>
  <c r="F189" i="1" s="1"/>
  <c r="H189" i="1" s="1"/>
  <c r="E190" i="1"/>
  <c r="F190" i="1" s="1"/>
  <c r="H190" i="1" s="1"/>
  <c r="E191" i="1"/>
  <c r="F191" i="1"/>
  <c r="H191" i="1" s="1"/>
  <c r="E192" i="1"/>
  <c r="F192" i="1"/>
  <c r="H192" i="1" s="1"/>
  <c r="E193" i="1"/>
  <c r="F193" i="1" s="1"/>
  <c r="H193" i="1" s="1"/>
  <c r="E194" i="1"/>
  <c r="F194" i="1"/>
  <c r="H194" i="1" s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E22" i="1"/>
  <c r="F22" i="1"/>
  <c r="H22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/>
  <c r="H26" i="1" s="1"/>
  <c r="E27" i="1"/>
  <c r="F27" i="1"/>
  <c r="H27" i="1" s="1"/>
  <c r="E28" i="1"/>
  <c r="F28" i="1" s="1"/>
  <c r="H28" i="1" s="1"/>
  <c r="E29" i="1"/>
  <c r="F29" i="1" s="1"/>
  <c r="H29" i="1" s="1"/>
  <c r="E30" i="1"/>
  <c r="F30" i="1"/>
  <c r="H30" i="1" s="1"/>
  <c r="E31" i="1"/>
  <c r="F31" i="1"/>
  <c r="H31" i="1" s="1"/>
  <c r="E32" i="1"/>
  <c r="F32" i="1" s="1"/>
  <c r="H32" i="1" s="1"/>
  <c r="E33" i="1"/>
  <c r="F33" i="1" s="1"/>
  <c r="H33" i="1" s="1"/>
  <c r="E34" i="1"/>
  <c r="F34" i="1"/>
  <c r="H34" i="1" s="1"/>
  <c r="E35" i="1"/>
  <c r="F35" i="1"/>
  <c r="H35" i="1" s="1"/>
  <c r="E36" i="1"/>
  <c r="F36" i="1" s="1"/>
  <c r="H36" i="1" s="1"/>
  <c r="E37" i="1"/>
  <c r="F37" i="1" s="1"/>
  <c r="H37" i="1" s="1"/>
  <c r="E38" i="1"/>
  <c r="F38" i="1"/>
  <c r="H38" i="1" s="1"/>
  <c r="E39" i="1"/>
  <c r="F39" i="1"/>
  <c r="H39" i="1" s="1"/>
  <c r="E40" i="1"/>
  <c r="F40" i="1" s="1"/>
  <c r="H40" i="1" s="1"/>
  <c r="E41" i="1"/>
  <c r="F41" i="1" s="1"/>
  <c r="H41" i="1" s="1"/>
  <c r="E42" i="1"/>
  <c r="F42" i="1"/>
  <c r="H42" i="1" s="1"/>
  <c r="E43" i="1"/>
  <c r="F43" i="1"/>
  <c r="H43" i="1" s="1"/>
  <c r="E44" i="1"/>
  <c r="F44" i="1" s="1"/>
  <c r="H44" i="1" s="1"/>
  <c r="E45" i="1"/>
  <c r="F45" i="1" s="1"/>
  <c r="H45" i="1" s="1"/>
  <c r="E46" i="1"/>
  <c r="F46" i="1"/>
  <c r="H46" i="1" s="1"/>
  <c r="E47" i="1"/>
  <c r="F47" i="1"/>
  <c r="H47" i="1" s="1"/>
  <c r="E48" i="1"/>
  <c r="F48" i="1" s="1"/>
  <c r="H48" i="1" s="1"/>
  <c r="E49" i="1"/>
  <c r="F49" i="1" s="1"/>
  <c r="H49" i="1" s="1"/>
  <c r="E50" i="1"/>
  <c r="F50" i="1"/>
  <c r="H50" i="1" s="1"/>
  <c r="E51" i="1"/>
  <c r="F51" i="1"/>
  <c r="H51" i="1" s="1"/>
  <c r="E52" i="1"/>
  <c r="F52" i="1" s="1"/>
  <c r="H52" i="1" s="1"/>
  <c r="E53" i="1"/>
  <c r="F53" i="1" s="1"/>
  <c r="H53" i="1" s="1"/>
  <c r="E54" i="1"/>
  <c r="F54" i="1"/>
  <c r="H54" i="1" s="1"/>
  <c r="E55" i="1"/>
  <c r="F55" i="1"/>
  <c r="H55" i="1" s="1"/>
  <c r="E56" i="1"/>
  <c r="F56" i="1" s="1"/>
  <c r="H56" i="1" s="1"/>
  <c r="I192" i="2"/>
  <c r="I193" i="2"/>
  <c r="I194" i="2"/>
  <c r="I195" i="2"/>
  <c r="I196" i="2"/>
  <c r="E192" i="2"/>
  <c r="F192" i="2" s="1"/>
  <c r="H192" i="2" s="1"/>
  <c r="E193" i="2"/>
  <c r="F193" i="2" s="1"/>
  <c r="H193" i="2" s="1"/>
  <c r="E194" i="2"/>
  <c r="F194" i="2" s="1"/>
  <c r="H194" i="2" s="1"/>
  <c r="E195" i="2"/>
  <c r="F195" i="2" s="1"/>
  <c r="H195" i="2" s="1"/>
  <c r="E196" i="2"/>
  <c r="F196" i="2" s="1"/>
  <c r="H196" i="2" s="1"/>
  <c r="G3" i="8" l="1"/>
  <c r="F3" i="8"/>
  <c r="E3" i="8"/>
  <c r="C3" i="8"/>
  <c r="T40" i="5"/>
  <c r="T41" i="5" s="1"/>
  <c r="T42" i="5" s="1"/>
  <c r="S40" i="4"/>
  <c r="S41" i="4" s="1"/>
  <c r="S42" i="4" s="1"/>
  <c r="T41" i="7"/>
  <c r="T42" i="7" s="1"/>
  <c r="T43" i="7" s="1"/>
  <c r="T41" i="2"/>
  <c r="T42" i="2" s="1"/>
  <c r="T43" i="2" s="1"/>
  <c r="C4" i="8" l="1"/>
  <c r="E4" i="8"/>
  <c r="F4" i="8"/>
  <c r="G4" i="8"/>
  <c r="E3" i="6"/>
  <c r="F3" i="6" s="1"/>
  <c r="H3" i="6" s="1"/>
  <c r="E4" i="6"/>
  <c r="F4" i="6" s="1"/>
  <c r="H4" i="6" s="1"/>
  <c r="E5" i="6"/>
  <c r="F5" i="6" s="1"/>
  <c r="H5" i="6" s="1"/>
  <c r="E6" i="6"/>
  <c r="F6" i="6" s="1"/>
  <c r="H6" i="6" s="1"/>
  <c r="E7" i="6"/>
  <c r="F7" i="6" s="1"/>
  <c r="H7" i="6" s="1"/>
  <c r="E8" i="6"/>
  <c r="F8" i="6" s="1"/>
  <c r="H8" i="6" s="1"/>
  <c r="E9" i="6"/>
  <c r="F9" i="6" s="1"/>
  <c r="H9" i="6" s="1"/>
  <c r="E10" i="6"/>
  <c r="F10" i="6" s="1"/>
  <c r="H10" i="6" s="1"/>
  <c r="E11" i="6"/>
  <c r="F11" i="6" s="1"/>
  <c r="H11" i="6" s="1"/>
  <c r="E12" i="6"/>
  <c r="F12" i="6" s="1"/>
  <c r="H12" i="6" s="1"/>
  <c r="E13" i="6"/>
  <c r="F13" i="6" s="1"/>
  <c r="H13" i="6" s="1"/>
  <c r="E14" i="6"/>
  <c r="F14" i="6" s="1"/>
  <c r="H14" i="6" s="1"/>
  <c r="E15" i="6"/>
  <c r="F15" i="6" s="1"/>
  <c r="H15" i="6" s="1"/>
  <c r="E16" i="6"/>
  <c r="F16" i="6" s="1"/>
  <c r="H16" i="6" s="1"/>
  <c r="E17" i="6"/>
  <c r="F17" i="6" s="1"/>
  <c r="H17" i="6" s="1"/>
  <c r="E18" i="6"/>
  <c r="F18" i="6" s="1"/>
  <c r="H18" i="6" s="1"/>
  <c r="E19" i="6"/>
  <c r="F19" i="6" s="1"/>
  <c r="H19" i="6" s="1"/>
  <c r="E20" i="6"/>
  <c r="F20" i="6" s="1"/>
  <c r="H20" i="6" s="1"/>
  <c r="E21" i="6"/>
  <c r="F21" i="6" s="1"/>
  <c r="H21" i="6" s="1"/>
  <c r="E22" i="6"/>
  <c r="F22" i="6" s="1"/>
  <c r="H22" i="6" s="1"/>
  <c r="E23" i="6"/>
  <c r="F23" i="6" s="1"/>
  <c r="H23" i="6" s="1"/>
  <c r="E24" i="6"/>
  <c r="F24" i="6" s="1"/>
  <c r="H24" i="6" s="1"/>
  <c r="E25" i="6"/>
  <c r="F25" i="6" s="1"/>
  <c r="H25" i="6" s="1"/>
  <c r="E26" i="6"/>
  <c r="F26" i="6" s="1"/>
  <c r="H26" i="6" s="1"/>
  <c r="E27" i="6"/>
  <c r="F27" i="6" s="1"/>
  <c r="H27" i="6" s="1"/>
  <c r="E28" i="6"/>
  <c r="F28" i="6" s="1"/>
  <c r="H28" i="6" s="1"/>
  <c r="E29" i="6"/>
  <c r="F29" i="6" s="1"/>
  <c r="H29" i="6" s="1"/>
  <c r="E30" i="6"/>
  <c r="F30" i="6" s="1"/>
  <c r="H30" i="6" s="1"/>
  <c r="E31" i="6"/>
  <c r="F31" i="6" s="1"/>
  <c r="H31" i="6" s="1"/>
  <c r="E32" i="6"/>
  <c r="F32" i="6" s="1"/>
  <c r="H32" i="6" s="1"/>
  <c r="E33" i="6"/>
  <c r="F33" i="6" s="1"/>
  <c r="H33" i="6" s="1"/>
  <c r="E34" i="6"/>
  <c r="F34" i="6" s="1"/>
  <c r="H34" i="6" s="1"/>
  <c r="E35" i="6"/>
  <c r="F35" i="6" s="1"/>
  <c r="H35" i="6" s="1"/>
  <c r="E36" i="6"/>
  <c r="F36" i="6" s="1"/>
  <c r="H36" i="6" s="1"/>
  <c r="E37" i="6"/>
  <c r="F37" i="6" s="1"/>
  <c r="H37" i="6" s="1"/>
  <c r="E38" i="6"/>
  <c r="F38" i="6" s="1"/>
  <c r="H38" i="6" s="1"/>
  <c r="E39" i="6"/>
  <c r="F39" i="6" s="1"/>
  <c r="H39" i="6" s="1"/>
  <c r="E40" i="6"/>
  <c r="F40" i="6" s="1"/>
  <c r="H40" i="6" s="1"/>
  <c r="E41" i="6"/>
  <c r="F41" i="6" s="1"/>
  <c r="H41" i="6" s="1"/>
  <c r="E42" i="6"/>
  <c r="F42" i="6" s="1"/>
  <c r="H42" i="6" s="1"/>
  <c r="E43" i="6"/>
  <c r="F43" i="6" s="1"/>
  <c r="H43" i="6" s="1"/>
  <c r="E44" i="6"/>
  <c r="F44" i="6" s="1"/>
  <c r="H44" i="6" s="1"/>
  <c r="E45" i="6"/>
  <c r="F45" i="6" s="1"/>
  <c r="H45" i="6" s="1"/>
  <c r="E46" i="6"/>
  <c r="F46" i="6" s="1"/>
  <c r="H46" i="6" s="1"/>
  <c r="E47" i="6"/>
  <c r="F47" i="6" s="1"/>
  <c r="H47" i="6" s="1"/>
  <c r="E48" i="6"/>
  <c r="F48" i="6" s="1"/>
  <c r="H48" i="6" s="1"/>
  <c r="E49" i="6"/>
  <c r="F49" i="6" s="1"/>
  <c r="H49" i="6" s="1"/>
  <c r="E50" i="6"/>
  <c r="F50" i="6" s="1"/>
  <c r="H50" i="6" s="1"/>
  <c r="E51" i="6"/>
  <c r="F51" i="6" s="1"/>
  <c r="H51" i="6" s="1"/>
  <c r="E52" i="6"/>
  <c r="F52" i="6" s="1"/>
  <c r="H52" i="6" s="1"/>
  <c r="E53" i="6"/>
  <c r="F53" i="6" s="1"/>
  <c r="H53" i="6" s="1"/>
  <c r="E54" i="6"/>
  <c r="F54" i="6" s="1"/>
  <c r="H54" i="6" s="1"/>
  <c r="E55" i="6"/>
  <c r="F55" i="6" s="1"/>
  <c r="H55" i="6" s="1"/>
  <c r="E56" i="6"/>
  <c r="F56" i="6" s="1"/>
  <c r="H56" i="6" s="1"/>
  <c r="E57" i="6"/>
  <c r="F57" i="6" s="1"/>
  <c r="H57" i="6" s="1"/>
  <c r="E58" i="6"/>
  <c r="F58" i="6" s="1"/>
  <c r="H58" i="6" s="1"/>
  <c r="E59" i="6"/>
  <c r="F59" i="6" s="1"/>
  <c r="H59" i="6" s="1"/>
  <c r="E60" i="6"/>
  <c r="F60" i="6" s="1"/>
  <c r="H60" i="6" s="1"/>
  <c r="E61" i="6"/>
  <c r="F61" i="6" s="1"/>
  <c r="H61" i="6" s="1"/>
  <c r="E62" i="6"/>
  <c r="F62" i="6" s="1"/>
  <c r="H62" i="6" s="1"/>
  <c r="E63" i="6"/>
  <c r="F63" i="6" s="1"/>
  <c r="H63" i="6" s="1"/>
  <c r="E64" i="6"/>
  <c r="F64" i="6" s="1"/>
  <c r="H64" i="6" s="1"/>
  <c r="E65" i="6"/>
  <c r="F65" i="6" s="1"/>
  <c r="H65" i="6" s="1"/>
  <c r="E66" i="6"/>
  <c r="F66" i="6" s="1"/>
  <c r="H66" i="6" s="1"/>
  <c r="E67" i="6"/>
  <c r="F67" i="6" s="1"/>
  <c r="H67" i="6" s="1"/>
  <c r="E68" i="6"/>
  <c r="F68" i="6" s="1"/>
  <c r="H68" i="6" s="1"/>
  <c r="E69" i="6"/>
  <c r="F69" i="6" s="1"/>
  <c r="H69" i="6" s="1"/>
  <c r="E70" i="6"/>
  <c r="F70" i="6" s="1"/>
  <c r="H70" i="6" s="1"/>
  <c r="E71" i="6"/>
  <c r="F71" i="6" s="1"/>
  <c r="H71" i="6" s="1"/>
  <c r="E72" i="6"/>
  <c r="F72" i="6" s="1"/>
  <c r="H72" i="6" s="1"/>
  <c r="E73" i="6"/>
  <c r="F73" i="6" s="1"/>
  <c r="H73" i="6" s="1"/>
  <c r="E74" i="6"/>
  <c r="F74" i="6" s="1"/>
  <c r="H74" i="6" s="1"/>
  <c r="E75" i="6"/>
  <c r="F75" i="6" s="1"/>
  <c r="H75" i="6" s="1"/>
  <c r="E76" i="6"/>
  <c r="F76" i="6" s="1"/>
  <c r="H76" i="6" s="1"/>
  <c r="E77" i="6"/>
  <c r="F77" i="6" s="1"/>
  <c r="H77" i="6" s="1"/>
  <c r="E78" i="6"/>
  <c r="F78" i="6" s="1"/>
  <c r="H78" i="6" s="1"/>
  <c r="E79" i="6"/>
  <c r="F79" i="6" s="1"/>
  <c r="H79" i="6" s="1"/>
  <c r="E80" i="6"/>
  <c r="F80" i="6" s="1"/>
  <c r="H80" i="6" s="1"/>
  <c r="E81" i="6"/>
  <c r="F81" i="6" s="1"/>
  <c r="H81" i="6" s="1"/>
  <c r="E82" i="6"/>
  <c r="F82" i="6" s="1"/>
  <c r="H82" i="6" s="1"/>
  <c r="E83" i="6"/>
  <c r="F83" i="6" s="1"/>
  <c r="H83" i="6" s="1"/>
  <c r="E84" i="6"/>
  <c r="F84" i="6" s="1"/>
  <c r="H84" i="6" s="1"/>
  <c r="E85" i="6"/>
  <c r="F85" i="6" s="1"/>
  <c r="H85" i="6" s="1"/>
  <c r="E86" i="6"/>
  <c r="F86" i="6" s="1"/>
  <c r="H86" i="6" s="1"/>
  <c r="E87" i="6"/>
  <c r="F87" i="6" s="1"/>
  <c r="H87" i="6" s="1"/>
  <c r="E88" i="6"/>
  <c r="F88" i="6" s="1"/>
  <c r="H88" i="6" s="1"/>
  <c r="E89" i="6"/>
  <c r="F89" i="6" s="1"/>
  <c r="H89" i="6" s="1"/>
  <c r="E90" i="6"/>
  <c r="F90" i="6" s="1"/>
  <c r="H90" i="6" s="1"/>
  <c r="E91" i="6"/>
  <c r="F91" i="6" s="1"/>
  <c r="H91" i="6" s="1"/>
  <c r="E92" i="6"/>
  <c r="F92" i="6" s="1"/>
  <c r="H92" i="6" s="1"/>
  <c r="E93" i="6"/>
  <c r="F93" i="6" s="1"/>
  <c r="H93" i="6" s="1"/>
  <c r="E94" i="6"/>
  <c r="F94" i="6" s="1"/>
  <c r="H94" i="6" s="1"/>
  <c r="E95" i="6"/>
  <c r="F95" i="6" s="1"/>
  <c r="H95" i="6" s="1"/>
  <c r="E96" i="6"/>
  <c r="F96" i="6" s="1"/>
  <c r="H96" i="6" s="1"/>
  <c r="E97" i="6"/>
  <c r="F97" i="6" s="1"/>
  <c r="H97" i="6" s="1"/>
  <c r="E98" i="6"/>
  <c r="F98" i="6" s="1"/>
  <c r="H98" i="6" s="1"/>
  <c r="E99" i="6"/>
  <c r="F99" i="6" s="1"/>
  <c r="H99" i="6" s="1"/>
  <c r="E100" i="6"/>
  <c r="F100" i="6" s="1"/>
  <c r="H100" i="6" s="1"/>
  <c r="E101" i="6"/>
  <c r="F101" i="6" s="1"/>
  <c r="H101" i="6" s="1"/>
  <c r="E102" i="6"/>
  <c r="F102" i="6" s="1"/>
  <c r="H102" i="6" s="1"/>
  <c r="E103" i="6"/>
  <c r="F103" i="6" s="1"/>
  <c r="H103" i="6" s="1"/>
  <c r="E104" i="6"/>
  <c r="F104" i="6" s="1"/>
  <c r="H104" i="6" s="1"/>
  <c r="E105" i="6"/>
  <c r="F105" i="6" s="1"/>
  <c r="H105" i="6" s="1"/>
  <c r="E106" i="6"/>
  <c r="F106" i="6" s="1"/>
  <c r="H106" i="6" s="1"/>
  <c r="E107" i="6"/>
  <c r="F107" i="6" s="1"/>
  <c r="H107" i="6" s="1"/>
  <c r="E108" i="6"/>
  <c r="F108" i="6" s="1"/>
  <c r="H108" i="6" s="1"/>
  <c r="E109" i="6"/>
  <c r="F109" i="6" s="1"/>
  <c r="H109" i="6" s="1"/>
  <c r="E110" i="6"/>
  <c r="F110" i="6" s="1"/>
  <c r="H110" i="6" s="1"/>
  <c r="E111" i="6"/>
  <c r="F111" i="6" s="1"/>
  <c r="H111" i="6" s="1"/>
  <c r="E112" i="6"/>
  <c r="F112" i="6" s="1"/>
  <c r="H112" i="6" s="1"/>
  <c r="E113" i="6"/>
  <c r="F113" i="6" s="1"/>
  <c r="H113" i="6" s="1"/>
  <c r="E114" i="6"/>
  <c r="F114" i="6" s="1"/>
  <c r="H114" i="6" s="1"/>
  <c r="E115" i="6"/>
  <c r="F115" i="6" s="1"/>
  <c r="H115" i="6" s="1"/>
  <c r="E116" i="6"/>
  <c r="F116" i="6" s="1"/>
  <c r="H116" i="6" s="1"/>
  <c r="E117" i="6"/>
  <c r="F117" i="6" s="1"/>
  <c r="H117" i="6" s="1"/>
  <c r="E118" i="6"/>
  <c r="F118" i="6" s="1"/>
  <c r="H118" i="6" s="1"/>
  <c r="E119" i="6"/>
  <c r="F119" i="6" s="1"/>
  <c r="H119" i="6" s="1"/>
  <c r="E2" i="6"/>
  <c r="F2" i="6" s="1"/>
  <c r="H2" i="6" s="1"/>
  <c r="I120" i="7"/>
  <c r="I121" i="7"/>
  <c r="I122" i="7"/>
  <c r="I123" i="7"/>
  <c r="I124" i="7"/>
  <c r="I125" i="7"/>
  <c r="E3" i="7"/>
  <c r="F3" i="7" s="1"/>
  <c r="H3" i="7" s="1"/>
  <c r="E4" i="7"/>
  <c r="F4" i="7" s="1"/>
  <c r="H4" i="7" s="1"/>
  <c r="E5" i="7"/>
  <c r="F5" i="7" s="1"/>
  <c r="H5" i="7" s="1"/>
  <c r="E6" i="7"/>
  <c r="F6" i="7" s="1"/>
  <c r="H6" i="7" s="1"/>
  <c r="E7" i="7"/>
  <c r="F7" i="7" s="1"/>
  <c r="H7" i="7" s="1"/>
  <c r="E8" i="7"/>
  <c r="F8" i="7" s="1"/>
  <c r="H8" i="7" s="1"/>
  <c r="E9" i="7"/>
  <c r="F9" i="7" s="1"/>
  <c r="H9" i="7" s="1"/>
  <c r="E10" i="7"/>
  <c r="F10" i="7" s="1"/>
  <c r="H10" i="7" s="1"/>
  <c r="E11" i="7"/>
  <c r="F11" i="7" s="1"/>
  <c r="H11" i="7" s="1"/>
  <c r="E12" i="7"/>
  <c r="F12" i="7" s="1"/>
  <c r="H12" i="7" s="1"/>
  <c r="E13" i="7"/>
  <c r="F13" i="7" s="1"/>
  <c r="H13" i="7" s="1"/>
  <c r="E14" i="7"/>
  <c r="F14" i="7" s="1"/>
  <c r="H14" i="7" s="1"/>
  <c r="E15" i="7"/>
  <c r="F15" i="7" s="1"/>
  <c r="H15" i="7" s="1"/>
  <c r="E16" i="7"/>
  <c r="F16" i="7" s="1"/>
  <c r="H16" i="7" s="1"/>
  <c r="E17" i="7"/>
  <c r="F17" i="7" s="1"/>
  <c r="H17" i="7" s="1"/>
  <c r="E18" i="7"/>
  <c r="F18" i="7" s="1"/>
  <c r="H18" i="7" s="1"/>
  <c r="E19" i="7"/>
  <c r="F19" i="7" s="1"/>
  <c r="H19" i="7" s="1"/>
  <c r="E20" i="7"/>
  <c r="F20" i="7" s="1"/>
  <c r="H20" i="7" s="1"/>
  <c r="E21" i="7"/>
  <c r="F21" i="7" s="1"/>
  <c r="H21" i="7" s="1"/>
  <c r="E22" i="7"/>
  <c r="F22" i="7" s="1"/>
  <c r="H22" i="7" s="1"/>
  <c r="E23" i="7"/>
  <c r="F23" i="7" s="1"/>
  <c r="H23" i="7" s="1"/>
  <c r="E24" i="7"/>
  <c r="F24" i="7" s="1"/>
  <c r="H24" i="7" s="1"/>
  <c r="E25" i="7"/>
  <c r="F25" i="7" s="1"/>
  <c r="H25" i="7" s="1"/>
  <c r="E26" i="7"/>
  <c r="F26" i="7" s="1"/>
  <c r="H26" i="7" s="1"/>
  <c r="E27" i="7"/>
  <c r="F27" i="7" s="1"/>
  <c r="H27" i="7" s="1"/>
  <c r="E28" i="7"/>
  <c r="F28" i="7" s="1"/>
  <c r="H28" i="7" s="1"/>
  <c r="E29" i="7"/>
  <c r="F29" i="7" s="1"/>
  <c r="H29" i="7" s="1"/>
  <c r="E30" i="7"/>
  <c r="F30" i="7" s="1"/>
  <c r="H30" i="7" s="1"/>
  <c r="E31" i="7"/>
  <c r="F31" i="7" s="1"/>
  <c r="H31" i="7" s="1"/>
  <c r="E32" i="7"/>
  <c r="F32" i="7" s="1"/>
  <c r="H32" i="7" s="1"/>
  <c r="E33" i="7"/>
  <c r="F33" i="7" s="1"/>
  <c r="H33" i="7" s="1"/>
  <c r="E34" i="7"/>
  <c r="F34" i="7" s="1"/>
  <c r="H34" i="7" s="1"/>
  <c r="E35" i="7"/>
  <c r="F35" i="7" s="1"/>
  <c r="H35" i="7" s="1"/>
  <c r="E36" i="7"/>
  <c r="F36" i="7" s="1"/>
  <c r="H36" i="7" s="1"/>
  <c r="E37" i="7"/>
  <c r="F37" i="7" s="1"/>
  <c r="H37" i="7" s="1"/>
  <c r="E38" i="7"/>
  <c r="F38" i="7" s="1"/>
  <c r="H38" i="7" s="1"/>
  <c r="E39" i="7"/>
  <c r="F39" i="7" s="1"/>
  <c r="H39" i="7" s="1"/>
  <c r="E40" i="7"/>
  <c r="F40" i="7" s="1"/>
  <c r="H40" i="7" s="1"/>
  <c r="E41" i="7"/>
  <c r="F41" i="7" s="1"/>
  <c r="H41" i="7" s="1"/>
  <c r="E42" i="7"/>
  <c r="F42" i="7" s="1"/>
  <c r="H42" i="7" s="1"/>
  <c r="E43" i="7"/>
  <c r="F43" i="7" s="1"/>
  <c r="H43" i="7" s="1"/>
  <c r="E44" i="7"/>
  <c r="F44" i="7" s="1"/>
  <c r="H44" i="7" s="1"/>
  <c r="E45" i="7"/>
  <c r="F45" i="7" s="1"/>
  <c r="H45" i="7" s="1"/>
  <c r="E46" i="7"/>
  <c r="F46" i="7" s="1"/>
  <c r="H46" i="7" s="1"/>
  <c r="E47" i="7"/>
  <c r="F47" i="7" s="1"/>
  <c r="H47" i="7" s="1"/>
  <c r="E48" i="7"/>
  <c r="F48" i="7" s="1"/>
  <c r="H48" i="7" s="1"/>
  <c r="E49" i="7"/>
  <c r="F49" i="7" s="1"/>
  <c r="H49" i="7" s="1"/>
  <c r="E50" i="7"/>
  <c r="F50" i="7" s="1"/>
  <c r="H50" i="7" s="1"/>
  <c r="E51" i="7"/>
  <c r="F51" i="7" s="1"/>
  <c r="H51" i="7" s="1"/>
  <c r="E52" i="7"/>
  <c r="F52" i="7" s="1"/>
  <c r="H52" i="7" s="1"/>
  <c r="E53" i="7"/>
  <c r="F53" i="7" s="1"/>
  <c r="H53" i="7" s="1"/>
  <c r="E54" i="7"/>
  <c r="F54" i="7" s="1"/>
  <c r="H54" i="7" s="1"/>
  <c r="E55" i="7"/>
  <c r="F55" i="7" s="1"/>
  <c r="H55" i="7" s="1"/>
  <c r="E56" i="7"/>
  <c r="F56" i="7" s="1"/>
  <c r="H56" i="7" s="1"/>
  <c r="E57" i="7"/>
  <c r="F57" i="7" s="1"/>
  <c r="H57" i="7" s="1"/>
  <c r="E58" i="7"/>
  <c r="F58" i="7" s="1"/>
  <c r="H58" i="7" s="1"/>
  <c r="E59" i="7"/>
  <c r="F59" i="7" s="1"/>
  <c r="H59" i="7" s="1"/>
  <c r="E60" i="7"/>
  <c r="F60" i="7" s="1"/>
  <c r="H60" i="7" s="1"/>
  <c r="E61" i="7"/>
  <c r="F61" i="7" s="1"/>
  <c r="H61" i="7" s="1"/>
  <c r="E62" i="7"/>
  <c r="F62" i="7" s="1"/>
  <c r="H62" i="7" s="1"/>
  <c r="E63" i="7"/>
  <c r="F63" i="7" s="1"/>
  <c r="H63" i="7" s="1"/>
  <c r="E64" i="7"/>
  <c r="F64" i="7" s="1"/>
  <c r="H64" i="7" s="1"/>
  <c r="E65" i="7"/>
  <c r="F65" i="7" s="1"/>
  <c r="H65" i="7" s="1"/>
  <c r="E66" i="7"/>
  <c r="F66" i="7" s="1"/>
  <c r="H66" i="7" s="1"/>
  <c r="E67" i="7"/>
  <c r="F67" i="7" s="1"/>
  <c r="H67" i="7" s="1"/>
  <c r="E68" i="7"/>
  <c r="F68" i="7" s="1"/>
  <c r="H68" i="7" s="1"/>
  <c r="E69" i="7"/>
  <c r="F69" i="7" s="1"/>
  <c r="H69" i="7" s="1"/>
  <c r="E70" i="7"/>
  <c r="F70" i="7" s="1"/>
  <c r="H70" i="7" s="1"/>
  <c r="E71" i="7"/>
  <c r="F71" i="7" s="1"/>
  <c r="H71" i="7" s="1"/>
  <c r="E72" i="7"/>
  <c r="F72" i="7" s="1"/>
  <c r="H72" i="7" s="1"/>
  <c r="E73" i="7"/>
  <c r="F73" i="7" s="1"/>
  <c r="H73" i="7" s="1"/>
  <c r="E74" i="7"/>
  <c r="F74" i="7" s="1"/>
  <c r="H74" i="7" s="1"/>
  <c r="E75" i="7"/>
  <c r="F75" i="7" s="1"/>
  <c r="H75" i="7" s="1"/>
  <c r="E76" i="7"/>
  <c r="F76" i="7" s="1"/>
  <c r="H76" i="7" s="1"/>
  <c r="E77" i="7"/>
  <c r="F77" i="7" s="1"/>
  <c r="H77" i="7" s="1"/>
  <c r="E78" i="7"/>
  <c r="F78" i="7" s="1"/>
  <c r="H78" i="7" s="1"/>
  <c r="E79" i="7"/>
  <c r="F79" i="7" s="1"/>
  <c r="H79" i="7" s="1"/>
  <c r="E80" i="7"/>
  <c r="F80" i="7" s="1"/>
  <c r="H80" i="7" s="1"/>
  <c r="E81" i="7"/>
  <c r="F81" i="7" s="1"/>
  <c r="H81" i="7" s="1"/>
  <c r="E82" i="7"/>
  <c r="F82" i="7" s="1"/>
  <c r="H82" i="7" s="1"/>
  <c r="E83" i="7"/>
  <c r="F83" i="7" s="1"/>
  <c r="H83" i="7" s="1"/>
  <c r="E84" i="7"/>
  <c r="F84" i="7" s="1"/>
  <c r="H84" i="7" s="1"/>
  <c r="E85" i="7"/>
  <c r="F85" i="7" s="1"/>
  <c r="H85" i="7" s="1"/>
  <c r="E86" i="7"/>
  <c r="F86" i="7" s="1"/>
  <c r="H86" i="7" s="1"/>
  <c r="E87" i="7"/>
  <c r="F87" i="7" s="1"/>
  <c r="H87" i="7" s="1"/>
  <c r="E88" i="7"/>
  <c r="F88" i="7" s="1"/>
  <c r="H88" i="7" s="1"/>
  <c r="E89" i="7"/>
  <c r="F89" i="7" s="1"/>
  <c r="H89" i="7" s="1"/>
  <c r="E90" i="7"/>
  <c r="F90" i="7" s="1"/>
  <c r="H90" i="7" s="1"/>
  <c r="E91" i="7"/>
  <c r="F91" i="7" s="1"/>
  <c r="H91" i="7" s="1"/>
  <c r="E92" i="7"/>
  <c r="F92" i="7" s="1"/>
  <c r="H92" i="7" s="1"/>
  <c r="E93" i="7"/>
  <c r="F93" i="7" s="1"/>
  <c r="H93" i="7" s="1"/>
  <c r="E94" i="7"/>
  <c r="F94" i="7" s="1"/>
  <c r="H94" i="7" s="1"/>
  <c r="E95" i="7"/>
  <c r="F95" i="7" s="1"/>
  <c r="H95" i="7" s="1"/>
  <c r="E96" i="7"/>
  <c r="F96" i="7" s="1"/>
  <c r="H96" i="7" s="1"/>
  <c r="E97" i="7"/>
  <c r="F97" i="7" s="1"/>
  <c r="H97" i="7" s="1"/>
  <c r="E98" i="7"/>
  <c r="F98" i="7" s="1"/>
  <c r="H98" i="7" s="1"/>
  <c r="E99" i="7"/>
  <c r="F99" i="7" s="1"/>
  <c r="H99" i="7" s="1"/>
  <c r="E100" i="7"/>
  <c r="F100" i="7" s="1"/>
  <c r="H100" i="7" s="1"/>
  <c r="E101" i="7"/>
  <c r="F101" i="7" s="1"/>
  <c r="H101" i="7" s="1"/>
  <c r="E102" i="7"/>
  <c r="F102" i="7" s="1"/>
  <c r="H102" i="7" s="1"/>
  <c r="E103" i="7"/>
  <c r="F103" i="7" s="1"/>
  <c r="H103" i="7" s="1"/>
  <c r="E104" i="7"/>
  <c r="F104" i="7" s="1"/>
  <c r="H104" i="7" s="1"/>
  <c r="E105" i="7"/>
  <c r="F105" i="7" s="1"/>
  <c r="H105" i="7" s="1"/>
  <c r="E106" i="7"/>
  <c r="F106" i="7" s="1"/>
  <c r="H106" i="7" s="1"/>
  <c r="E107" i="7"/>
  <c r="F107" i="7" s="1"/>
  <c r="H107" i="7" s="1"/>
  <c r="E108" i="7"/>
  <c r="F108" i="7" s="1"/>
  <c r="H108" i="7" s="1"/>
  <c r="E109" i="7"/>
  <c r="F109" i="7" s="1"/>
  <c r="H109" i="7" s="1"/>
  <c r="E110" i="7"/>
  <c r="F110" i="7" s="1"/>
  <c r="H110" i="7" s="1"/>
  <c r="E111" i="7"/>
  <c r="F111" i="7" s="1"/>
  <c r="H111" i="7" s="1"/>
  <c r="E112" i="7"/>
  <c r="F112" i="7" s="1"/>
  <c r="H112" i="7" s="1"/>
  <c r="E113" i="7"/>
  <c r="F113" i="7" s="1"/>
  <c r="H113" i="7" s="1"/>
  <c r="E114" i="7"/>
  <c r="F114" i="7" s="1"/>
  <c r="H114" i="7" s="1"/>
  <c r="E115" i="7"/>
  <c r="F115" i="7" s="1"/>
  <c r="H115" i="7" s="1"/>
  <c r="E116" i="7"/>
  <c r="F116" i="7" s="1"/>
  <c r="H116" i="7" s="1"/>
  <c r="E117" i="7"/>
  <c r="F117" i="7" s="1"/>
  <c r="H117" i="7" s="1"/>
  <c r="E118" i="7"/>
  <c r="F118" i="7" s="1"/>
  <c r="H118" i="7" s="1"/>
  <c r="E119" i="7"/>
  <c r="F119" i="7" s="1"/>
  <c r="H119" i="7" s="1"/>
  <c r="E120" i="7"/>
  <c r="F120" i="7" s="1"/>
  <c r="H120" i="7" s="1"/>
  <c r="E121" i="7"/>
  <c r="F121" i="7" s="1"/>
  <c r="H121" i="7" s="1"/>
  <c r="E122" i="7"/>
  <c r="F122" i="7" s="1"/>
  <c r="H122" i="7" s="1"/>
  <c r="E123" i="7"/>
  <c r="F123" i="7" s="1"/>
  <c r="H123" i="7" s="1"/>
  <c r="E124" i="7"/>
  <c r="F124" i="7" s="1"/>
  <c r="H124" i="7" s="1"/>
  <c r="E125" i="7"/>
  <c r="F125" i="7" s="1"/>
  <c r="H125" i="7" s="1"/>
  <c r="E2" i="7"/>
  <c r="F2" i="7" s="1"/>
  <c r="H2" i="7" s="1"/>
  <c r="E58" i="1"/>
  <c r="F58" i="1" s="1"/>
  <c r="H58" i="1" s="1"/>
  <c r="E59" i="1"/>
  <c r="F59" i="1" s="1"/>
  <c r="H59" i="1" s="1"/>
  <c r="E60" i="1"/>
  <c r="F60" i="1" s="1"/>
  <c r="H60" i="1" s="1"/>
  <c r="E61" i="1"/>
  <c r="F61" i="1" s="1"/>
  <c r="H61" i="1" s="1"/>
  <c r="E62" i="1"/>
  <c r="F62" i="1" s="1"/>
  <c r="H62" i="1" s="1"/>
  <c r="E63" i="1"/>
  <c r="F63" i="1" s="1"/>
  <c r="H63" i="1" s="1"/>
  <c r="E64" i="1"/>
  <c r="F64" i="1" s="1"/>
  <c r="H64" i="1" s="1"/>
  <c r="E65" i="1"/>
  <c r="F65" i="1" s="1"/>
  <c r="H65" i="1" s="1"/>
  <c r="E66" i="1"/>
  <c r="F66" i="1" s="1"/>
  <c r="H66" i="1" s="1"/>
  <c r="E67" i="1"/>
  <c r="F67" i="1" s="1"/>
  <c r="H67" i="1" s="1"/>
  <c r="E68" i="1"/>
  <c r="F68" i="1" s="1"/>
  <c r="H68" i="1" s="1"/>
  <c r="E69" i="1"/>
  <c r="F69" i="1" s="1"/>
  <c r="H69" i="1" s="1"/>
  <c r="E70" i="1"/>
  <c r="F70" i="1" s="1"/>
  <c r="H70" i="1" s="1"/>
  <c r="E71" i="1"/>
  <c r="F71" i="1" s="1"/>
  <c r="H71" i="1" s="1"/>
  <c r="E72" i="1"/>
  <c r="F72" i="1" s="1"/>
  <c r="H72" i="1" s="1"/>
  <c r="E73" i="1"/>
  <c r="F73" i="1" s="1"/>
  <c r="H73" i="1" s="1"/>
  <c r="E74" i="1"/>
  <c r="F74" i="1" s="1"/>
  <c r="H74" i="1" s="1"/>
  <c r="E75" i="1"/>
  <c r="F75" i="1" s="1"/>
  <c r="H75" i="1" s="1"/>
  <c r="E76" i="1"/>
  <c r="F76" i="1" s="1"/>
  <c r="H76" i="1" s="1"/>
  <c r="E77" i="1"/>
  <c r="F77" i="1" s="1"/>
  <c r="H77" i="1" s="1"/>
  <c r="E78" i="1"/>
  <c r="F78" i="1" s="1"/>
  <c r="H78" i="1" s="1"/>
  <c r="E79" i="1"/>
  <c r="F79" i="1" s="1"/>
  <c r="H79" i="1" s="1"/>
  <c r="E80" i="1"/>
  <c r="F80" i="1" s="1"/>
  <c r="H80" i="1" s="1"/>
  <c r="E81" i="1"/>
  <c r="F81" i="1" s="1"/>
  <c r="H81" i="1" s="1"/>
  <c r="E82" i="1"/>
  <c r="F82" i="1" s="1"/>
  <c r="H82" i="1" s="1"/>
  <c r="E83" i="1"/>
  <c r="F83" i="1" s="1"/>
  <c r="H83" i="1" s="1"/>
  <c r="E84" i="1"/>
  <c r="F84" i="1" s="1"/>
  <c r="H84" i="1" s="1"/>
  <c r="E85" i="1"/>
  <c r="F85" i="1" s="1"/>
  <c r="H85" i="1" s="1"/>
  <c r="E86" i="1"/>
  <c r="F86" i="1" s="1"/>
  <c r="H86" i="1" s="1"/>
  <c r="E87" i="1"/>
  <c r="F87" i="1" s="1"/>
  <c r="H87" i="1" s="1"/>
  <c r="E88" i="1"/>
  <c r="F88" i="1" s="1"/>
  <c r="H88" i="1" s="1"/>
  <c r="E89" i="1"/>
  <c r="F89" i="1" s="1"/>
  <c r="H89" i="1" s="1"/>
  <c r="E90" i="1"/>
  <c r="F90" i="1" s="1"/>
  <c r="H90" i="1" s="1"/>
  <c r="E91" i="1"/>
  <c r="F91" i="1" s="1"/>
  <c r="H91" i="1" s="1"/>
  <c r="E92" i="1"/>
  <c r="F92" i="1" s="1"/>
  <c r="H92" i="1" s="1"/>
  <c r="E93" i="1"/>
  <c r="F93" i="1" s="1"/>
  <c r="H93" i="1" s="1"/>
  <c r="E94" i="1"/>
  <c r="F94" i="1" s="1"/>
  <c r="H94" i="1" s="1"/>
  <c r="E95" i="1"/>
  <c r="F95" i="1" s="1"/>
  <c r="H95" i="1" s="1"/>
  <c r="E96" i="1"/>
  <c r="F96" i="1" s="1"/>
  <c r="H96" i="1" s="1"/>
  <c r="E97" i="1"/>
  <c r="F97" i="1" s="1"/>
  <c r="H97" i="1" s="1"/>
  <c r="E98" i="1"/>
  <c r="F98" i="1" s="1"/>
  <c r="H98" i="1" s="1"/>
  <c r="E99" i="1"/>
  <c r="F99" i="1" s="1"/>
  <c r="H99" i="1" s="1"/>
  <c r="E100" i="1"/>
  <c r="F100" i="1" s="1"/>
  <c r="H100" i="1" s="1"/>
  <c r="E101" i="1"/>
  <c r="F101" i="1" s="1"/>
  <c r="H101" i="1" s="1"/>
  <c r="E102" i="1"/>
  <c r="F102" i="1" s="1"/>
  <c r="H102" i="1" s="1"/>
  <c r="E103" i="1"/>
  <c r="F103" i="1" s="1"/>
  <c r="H103" i="1" s="1"/>
  <c r="E104" i="1"/>
  <c r="F104" i="1" s="1"/>
  <c r="H104" i="1" s="1"/>
  <c r="E105" i="1"/>
  <c r="F105" i="1" s="1"/>
  <c r="H105" i="1" s="1"/>
  <c r="E106" i="1"/>
  <c r="F106" i="1" s="1"/>
  <c r="H106" i="1" s="1"/>
  <c r="E107" i="1"/>
  <c r="F107" i="1" s="1"/>
  <c r="H107" i="1" s="1"/>
  <c r="E108" i="1"/>
  <c r="F108" i="1" s="1"/>
  <c r="H108" i="1" s="1"/>
  <c r="E109" i="1"/>
  <c r="F109" i="1" s="1"/>
  <c r="H109" i="1" s="1"/>
  <c r="E110" i="1"/>
  <c r="F110" i="1" s="1"/>
  <c r="H110" i="1" s="1"/>
  <c r="E111" i="1"/>
  <c r="F111" i="1" s="1"/>
  <c r="H111" i="1" s="1"/>
  <c r="E112" i="1"/>
  <c r="F112" i="1" s="1"/>
  <c r="H112" i="1" s="1"/>
  <c r="E113" i="1"/>
  <c r="F113" i="1" s="1"/>
  <c r="H113" i="1" s="1"/>
  <c r="E114" i="1"/>
  <c r="F114" i="1" s="1"/>
  <c r="H114" i="1" s="1"/>
  <c r="E115" i="1"/>
  <c r="F115" i="1" s="1"/>
  <c r="H115" i="1" s="1"/>
  <c r="E116" i="1"/>
  <c r="F116" i="1" s="1"/>
  <c r="H116" i="1" s="1"/>
  <c r="E117" i="1"/>
  <c r="F117" i="1" s="1"/>
  <c r="H117" i="1" s="1"/>
  <c r="E118" i="1"/>
  <c r="F118" i="1" s="1"/>
  <c r="H118" i="1" s="1"/>
  <c r="E119" i="1"/>
  <c r="F119" i="1" s="1"/>
  <c r="H119" i="1" s="1"/>
  <c r="E120" i="1"/>
  <c r="F120" i="1" s="1"/>
  <c r="H120" i="1" s="1"/>
  <c r="E121" i="1"/>
  <c r="F121" i="1" s="1"/>
  <c r="H121" i="1" s="1"/>
  <c r="E122" i="1"/>
  <c r="F122" i="1" s="1"/>
  <c r="H122" i="1" s="1"/>
  <c r="E123" i="1"/>
  <c r="F123" i="1" s="1"/>
  <c r="H123" i="1" s="1"/>
  <c r="E124" i="1"/>
  <c r="F124" i="1" s="1"/>
  <c r="H124" i="1" s="1"/>
  <c r="E125" i="1"/>
  <c r="F125" i="1" s="1"/>
  <c r="H125" i="1" s="1"/>
  <c r="E126" i="1"/>
  <c r="F126" i="1" s="1"/>
  <c r="H126" i="1" s="1"/>
  <c r="E127" i="1"/>
  <c r="F127" i="1" s="1"/>
  <c r="H127" i="1" s="1"/>
  <c r="E128" i="1"/>
  <c r="F128" i="1" s="1"/>
  <c r="H128" i="1" s="1"/>
  <c r="E129" i="1"/>
  <c r="F129" i="1" s="1"/>
  <c r="H129" i="1" s="1"/>
  <c r="E130" i="1"/>
  <c r="F130" i="1" s="1"/>
  <c r="H130" i="1" s="1"/>
  <c r="E131" i="1"/>
  <c r="F131" i="1" s="1"/>
  <c r="H131" i="1" s="1"/>
  <c r="E132" i="1"/>
  <c r="F132" i="1" s="1"/>
  <c r="H132" i="1" s="1"/>
  <c r="E133" i="1"/>
  <c r="F133" i="1" s="1"/>
  <c r="H133" i="1" s="1"/>
  <c r="E134" i="1"/>
  <c r="F134" i="1" s="1"/>
  <c r="H134" i="1" s="1"/>
  <c r="E135" i="1"/>
  <c r="F135" i="1" s="1"/>
  <c r="H135" i="1" s="1"/>
  <c r="E136" i="1"/>
  <c r="F136" i="1" s="1"/>
  <c r="H136" i="1" s="1"/>
  <c r="E137" i="1"/>
  <c r="F137" i="1" s="1"/>
  <c r="H137" i="1" s="1"/>
  <c r="E138" i="1"/>
  <c r="F138" i="1" s="1"/>
  <c r="H138" i="1" s="1"/>
  <c r="E139" i="1"/>
  <c r="F139" i="1" s="1"/>
  <c r="H139" i="1" s="1"/>
  <c r="E140" i="1"/>
  <c r="F140" i="1" s="1"/>
  <c r="H140" i="1" s="1"/>
  <c r="E141" i="1"/>
  <c r="F141" i="1" s="1"/>
  <c r="H141" i="1" s="1"/>
  <c r="E142" i="1"/>
  <c r="F142" i="1" s="1"/>
  <c r="H142" i="1" s="1"/>
  <c r="E143" i="1"/>
  <c r="F143" i="1" s="1"/>
  <c r="H143" i="1" s="1"/>
  <c r="E144" i="1"/>
  <c r="F144" i="1" s="1"/>
  <c r="H144" i="1" s="1"/>
  <c r="E145" i="1"/>
  <c r="F145" i="1" s="1"/>
  <c r="H145" i="1" s="1"/>
  <c r="E146" i="1"/>
  <c r="F146" i="1" s="1"/>
  <c r="H146" i="1" s="1"/>
  <c r="E147" i="1"/>
  <c r="F147" i="1" s="1"/>
  <c r="H147" i="1" s="1"/>
  <c r="E148" i="1"/>
  <c r="F148" i="1" s="1"/>
  <c r="H148" i="1" s="1"/>
  <c r="E149" i="1"/>
  <c r="F149" i="1" s="1"/>
  <c r="H149" i="1" s="1"/>
  <c r="E150" i="1"/>
  <c r="F150" i="1" s="1"/>
  <c r="H150" i="1" s="1"/>
  <c r="E151" i="1"/>
  <c r="F151" i="1" s="1"/>
  <c r="H151" i="1" s="1"/>
  <c r="E152" i="1"/>
  <c r="F152" i="1" s="1"/>
  <c r="H152" i="1" s="1"/>
  <c r="E153" i="1"/>
  <c r="F153" i="1" s="1"/>
  <c r="H153" i="1" s="1"/>
  <c r="E154" i="1"/>
  <c r="F154" i="1" s="1"/>
  <c r="H154" i="1" s="1"/>
  <c r="E155" i="1"/>
  <c r="F155" i="1" s="1"/>
  <c r="H155" i="1" s="1"/>
  <c r="E156" i="1"/>
  <c r="F156" i="1" s="1"/>
  <c r="H156" i="1" s="1"/>
  <c r="E157" i="1"/>
  <c r="F157" i="1" s="1"/>
  <c r="H157" i="1" s="1"/>
  <c r="E158" i="1"/>
  <c r="F158" i="1" s="1"/>
  <c r="H158" i="1" s="1"/>
  <c r="E159" i="1"/>
  <c r="F159" i="1" s="1"/>
  <c r="H159" i="1" s="1"/>
  <c r="E160" i="1"/>
  <c r="F160" i="1" s="1"/>
  <c r="H160" i="1" s="1"/>
  <c r="E161" i="1"/>
  <c r="F161" i="1" s="1"/>
  <c r="H161" i="1" s="1"/>
  <c r="E162" i="1"/>
  <c r="F162" i="1" s="1"/>
  <c r="H162" i="1" s="1"/>
  <c r="E163" i="1"/>
  <c r="F163" i="1" s="1"/>
  <c r="H163" i="1" s="1"/>
  <c r="E164" i="1"/>
  <c r="F164" i="1" s="1"/>
  <c r="H164" i="1" s="1"/>
  <c r="E165" i="1"/>
  <c r="F165" i="1" s="1"/>
  <c r="H165" i="1" s="1"/>
  <c r="E166" i="1"/>
  <c r="F166" i="1" s="1"/>
  <c r="H166" i="1" s="1"/>
  <c r="E167" i="1"/>
  <c r="F167" i="1" s="1"/>
  <c r="H167" i="1" s="1"/>
  <c r="E168" i="1"/>
  <c r="F168" i="1" s="1"/>
  <c r="H168" i="1" s="1"/>
  <c r="E169" i="1"/>
  <c r="F169" i="1" s="1"/>
  <c r="H169" i="1" s="1"/>
  <c r="E170" i="1"/>
  <c r="F170" i="1" s="1"/>
  <c r="H170" i="1" s="1"/>
  <c r="E171" i="1"/>
  <c r="F171" i="1" s="1"/>
  <c r="H171" i="1" s="1"/>
  <c r="E172" i="1"/>
  <c r="F172" i="1" s="1"/>
  <c r="H172" i="1" s="1"/>
  <c r="E173" i="1"/>
  <c r="F173" i="1" s="1"/>
  <c r="H173" i="1" s="1"/>
  <c r="E174" i="1"/>
  <c r="F174" i="1" s="1"/>
  <c r="H174" i="1" s="1"/>
  <c r="E175" i="1"/>
  <c r="F175" i="1" s="1"/>
  <c r="H175" i="1" s="1"/>
  <c r="E176" i="1"/>
  <c r="F176" i="1" s="1"/>
  <c r="H176" i="1" s="1"/>
  <c r="E177" i="1"/>
  <c r="F177" i="1" s="1"/>
  <c r="H177" i="1" s="1"/>
  <c r="E178" i="1"/>
  <c r="F178" i="1" s="1"/>
  <c r="H178" i="1" s="1"/>
  <c r="E179" i="1"/>
  <c r="F179" i="1" s="1"/>
  <c r="H179" i="1" s="1"/>
  <c r="E180" i="1"/>
  <c r="F180" i="1" s="1"/>
  <c r="H180" i="1" s="1"/>
  <c r="E181" i="1"/>
  <c r="F181" i="1" s="1"/>
  <c r="H181" i="1" s="1"/>
  <c r="E182" i="1"/>
  <c r="F182" i="1" s="1"/>
  <c r="H182" i="1" s="1"/>
  <c r="E183" i="1"/>
  <c r="F183" i="1" s="1"/>
  <c r="H183" i="1" s="1"/>
  <c r="E184" i="1"/>
  <c r="F184" i="1" s="1"/>
  <c r="H184" i="1" s="1"/>
  <c r="E185" i="1"/>
  <c r="F185" i="1" s="1"/>
  <c r="H185" i="1" s="1"/>
  <c r="E186" i="1"/>
  <c r="F186" i="1" s="1"/>
  <c r="H186" i="1" s="1"/>
  <c r="E187" i="1"/>
  <c r="F187" i="1" s="1"/>
  <c r="H187" i="1" s="1"/>
  <c r="E57" i="1"/>
  <c r="F57" i="1" s="1"/>
  <c r="H57" i="1" s="1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F11" i="1" s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" i="1"/>
  <c r="F2" i="1" s="1"/>
  <c r="H2" i="1" s="1"/>
  <c r="E3" i="2"/>
  <c r="F3" i="2" s="1"/>
  <c r="H3" i="2" s="1"/>
  <c r="E4" i="2"/>
  <c r="F4" i="2" s="1"/>
  <c r="H4" i="2" s="1"/>
  <c r="E5" i="2"/>
  <c r="F5" i="2" s="1"/>
  <c r="H5" i="2" s="1"/>
  <c r="E6" i="2"/>
  <c r="F6" i="2" s="1"/>
  <c r="H6" i="2" s="1"/>
  <c r="E7" i="2"/>
  <c r="F7" i="2" s="1"/>
  <c r="H7" i="2" s="1"/>
  <c r="E8" i="2"/>
  <c r="F8" i="2" s="1"/>
  <c r="H8" i="2" s="1"/>
  <c r="E9" i="2"/>
  <c r="F9" i="2" s="1"/>
  <c r="H9" i="2" s="1"/>
  <c r="E10" i="2"/>
  <c r="F10" i="2" s="1"/>
  <c r="H10" i="2" s="1"/>
  <c r="E11" i="2"/>
  <c r="F11" i="2" s="1"/>
  <c r="H11" i="2" s="1"/>
  <c r="E12" i="2"/>
  <c r="F12" i="2" s="1"/>
  <c r="H12" i="2" s="1"/>
  <c r="E13" i="2"/>
  <c r="F13" i="2" s="1"/>
  <c r="H13" i="2" s="1"/>
  <c r="E14" i="2"/>
  <c r="F14" i="2" s="1"/>
  <c r="H14" i="2" s="1"/>
  <c r="E15" i="2"/>
  <c r="F15" i="2" s="1"/>
  <c r="H15" i="2" s="1"/>
  <c r="E16" i="2"/>
  <c r="F16" i="2" s="1"/>
  <c r="H16" i="2" s="1"/>
  <c r="E17" i="2"/>
  <c r="F17" i="2" s="1"/>
  <c r="H17" i="2" s="1"/>
  <c r="E18" i="2"/>
  <c r="F18" i="2" s="1"/>
  <c r="H18" i="2" s="1"/>
  <c r="E19" i="2"/>
  <c r="F19" i="2" s="1"/>
  <c r="H19" i="2" s="1"/>
  <c r="E20" i="2"/>
  <c r="F20" i="2" s="1"/>
  <c r="H20" i="2" s="1"/>
  <c r="E21" i="2"/>
  <c r="F21" i="2" s="1"/>
  <c r="H21" i="2" s="1"/>
  <c r="E22" i="2"/>
  <c r="F22" i="2" s="1"/>
  <c r="H22" i="2" s="1"/>
  <c r="E23" i="2"/>
  <c r="F23" i="2" s="1"/>
  <c r="H23" i="2" s="1"/>
  <c r="E24" i="2"/>
  <c r="F24" i="2" s="1"/>
  <c r="H24" i="2" s="1"/>
  <c r="E25" i="2"/>
  <c r="F25" i="2" s="1"/>
  <c r="H25" i="2" s="1"/>
  <c r="E26" i="2"/>
  <c r="F26" i="2" s="1"/>
  <c r="H26" i="2" s="1"/>
  <c r="E27" i="2"/>
  <c r="F27" i="2" s="1"/>
  <c r="H27" i="2" s="1"/>
  <c r="E28" i="2"/>
  <c r="F28" i="2" s="1"/>
  <c r="H28" i="2" s="1"/>
  <c r="E29" i="2"/>
  <c r="F29" i="2" s="1"/>
  <c r="H29" i="2" s="1"/>
  <c r="E30" i="2"/>
  <c r="F30" i="2" s="1"/>
  <c r="H30" i="2" s="1"/>
  <c r="E31" i="2"/>
  <c r="F31" i="2" s="1"/>
  <c r="H31" i="2" s="1"/>
  <c r="E32" i="2"/>
  <c r="F32" i="2" s="1"/>
  <c r="H32" i="2" s="1"/>
  <c r="E33" i="2"/>
  <c r="F33" i="2" s="1"/>
  <c r="H33" i="2" s="1"/>
  <c r="E34" i="2"/>
  <c r="F34" i="2" s="1"/>
  <c r="H34" i="2" s="1"/>
  <c r="E35" i="2"/>
  <c r="F35" i="2" s="1"/>
  <c r="H35" i="2" s="1"/>
  <c r="E36" i="2"/>
  <c r="F36" i="2" s="1"/>
  <c r="H36" i="2" s="1"/>
  <c r="E37" i="2"/>
  <c r="F37" i="2" s="1"/>
  <c r="H37" i="2" s="1"/>
  <c r="E38" i="2"/>
  <c r="F38" i="2" s="1"/>
  <c r="H38" i="2" s="1"/>
  <c r="E39" i="2"/>
  <c r="F39" i="2" s="1"/>
  <c r="H39" i="2" s="1"/>
  <c r="E40" i="2"/>
  <c r="F40" i="2" s="1"/>
  <c r="H40" i="2" s="1"/>
  <c r="E41" i="2"/>
  <c r="F41" i="2" s="1"/>
  <c r="H41" i="2" s="1"/>
  <c r="E42" i="2"/>
  <c r="F42" i="2" s="1"/>
  <c r="H42" i="2" s="1"/>
  <c r="E43" i="2"/>
  <c r="F43" i="2" s="1"/>
  <c r="H43" i="2" s="1"/>
  <c r="E44" i="2"/>
  <c r="F44" i="2" s="1"/>
  <c r="H44" i="2" s="1"/>
  <c r="E45" i="2"/>
  <c r="F45" i="2" s="1"/>
  <c r="H45" i="2" s="1"/>
  <c r="E46" i="2"/>
  <c r="F46" i="2" s="1"/>
  <c r="H46" i="2" s="1"/>
  <c r="E47" i="2"/>
  <c r="F47" i="2" s="1"/>
  <c r="H47" i="2" s="1"/>
  <c r="E48" i="2"/>
  <c r="F48" i="2" s="1"/>
  <c r="H48" i="2" s="1"/>
  <c r="E49" i="2"/>
  <c r="F49" i="2" s="1"/>
  <c r="H49" i="2" s="1"/>
  <c r="E50" i="2"/>
  <c r="F50" i="2" s="1"/>
  <c r="H50" i="2" s="1"/>
  <c r="E51" i="2"/>
  <c r="F51" i="2" s="1"/>
  <c r="H51" i="2" s="1"/>
  <c r="E52" i="2"/>
  <c r="F52" i="2" s="1"/>
  <c r="H52" i="2" s="1"/>
  <c r="E53" i="2"/>
  <c r="F53" i="2" s="1"/>
  <c r="H53" i="2" s="1"/>
  <c r="E54" i="2"/>
  <c r="F54" i="2" s="1"/>
  <c r="H54" i="2" s="1"/>
  <c r="E55" i="2"/>
  <c r="F55" i="2" s="1"/>
  <c r="H55" i="2" s="1"/>
  <c r="E56" i="2"/>
  <c r="F56" i="2" s="1"/>
  <c r="H56" i="2" s="1"/>
  <c r="E57" i="2"/>
  <c r="F57" i="2" s="1"/>
  <c r="H57" i="2" s="1"/>
  <c r="E58" i="2"/>
  <c r="F58" i="2" s="1"/>
  <c r="H58" i="2" s="1"/>
  <c r="E59" i="2"/>
  <c r="F59" i="2" s="1"/>
  <c r="H59" i="2" s="1"/>
  <c r="E60" i="2"/>
  <c r="F60" i="2" s="1"/>
  <c r="H60" i="2" s="1"/>
  <c r="E61" i="2"/>
  <c r="F61" i="2" s="1"/>
  <c r="H61" i="2" s="1"/>
  <c r="E62" i="2"/>
  <c r="F62" i="2" s="1"/>
  <c r="H62" i="2" s="1"/>
  <c r="E63" i="2"/>
  <c r="F63" i="2" s="1"/>
  <c r="H63" i="2" s="1"/>
  <c r="E64" i="2"/>
  <c r="F64" i="2" s="1"/>
  <c r="H64" i="2" s="1"/>
  <c r="E65" i="2"/>
  <c r="F65" i="2" s="1"/>
  <c r="H65" i="2" s="1"/>
  <c r="E66" i="2"/>
  <c r="F66" i="2" s="1"/>
  <c r="H66" i="2" s="1"/>
  <c r="E67" i="2"/>
  <c r="F67" i="2" s="1"/>
  <c r="H67" i="2" s="1"/>
  <c r="E68" i="2"/>
  <c r="F68" i="2" s="1"/>
  <c r="H68" i="2" s="1"/>
  <c r="E69" i="2"/>
  <c r="F69" i="2" s="1"/>
  <c r="H69" i="2" s="1"/>
  <c r="E70" i="2"/>
  <c r="F70" i="2" s="1"/>
  <c r="H70" i="2" s="1"/>
  <c r="E71" i="2"/>
  <c r="F71" i="2" s="1"/>
  <c r="H71" i="2" s="1"/>
  <c r="E72" i="2"/>
  <c r="F72" i="2" s="1"/>
  <c r="H72" i="2" s="1"/>
  <c r="E73" i="2"/>
  <c r="F73" i="2" s="1"/>
  <c r="H73" i="2" s="1"/>
  <c r="E74" i="2"/>
  <c r="F74" i="2" s="1"/>
  <c r="H74" i="2" s="1"/>
  <c r="E75" i="2"/>
  <c r="F75" i="2" s="1"/>
  <c r="H75" i="2" s="1"/>
  <c r="E76" i="2"/>
  <c r="F76" i="2" s="1"/>
  <c r="H76" i="2" s="1"/>
  <c r="E77" i="2"/>
  <c r="F77" i="2" s="1"/>
  <c r="H77" i="2" s="1"/>
  <c r="E78" i="2"/>
  <c r="F78" i="2" s="1"/>
  <c r="H78" i="2" s="1"/>
  <c r="E79" i="2"/>
  <c r="F79" i="2" s="1"/>
  <c r="H79" i="2" s="1"/>
  <c r="E80" i="2"/>
  <c r="F80" i="2" s="1"/>
  <c r="H80" i="2" s="1"/>
  <c r="E81" i="2"/>
  <c r="F81" i="2" s="1"/>
  <c r="H81" i="2" s="1"/>
  <c r="E82" i="2"/>
  <c r="F82" i="2" s="1"/>
  <c r="H82" i="2" s="1"/>
  <c r="E83" i="2"/>
  <c r="F83" i="2" s="1"/>
  <c r="H83" i="2" s="1"/>
  <c r="E84" i="2"/>
  <c r="F84" i="2" s="1"/>
  <c r="H84" i="2" s="1"/>
  <c r="E85" i="2"/>
  <c r="F85" i="2" s="1"/>
  <c r="H85" i="2" s="1"/>
  <c r="E86" i="2"/>
  <c r="F86" i="2" s="1"/>
  <c r="H86" i="2" s="1"/>
  <c r="E87" i="2"/>
  <c r="F87" i="2" s="1"/>
  <c r="H87" i="2" s="1"/>
  <c r="E88" i="2"/>
  <c r="F88" i="2" s="1"/>
  <c r="H88" i="2" s="1"/>
  <c r="E89" i="2"/>
  <c r="F89" i="2" s="1"/>
  <c r="H89" i="2" s="1"/>
  <c r="E90" i="2"/>
  <c r="F90" i="2" s="1"/>
  <c r="H90" i="2" s="1"/>
  <c r="E91" i="2"/>
  <c r="F91" i="2" s="1"/>
  <c r="H91" i="2" s="1"/>
  <c r="E92" i="2"/>
  <c r="F92" i="2" s="1"/>
  <c r="H92" i="2" s="1"/>
  <c r="E93" i="2"/>
  <c r="F93" i="2" s="1"/>
  <c r="H93" i="2" s="1"/>
  <c r="E94" i="2"/>
  <c r="F94" i="2" s="1"/>
  <c r="H94" i="2" s="1"/>
  <c r="E95" i="2"/>
  <c r="F95" i="2" s="1"/>
  <c r="H95" i="2" s="1"/>
  <c r="E96" i="2"/>
  <c r="F96" i="2" s="1"/>
  <c r="H96" i="2" s="1"/>
  <c r="E97" i="2"/>
  <c r="F97" i="2" s="1"/>
  <c r="H97" i="2" s="1"/>
  <c r="E98" i="2"/>
  <c r="F98" i="2" s="1"/>
  <c r="H98" i="2" s="1"/>
  <c r="E99" i="2"/>
  <c r="F99" i="2" s="1"/>
  <c r="H99" i="2" s="1"/>
  <c r="E100" i="2"/>
  <c r="F100" i="2" s="1"/>
  <c r="H100" i="2" s="1"/>
  <c r="E101" i="2"/>
  <c r="F101" i="2" s="1"/>
  <c r="H101" i="2" s="1"/>
  <c r="E102" i="2"/>
  <c r="F102" i="2" s="1"/>
  <c r="H102" i="2" s="1"/>
  <c r="E103" i="2"/>
  <c r="F103" i="2" s="1"/>
  <c r="H103" i="2" s="1"/>
  <c r="E104" i="2"/>
  <c r="F104" i="2" s="1"/>
  <c r="H104" i="2" s="1"/>
  <c r="E105" i="2"/>
  <c r="F105" i="2" s="1"/>
  <c r="H105" i="2" s="1"/>
  <c r="E106" i="2"/>
  <c r="F106" i="2" s="1"/>
  <c r="H106" i="2" s="1"/>
  <c r="E107" i="2"/>
  <c r="F107" i="2" s="1"/>
  <c r="H107" i="2" s="1"/>
  <c r="E108" i="2"/>
  <c r="F108" i="2" s="1"/>
  <c r="H108" i="2" s="1"/>
  <c r="E109" i="2"/>
  <c r="F109" i="2" s="1"/>
  <c r="H109" i="2" s="1"/>
  <c r="E110" i="2"/>
  <c r="F110" i="2" s="1"/>
  <c r="H110" i="2" s="1"/>
  <c r="E111" i="2"/>
  <c r="F111" i="2" s="1"/>
  <c r="H111" i="2" s="1"/>
  <c r="E112" i="2"/>
  <c r="F112" i="2" s="1"/>
  <c r="H112" i="2" s="1"/>
  <c r="E113" i="2"/>
  <c r="F113" i="2" s="1"/>
  <c r="H113" i="2" s="1"/>
  <c r="E114" i="2"/>
  <c r="F114" i="2" s="1"/>
  <c r="H114" i="2" s="1"/>
  <c r="E115" i="2"/>
  <c r="F115" i="2" s="1"/>
  <c r="H115" i="2" s="1"/>
  <c r="E116" i="2"/>
  <c r="F116" i="2" s="1"/>
  <c r="H116" i="2" s="1"/>
  <c r="E117" i="2"/>
  <c r="F117" i="2" s="1"/>
  <c r="H117" i="2" s="1"/>
  <c r="E118" i="2"/>
  <c r="F118" i="2" s="1"/>
  <c r="H118" i="2" s="1"/>
  <c r="E119" i="2"/>
  <c r="F119" i="2" s="1"/>
  <c r="H119" i="2" s="1"/>
  <c r="E120" i="2"/>
  <c r="F120" i="2" s="1"/>
  <c r="H120" i="2" s="1"/>
  <c r="E121" i="2"/>
  <c r="F121" i="2" s="1"/>
  <c r="H121" i="2" s="1"/>
  <c r="E122" i="2"/>
  <c r="F122" i="2" s="1"/>
  <c r="H122" i="2" s="1"/>
  <c r="E123" i="2"/>
  <c r="F123" i="2" s="1"/>
  <c r="H123" i="2" s="1"/>
  <c r="E124" i="2"/>
  <c r="F124" i="2" s="1"/>
  <c r="H124" i="2" s="1"/>
  <c r="E125" i="2"/>
  <c r="F125" i="2" s="1"/>
  <c r="H125" i="2" s="1"/>
  <c r="E126" i="2"/>
  <c r="F126" i="2" s="1"/>
  <c r="H126" i="2" s="1"/>
  <c r="E127" i="2"/>
  <c r="F127" i="2" s="1"/>
  <c r="H127" i="2" s="1"/>
  <c r="E128" i="2"/>
  <c r="F128" i="2" s="1"/>
  <c r="H128" i="2" s="1"/>
  <c r="E129" i="2"/>
  <c r="F129" i="2" s="1"/>
  <c r="H129" i="2" s="1"/>
  <c r="E130" i="2"/>
  <c r="F130" i="2" s="1"/>
  <c r="H130" i="2" s="1"/>
  <c r="E131" i="2"/>
  <c r="F131" i="2" s="1"/>
  <c r="H131" i="2" s="1"/>
  <c r="E132" i="2"/>
  <c r="F132" i="2" s="1"/>
  <c r="H132" i="2" s="1"/>
  <c r="E133" i="2"/>
  <c r="F133" i="2" s="1"/>
  <c r="H133" i="2" s="1"/>
  <c r="E134" i="2"/>
  <c r="F134" i="2" s="1"/>
  <c r="H134" i="2" s="1"/>
  <c r="E135" i="2"/>
  <c r="F135" i="2" s="1"/>
  <c r="H135" i="2" s="1"/>
  <c r="E136" i="2"/>
  <c r="F136" i="2" s="1"/>
  <c r="H136" i="2" s="1"/>
  <c r="E137" i="2"/>
  <c r="F137" i="2" s="1"/>
  <c r="H137" i="2" s="1"/>
  <c r="E138" i="2"/>
  <c r="F138" i="2" s="1"/>
  <c r="H138" i="2" s="1"/>
  <c r="E139" i="2"/>
  <c r="F139" i="2" s="1"/>
  <c r="H139" i="2" s="1"/>
  <c r="E140" i="2"/>
  <c r="F140" i="2" s="1"/>
  <c r="H140" i="2" s="1"/>
  <c r="E141" i="2"/>
  <c r="F141" i="2" s="1"/>
  <c r="H141" i="2" s="1"/>
  <c r="E142" i="2"/>
  <c r="F142" i="2" s="1"/>
  <c r="H142" i="2" s="1"/>
  <c r="E143" i="2"/>
  <c r="F143" i="2" s="1"/>
  <c r="H143" i="2" s="1"/>
  <c r="E144" i="2"/>
  <c r="F144" i="2" s="1"/>
  <c r="H144" i="2" s="1"/>
  <c r="E145" i="2"/>
  <c r="F145" i="2" s="1"/>
  <c r="H145" i="2" s="1"/>
  <c r="E146" i="2"/>
  <c r="F146" i="2" s="1"/>
  <c r="H146" i="2" s="1"/>
  <c r="E147" i="2"/>
  <c r="F147" i="2" s="1"/>
  <c r="H147" i="2" s="1"/>
  <c r="E148" i="2"/>
  <c r="F148" i="2" s="1"/>
  <c r="H148" i="2" s="1"/>
  <c r="E149" i="2"/>
  <c r="F149" i="2" s="1"/>
  <c r="H149" i="2" s="1"/>
  <c r="E150" i="2"/>
  <c r="F150" i="2" s="1"/>
  <c r="H150" i="2" s="1"/>
  <c r="E151" i="2"/>
  <c r="F151" i="2" s="1"/>
  <c r="H151" i="2" s="1"/>
  <c r="E152" i="2"/>
  <c r="F152" i="2" s="1"/>
  <c r="H152" i="2" s="1"/>
  <c r="E153" i="2"/>
  <c r="F153" i="2" s="1"/>
  <c r="H153" i="2" s="1"/>
  <c r="E154" i="2"/>
  <c r="F154" i="2" s="1"/>
  <c r="H154" i="2" s="1"/>
  <c r="E155" i="2"/>
  <c r="F155" i="2" s="1"/>
  <c r="H155" i="2" s="1"/>
  <c r="E156" i="2"/>
  <c r="F156" i="2" s="1"/>
  <c r="H156" i="2" s="1"/>
  <c r="E157" i="2"/>
  <c r="F157" i="2" s="1"/>
  <c r="H157" i="2" s="1"/>
  <c r="E158" i="2"/>
  <c r="F158" i="2" s="1"/>
  <c r="H158" i="2" s="1"/>
  <c r="E159" i="2"/>
  <c r="F159" i="2" s="1"/>
  <c r="H159" i="2" s="1"/>
  <c r="E160" i="2"/>
  <c r="F160" i="2" s="1"/>
  <c r="H160" i="2" s="1"/>
  <c r="E161" i="2"/>
  <c r="F161" i="2" s="1"/>
  <c r="H161" i="2" s="1"/>
  <c r="E162" i="2"/>
  <c r="F162" i="2" s="1"/>
  <c r="H162" i="2" s="1"/>
  <c r="E163" i="2"/>
  <c r="F163" i="2" s="1"/>
  <c r="H163" i="2" s="1"/>
  <c r="E164" i="2"/>
  <c r="F164" i="2" s="1"/>
  <c r="H164" i="2" s="1"/>
  <c r="E165" i="2"/>
  <c r="F165" i="2" s="1"/>
  <c r="H165" i="2" s="1"/>
  <c r="E166" i="2"/>
  <c r="F166" i="2" s="1"/>
  <c r="H166" i="2" s="1"/>
  <c r="E167" i="2"/>
  <c r="F167" i="2" s="1"/>
  <c r="H167" i="2" s="1"/>
  <c r="E168" i="2"/>
  <c r="F168" i="2" s="1"/>
  <c r="H168" i="2" s="1"/>
  <c r="E169" i="2"/>
  <c r="F169" i="2" s="1"/>
  <c r="H169" i="2" s="1"/>
  <c r="E170" i="2"/>
  <c r="F170" i="2" s="1"/>
  <c r="H170" i="2" s="1"/>
  <c r="E171" i="2"/>
  <c r="F171" i="2" s="1"/>
  <c r="H171" i="2" s="1"/>
  <c r="E172" i="2"/>
  <c r="F172" i="2" s="1"/>
  <c r="H172" i="2" s="1"/>
  <c r="E173" i="2"/>
  <c r="F173" i="2" s="1"/>
  <c r="H173" i="2" s="1"/>
  <c r="E174" i="2"/>
  <c r="F174" i="2" s="1"/>
  <c r="H174" i="2" s="1"/>
  <c r="E175" i="2"/>
  <c r="F175" i="2" s="1"/>
  <c r="H175" i="2" s="1"/>
  <c r="E176" i="2"/>
  <c r="F176" i="2" s="1"/>
  <c r="H176" i="2" s="1"/>
  <c r="E177" i="2"/>
  <c r="F177" i="2" s="1"/>
  <c r="H177" i="2" s="1"/>
  <c r="E178" i="2"/>
  <c r="F178" i="2" s="1"/>
  <c r="H178" i="2" s="1"/>
  <c r="E179" i="2"/>
  <c r="F179" i="2" s="1"/>
  <c r="H179" i="2" s="1"/>
  <c r="E180" i="2"/>
  <c r="F180" i="2" s="1"/>
  <c r="H180" i="2" s="1"/>
  <c r="E181" i="2"/>
  <c r="F181" i="2" s="1"/>
  <c r="H181" i="2" s="1"/>
  <c r="E182" i="2"/>
  <c r="F182" i="2" s="1"/>
  <c r="H182" i="2" s="1"/>
  <c r="E183" i="2"/>
  <c r="F183" i="2" s="1"/>
  <c r="H183" i="2" s="1"/>
  <c r="E184" i="2"/>
  <c r="F184" i="2" s="1"/>
  <c r="H184" i="2" s="1"/>
  <c r="E185" i="2"/>
  <c r="F185" i="2" s="1"/>
  <c r="H185" i="2" s="1"/>
  <c r="E186" i="2"/>
  <c r="F186" i="2" s="1"/>
  <c r="H186" i="2" s="1"/>
  <c r="E187" i="2"/>
  <c r="F187" i="2" s="1"/>
  <c r="H187" i="2" s="1"/>
  <c r="E188" i="2"/>
  <c r="F188" i="2" s="1"/>
  <c r="H188" i="2" s="1"/>
  <c r="E189" i="2"/>
  <c r="F189" i="2" s="1"/>
  <c r="H189" i="2" s="1"/>
  <c r="E190" i="2"/>
  <c r="F190" i="2" s="1"/>
  <c r="H190" i="2" s="1"/>
  <c r="E191" i="2"/>
  <c r="F191" i="2" s="1"/>
  <c r="H191" i="2" s="1"/>
  <c r="E2" i="2"/>
  <c r="F2" i="2" s="1"/>
  <c r="H2" i="2" s="1"/>
  <c r="E17" i="4"/>
  <c r="F17" i="4" s="1"/>
  <c r="H17" i="4" s="1"/>
  <c r="E18" i="4"/>
  <c r="F18" i="4" s="1"/>
  <c r="H18" i="4" s="1"/>
  <c r="E19" i="4"/>
  <c r="F19" i="4" s="1"/>
  <c r="H19" i="4" s="1"/>
  <c r="E20" i="4"/>
  <c r="F20" i="4" s="1"/>
  <c r="H20" i="4" s="1"/>
  <c r="E21" i="4"/>
  <c r="F21" i="4" s="1"/>
  <c r="H21" i="4" s="1"/>
  <c r="E22" i="4"/>
  <c r="F22" i="4" s="1"/>
  <c r="H22" i="4" s="1"/>
  <c r="E23" i="4"/>
  <c r="F23" i="4" s="1"/>
  <c r="H23" i="4" s="1"/>
  <c r="E24" i="4"/>
  <c r="F24" i="4" s="1"/>
  <c r="H24" i="4" s="1"/>
  <c r="E25" i="4"/>
  <c r="F25" i="4" s="1"/>
  <c r="H25" i="4" s="1"/>
  <c r="E26" i="4"/>
  <c r="F26" i="4" s="1"/>
  <c r="H26" i="4" s="1"/>
  <c r="E27" i="4"/>
  <c r="F27" i="4" s="1"/>
  <c r="H27" i="4" s="1"/>
  <c r="E3" i="4"/>
  <c r="F3" i="4" s="1"/>
  <c r="H3" i="4" s="1"/>
  <c r="E4" i="4"/>
  <c r="F4" i="4" s="1"/>
  <c r="H4" i="4" s="1"/>
  <c r="E5" i="4"/>
  <c r="F5" i="4" s="1"/>
  <c r="H5" i="4" s="1"/>
  <c r="E6" i="4"/>
  <c r="F6" i="4" s="1"/>
  <c r="H6" i="4" s="1"/>
  <c r="E7" i="4"/>
  <c r="F7" i="4" s="1"/>
  <c r="H7" i="4" s="1"/>
  <c r="E8" i="4"/>
  <c r="F8" i="4" s="1"/>
  <c r="H8" i="4" s="1"/>
  <c r="E9" i="4"/>
  <c r="F9" i="4" s="1"/>
  <c r="H9" i="4" s="1"/>
  <c r="E10" i="4"/>
  <c r="F10" i="4" s="1"/>
  <c r="H10" i="4" s="1"/>
  <c r="E11" i="4"/>
  <c r="F11" i="4" s="1"/>
  <c r="H11" i="4" s="1"/>
  <c r="E12" i="4"/>
  <c r="F12" i="4" s="1"/>
  <c r="H12" i="4" s="1"/>
  <c r="E13" i="4"/>
  <c r="F13" i="4" s="1"/>
  <c r="H13" i="4" s="1"/>
  <c r="E14" i="4"/>
  <c r="F14" i="4" s="1"/>
  <c r="H14" i="4" s="1"/>
  <c r="E15" i="4"/>
  <c r="F15" i="4" s="1"/>
  <c r="H15" i="4" s="1"/>
  <c r="E16" i="4"/>
  <c r="F16" i="4" s="1"/>
  <c r="H16" i="4" s="1"/>
  <c r="E2" i="4"/>
  <c r="F2" i="4" s="1"/>
  <c r="H2" i="4" s="1"/>
  <c r="E3" i="5"/>
  <c r="F3" i="5" s="1"/>
  <c r="H3" i="5" s="1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13" i="5"/>
  <c r="F13" i="5" s="1"/>
  <c r="H13" i="5" s="1"/>
  <c r="E14" i="5"/>
  <c r="F14" i="5" s="1"/>
  <c r="H14" i="5" s="1"/>
  <c r="E15" i="5"/>
  <c r="F15" i="5" s="1"/>
  <c r="H15" i="5" s="1"/>
  <c r="E16" i="5"/>
  <c r="F16" i="5" s="1"/>
  <c r="H16" i="5" s="1"/>
  <c r="E17" i="5"/>
  <c r="F17" i="5" s="1"/>
  <c r="H17" i="5" s="1"/>
  <c r="E18" i="5"/>
  <c r="F18" i="5" s="1"/>
  <c r="H18" i="5" s="1"/>
  <c r="E19" i="5"/>
  <c r="F19" i="5" s="1"/>
  <c r="H19" i="5" s="1"/>
  <c r="E20" i="5"/>
  <c r="F20" i="5" s="1"/>
  <c r="H20" i="5" s="1"/>
  <c r="E21" i="5"/>
  <c r="F21" i="5" s="1"/>
  <c r="H21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26" i="5"/>
  <c r="F26" i="5" s="1"/>
  <c r="H26" i="5" s="1"/>
  <c r="E27" i="5"/>
  <c r="F27" i="5" s="1"/>
  <c r="H27" i="5" s="1"/>
  <c r="E28" i="5"/>
  <c r="F28" i="5" s="1"/>
  <c r="H28" i="5" s="1"/>
  <c r="E2" i="5"/>
  <c r="F2" i="5" s="1"/>
  <c r="H2" i="5" s="1"/>
  <c r="L3" i="5" l="1"/>
  <c r="L3" i="4"/>
  <c r="M3" i="2"/>
  <c r="L3" i="2"/>
  <c r="I188" i="2"/>
  <c r="I189" i="2"/>
  <c r="I190" i="2"/>
  <c r="I191" i="2"/>
  <c r="M3" i="1"/>
  <c r="L3" i="1"/>
  <c r="M3" i="7"/>
  <c r="L3" i="7"/>
  <c r="M3" i="6"/>
  <c r="L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2" i="6"/>
  <c r="I2" i="7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L4" i="5" l="1"/>
  <c r="L5" i="5" s="1"/>
  <c r="L4" i="4"/>
  <c r="L5" i="4" s="1"/>
  <c r="M4" i="2"/>
  <c r="M5" i="2" s="1"/>
  <c r="L4" i="2"/>
  <c r="L5" i="2" s="1"/>
  <c r="M4" i="1"/>
  <c r="M5" i="1" s="1"/>
  <c r="L4" i="1"/>
  <c r="L5" i="1" s="1"/>
  <c r="M4" i="7"/>
  <c r="M5" i="7" s="1"/>
  <c r="L4" i="7"/>
  <c r="L5" i="7" s="1"/>
  <c r="M4" i="6"/>
  <c r="M5" i="6" s="1"/>
  <c r="L4" i="6"/>
  <c r="L5" i="6" s="1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87" i="1" l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<sst xmlns="http://schemas.openxmlformats.org/spreadsheetml/2006/main" count="834" uniqueCount="726">
  <si>
    <t>All values</t>
  </si>
  <si>
    <t>0-500 s</t>
  </si>
  <si>
    <t>Tau:</t>
  </si>
  <si>
    <t>s</t>
  </si>
  <si>
    <t>min</t>
  </si>
  <si>
    <t>h</t>
  </si>
  <si>
    <t>0-1000 s</t>
  </si>
  <si>
    <t>Freq</t>
  </si>
  <si>
    <t>Magnitude</t>
  </si>
  <si>
    <t>Phase</t>
  </si>
  <si>
    <t>Time (date)</t>
  </si>
  <si>
    <t>Magnitude - R</t>
  </si>
  <si>
    <t>Time[s]</t>
  </si>
  <si>
    <t>ln(Magnitude)</t>
  </si>
  <si>
    <t>Serie Resistor</t>
  </si>
  <si>
    <t>Baseline</t>
  </si>
  <si>
    <t>Bread Magnitude - Baseline</t>
  </si>
  <si>
    <t>ln with baseline</t>
  </si>
  <si>
    <t>Cu_1stPhase</t>
  </si>
  <si>
    <t>PANI_1stPhase</t>
  </si>
  <si>
    <t>Summary</t>
  </si>
  <si>
    <t>PANI_3rdPhase</t>
  </si>
  <si>
    <t>Cu_3rdPhase</t>
  </si>
  <si>
    <t>PANI_2ndPhase</t>
  </si>
  <si>
    <t>Cu_2ndPhase</t>
  </si>
  <si>
    <t>Slope</t>
  </si>
  <si>
    <t>Tau</t>
  </si>
  <si>
    <t>Tue Nov 23 16:10:44 2021</t>
  </si>
  <si>
    <t>Tue Nov 23 15:51:12 2021</t>
  </si>
  <si>
    <t>Tue Nov 23 15:51:21 2021</t>
  </si>
  <si>
    <t>Tue Nov 23 15:51:31 2021</t>
  </si>
  <si>
    <t>Tue Nov 23 15:51:41 2021</t>
  </si>
  <si>
    <t>Tue Nov 23 15:51:52 2021</t>
  </si>
  <si>
    <t>Tue Nov 23 15:52:01 2021</t>
  </si>
  <si>
    <t>Tue Nov 23 15:52:11 2021</t>
  </si>
  <si>
    <t>Tue Nov 23 15:52:22 2021</t>
  </si>
  <si>
    <t>Tue Nov 23 15:52:32 2021</t>
  </si>
  <si>
    <t>Tue Nov 23 15:52:42 2021</t>
  </si>
  <si>
    <t>Tue Nov 23 15:52:51 2021</t>
  </si>
  <si>
    <t>Tue Nov 23 15:53:01 2021</t>
  </si>
  <si>
    <t>Tue Nov 23 15:53:12 2021</t>
  </si>
  <si>
    <t>Tue Nov 23 15:53:22 2021</t>
  </si>
  <si>
    <t>Tue Nov 23 15:53:31 2021</t>
  </si>
  <si>
    <t>Tue Nov 23 15:53:41 2021</t>
  </si>
  <si>
    <t>Tue Nov 23 15:53:52 2021</t>
  </si>
  <si>
    <t>Tue Nov 23 15:54:02 2021</t>
  </si>
  <si>
    <t>Tue Nov 23 15:54:12 2021</t>
  </si>
  <si>
    <t>Tue Nov 23 15:54:22 2021</t>
  </si>
  <si>
    <t>Tue Nov 23 15:54:32 2021</t>
  </si>
  <si>
    <t>Tue Nov 23 15:54:41 2021</t>
  </si>
  <si>
    <t>Tue Nov 23 15:54:52 2021</t>
  </si>
  <si>
    <t>Tue Nov 23 15:55:02 2021</t>
  </si>
  <si>
    <t>Tue Nov 23 15:55:12 2021</t>
  </si>
  <si>
    <t>Tue Nov 23 15:55:22 2021</t>
  </si>
  <si>
    <t>Tue Nov 23 15:55:32 2021</t>
  </si>
  <si>
    <t>Tue Nov 23 15:55:42 2021</t>
  </si>
  <si>
    <t>Tue Nov 23 15:55:52 2021</t>
  </si>
  <si>
    <t>Tue Nov 23 15:56:02 2021</t>
  </si>
  <si>
    <t>Tue Nov 23 15:56:12 2021</t>
  </si>
  <si>
    <t>Tue Nov 23 15:56:22 2021</t>
  </si>
  <si>
    <t>Tue Nov 23 15:56:32 2021</t>
  </si>
  <si>
    <t>Tue Nov 23 15:56:42 2021</t>
  </si>
  <si>
    <t>Tue Nov 23 15:56:52 2021</t>
  </si>
  <si>
    <t>Tue Nov 23 15:57:02 2021</t>
  </si>
  <si>
    <t>Tue Nov 23 15:57:12 2021</t>
  </si>
  <si>
    <t>Tue Nov 23 15:57:22 2021</t>
  </si>
  <si>
    <t>Tue Nov 23 15:57:32 2021</t>
  </si>
  <si>
    <t>Tue Nov 23 15:57:43 2021</t>
  </si>
  <si>
    <t>Tue Nov 23 15:57:52 2021</t>
  </si>
  <si>
    <t>Tue Nov 23 15:58:02 2021</t>
  </si>
  <si>
    <t>Tue Nov 23 15:58:13 2021</t>
  </si>
  <si>
    <t>Tue Nov 23 15:58:22 2021</t>
  </si>
  <si>
    <t>Tue Nov 23 15:58:33 2021</t>
  </si>
  <si>
    <t>Tue Nov 23 15:58:42 2021</t>
  </si>
  <si>
    <t>Tue Nov 23 15:58:53 2021</t>
  </si>
  <si>
    <t>Tue Nov 23 15:59:02 2021</t>
  </si>
  <si>
    <t>Tue Nov 23 15:59:13 2021</t>
  </si>
  <si>
    <t>Tue Nov 23 15:59:22 2021</t>
  </si>
  <si>
    <t>Tue Nov 23 15:59:33 2021</t>
  </si>
  <si>
    <t>Tue Nov 23 15:59:43 2021</t>
  </si>
  <si>
    <t>Tue Nov 23 15:59:53 2021</t>
  </si>
  <si>
    <t>Tue Nov 23 16:00:02 2021</t>
  </si>
  <si>
    <t>Tue Nov 23 16:00:13 2021</t>
  </si>
  <si>
    <t>Tue Nov 23 16:00:23 2021</t>
  </si>
  <si>
    <t>Tue Nov 23 16:00:33 2021</t>
  </si>
  <si>
    <t>Tue Nov 23 16:00:43 2021</t>
  </si>
  <si>
    <t>Tue Nov 23 16:00:53 2021</t>
  </si>
  <si>
    <t>Tue Nov 23 16:01:03 2021</t>
  </si>
  <si>
    <t>Tue Nov 23 16:01:13 2021</t>
  </si>
  <si>
    <t>Tue Nov 23 16:01:23 2021</t>
  </si>
  <si>
    <t>Tue Nov 23 16:01:33 2021</t>
  </si>
  <si>
    <t>Tue Nov 23 16:01:42 2021</t>
  </si>
  <si>
    <t>Tue Nov 23 16:01:53 2021</t>
  </si>
  <si>
    <t>Tue Nov 23 16:02:03 2021</t>
  </si>
  <si>
    <t>Tue Nov 23 16:02:13 2021</t>
  </si>
  <si>
    <t>Tue Nov 23 16:02:23 2021</t>
  </si>
  <si>
    <t>Tue Nov 23 16:02:33 2021</t>
  </si>
  <si>
    <t>Tue Nov 23 16:02:43 2021</t>
  </si>
  <si>
    <t>Tue Nov 23 16:02:53 2021</t>
  </si>
  <si>
    <t>Tue Nov 23 16:03:04 2021</t>
  </si>
  <si>
    <t>Tue Nov 23 16:03:13 2021</t>
  </si>
  <si>
    <t>Tue Nov 23 16:03:23 2021</t>
  </si>
  <si>
    <t>Tue Nov 23 16:03:33 2021</t>
  </si>
  <si>
    <t>Tue Nov 23 16:03:43 2021</t>
  </si>
  <si>
    <t>Tue Nov 23 16:03:53 2021</t>
  </si>
  <si>
    <t>Tue Nov 23 16:04:03 2021</t>
  </si>
  <si>
    <t>Tue Nov 23 16:04:13 2021</t>
  </si>
  <si>
    <t>Tue Nov 23 16:04:23 2021</t>
  </si>
  <si>
    <t>Tue Nov 23 16:04:33 2021</t>
  </si>
  <si>
    <t>Tue Nov 23 16:04:44 2021</t>
  </si>
  <si>
    <t>Tue Nov 23 16:04:53 2021</t>
  </si>
  <si>
    <t>Tue Nov 23 16:05:03 2021</t>
  </si>
  <si>
    <t>Tue Nov 23 16:05:13 2021</t>
  </si>
  <si>
    <t>Tue Nov 23 16:05:23 2021</t>
  </si>
  <si>
    <t>Tue Nov 23 16:05:33 2021</t>
  </si>
  <si>
    <t>Tue Nov 23 16:05:43 2021</t>
  </si>
  <si>
    <t>Tue Nov 23 16:05:53 2021</t>
  </si>
  <si>
    <t>Tue Nov 23 16:06:03 2021</t>
  </si>
  <si>
    <t>Tue Nov 23 16:06:14 2021</t>
  </si>
  <si>
    <t>Tue Nov 23 16:06:23 2021</t>
  </si>
  <si>
    <t>Tue Nov 23 16:06:33 2021</t>
  </si>
  <si>
    <t>Tue Nov 23 16:06:43 2021</t>
  </si>
  <si>
    <t>Tue Nov 23 16:06:53 2021</t>
  </si>
  <si>
    <t>Tue Nov 23 16:07:03 2021</t>
  </si>
  <si>
    <t>Tue Nov 23 16:07:14 2021</t>
  </si>
  <si>
    <t>Tue Nov 23 16:07:23 2021</t>
  </si>
  <si>
    <t>Tue Nov 23 16:07:33 2021</t>
  </si>
  <si>
    <t>Tue Nov 23 16:07:44 2021</t>
  </si>
  <si>
    <t>Tue Nov 23 16:07:53 2021</t>
  </si>
  <si>
    <t>Tue Nov 23 16:08:04 2021</t>
  </si>
  <si>
    <t>Tue Nov 23 16:08:14 2021</t>
  </si>
  <si>
    <t>Tue Nov 23 16:08:24 2021</t>
  </si>
  <si>
    <t>Tue Nov 23 16:08:34 2021</t>
  </si>
  <si>
    <t>Tue Nov 23 16:08:43 2021</t>
  </si>
  <si>
    <t>Tue Nov 23 16:08:54 2021</t>
  </si>
  <si>
    <t>Tue Nov 23 16:09:04 2021</t>
  </si>
  <si>
    <t>Tue Nov 23 16:09:14 2021</t>
  </si>
  <si>
    <t>Tue Nov 23 16:09:24 2021</t>
  </si>
  <si>
    <t>Tue Nov 23 16:09:34 2021</t>
  </si>
  <si>
    <t>Tue Nov 23 16:09:44 2021</t>
  </si>
  <si>
    <t>Tue Nov 23 16:09:54 2021</t>
  </si>
  <si>
    <t>Tue Nov 23 16:10:04 2021</t>
  </si>
  <si>
    <t>Tue Nov 23 16:10:14 2021</t>
  </si>
  <si>
    <t>Tue Nov 23 16:10:24 2021</t>
  </si>
  <si>
    <t>Tue Nov 23 16:10:34 2021</t>
  </si>
  <si>
    <t>Tue Nov 23 15:50:19 2021</t>
  </si>
  <si>
    <t>Tue Nov 23 15:50:29 2021</t>
  </si>
  <si>
    <t>Tue Nov 23 15:50:39 2021</t>
  </si>
  <si>
    <t>Tue Nov 23 15:50:49 2021</t>
  </si>
  <si>
    <t>Tue Nov 23 15:50:59 2021</t>
  </si>
  <si>
    <t>Tue Nov 23 15:51:09 2021</t>
  </si>
  <si>
    <t>Tue Nov 23 15:51:19 2021</t>
  </si>
  <si>
    <t>Tue Nov 23 15:51:29 2021</t>
  </si>
  <si>
    <t>Tue Nov 23 15:51:39 2021</t>
  </si>
  <si>
    <t>Tue Nov 23 15:51:49 2021</t>
  </si>
  <si>
    <t>Tue Nov 23 15:51:59 2021</t>
  </si>
  <si>
    <t>Tue Nov 23 15:52:09 2021</t>
  </si>
  <si>
    <t>Tue Nov 23 15:52:19 2021</t>
  </si>
  <si>
    <t>Tue Nov 23 15:52:29 2021</t>
  </si>
  <si>
    <t>Tue Nov 23 15:52:39 2021</t>
  </si>
  <si>
    <t>Tue Nov 23 15:52:49 2021</t>
  </si>
  <si>
    <t>Tue Nov 23 15:52:59 2021</t>
  </si>
  <si>
    <t>Tue Nov 23 15:53:09 2021</t>
  </si>
  <si>
    <t>Tue Nov 23 15:53:19 2021</t>
  </si>
  <si>
    <t>Tue Nov 23 15:53:29 2021</t>
  </si>
  <si>
    <t>Tue Nov 23 15:53:39 2021</t>
  </si>
  <si>
    <t>Tue Nov 23 15:53:49 2021</t>
  </si>
  <si>
    <t>Tue Nov 23 15:54:00 2021</t>
  </si>
  <si>
    <t>Tue Nov 23 15:54:09 2021</t>
  </si>
  <si>
    <t>Tue Nov 23 15:54:19 2021</t>
  </si>
  <si>
    <t>Tue Nov 23 15:54:29 2021</t>
  </si>
  <si>
    <t>Tue Nov 23 15:54:40 2021</t>
  </si>
  <si>
    <t>Tue Nov 23 15:54:50 2021</t>
  </si>
  <si>
    <t>Tue Nov 23 15:55:00 2021</t>
  </si>
  <si>
    <t>Tue Nov 23 15:55:10 2021</t>
  </si>
  <si>
    <t>Tue Nov 23 15:55:19 2021</t>
  </si>
  <si>
    <t>Tue Nov 23 15:55:30 2021</t>
  </si>
  <si>
    <t>Tue Nov 23 15:55:40 2021</t>
  </si>
  <si>
    <t>Tue Nov 23 15:55:49 2021</t>
  </si>
  <si>
    <t>Tue Nov 23 15:56:00 2021</t>
  </si>
  <si>
    <t>Tue Nov 23 15:56:09 2021</t>
  </si>
  <si>
    <t>Tue Nov 23 15:56:20 2021</t>
  </si>
  <si>
    <t>Tue Nov 23 15:56:30 2021</t>
  </si>
  <si>
    <t>Tue Nov 23 15:56:39 2021</t>
  </si>
  <si>
    <t>Tue Nov 23 15:56:50 2021</t>
  </si>
  <si>
    <t>Tue Nov 23 15:57:00 2021</t>
  </si>
  <si>
    <t>Tue Nov 23 15:57:10 2021</t>
  </si>
  <si>
    <t>Tue Nov 23 15:57:20 2021</t>
  </si>
  <si>
    <t>Tue Nov 23 15:57:30 2021</t>
  </si>
  <si>
    <t>Tue Nov 23 15:57:40 2021</t>
  </si>
  <si>
    <t>Tue Nov 23 15:57:50 2021</t>
  </si>
  <si>
    <t>Tue Nov 23 15:58:00 2021</t>
  </si>
  <si>
    <t>Tue Nov 23 15:58:10 2021</t>
  </si>
  <si>
    <t>Tue Nov 23 15:58:20 2021</t>
  </si>
  <si>
    <t>Tue Nov 23 15:58:30 2021</t>
  </si>
  <si>
    <t>Tue Nov 23 15:58:41 2021</t>
  </si>
  <si>
    <t>Tue Nov 23 15:58:50 2021</t>
  </si>
  <si>
    <t>Tue Nov 23 15:59:00 2021</t>
  </si>
  <si>
    <t>Tue Nov 23 15:59:10 2021</t>
  </si>
  <si>
    <t>Tue Nov 23 15:59:20 2021</t>
  </si>
  <si>
    <t>Tue Nov 23 15:59:30 2021</t>
  </si>
  <si>
    <t>Tue Nov 23 15:59:41 2021</t>
  </si>
  <si>
    <t>Tue Nov 23 15:59:51 2021</t>
  </si>
  <si>
    <t>Tue Nov 23 16:00:00 2021</t>
  </si>
  <si>
    <t>Tue Nov 23 16:00:10 2021</t>
  </si>
  <si>
    <t>Tue Nov 23 16:00:20 2021</t>
  </si>
  <si>
    <t>Tue Nov 23 16:00:31 2021</t>
  </si>
  <si>
    <t>Tue Nov 23 16:00:41 2021</t>
  </si>
  <si>
    <t>Tue Nov 23 16:00:50 2021</t>
  </si>
  <si>
    <t>Tue Nov 23 16:01:00 2021</t>
  </si>
  <si>
    <t>Tue Nov 23 16:01:10 2021</t>
  </si>
  <si>
    <t>Tue Nov 23 16:01:20 2021</t>
  </si>
  <si>
    <t>Tue Nov 23 16:01:31 2021</t>
  </si>
  <si>
    <t>Tue Nov 23 16:01:40 2021</t>
  </si>
  <si>
    <t>Tue Nov 23 16:01:51 2021</t>
  </si>
  <si>
    <t>Tue Nov 23 16:02:00 2021</t>
  </si>
  <si>
    <t>Tue Nov 23 16:02:11 2021</t>
  </si>
  <si>
    <t>Tue Nov 23 16:02:20 2021</t>
  </si>
  <si>
    <t>Tue Nov 23 16:02:31 2021</t>
  </si>
  <si>
    <t>Tue Nov 23 16:02:40 2021</t>
  </si>
  <si>
    <t>Tue Nov 23 16:02:51 2021</t>
  </si>
  <si>
    <t>Tue Nov 23 16:03:01 2021</t>
  </si>
  <si>
    <t>Tue Nov 23 16:03:11 2021</t>
  </si>
  <si>
    <t>Tue Nov 23 16:03:21 2021</t>
  </si>
  <si>
    <t>Tue Nov 23 16:03:31 2021</t>
  </si>
  <si>
    <t>Tue Nov 23 16:03:41 2021</t>
  </si>
  <si>
    <t>Tue Nov 23 16:03:51 2021</t>
  </si>
  <si>
    <t>Tue Nov 23 16:04:01 2021</t>
  </si>
  <si>
    <t>Tue Nov 23 16:04:11 2021</t>
  </si>
  <si>
    <t>Tue Nov 23 16:04:21 2021</t>
  </si>
  <si>
    <t>Tue Nov 23 16:04:31 2021</t>
  </si>
  <si>
    <t>Tue Nov 23 16:04:41 2021</t>
  </si>
  <si>
    <t>Tue Nov 23 16:04:51 2021</t>
  </si>
  <si>
    <t>Tue Nov 23 16:05:01 2021</t>
  </si>
  <si>
    <t>Tue Nov 23 16:05:11 2021</t>
  </si>
  <si>
    <t>Tue Nov 23 16:05:21 2021</t>
  </si>
  <si>
    <t>Tue Nov 23 16:05:31 2021</t>
  </si>
  <si>
    <t>Tue Nov 23 16:05:41 2021</t>
  </si>
  <si>
    <t>Tue Nov 23 16:05:51 2021</t>
  </si>
  <si>
    <t>Tue Nov 23 16:06:01 2021</t>
  </si>
  <si>
    <t>Tue Nov 23 16:06:11 2021</t>
  </si>
  <si>
    <t>Tue Nov 23 16:06:21 2021</t>
  </si>
  <si>
    <t>Tue Nov 23 16:06:31 2021</t>
  </si>
  <si>
    <t>Tue Nov 23 16:06:41 2021</t>
  </si>
  <si>
    <t>Tue Nov 23 16:06:51 2021</t>
  </si>
  <si>
    <t>Tue Nov 23 16:07:01 2021</t>
  </si>
  <si>
    <t>Tue Nov 23 16:07:11 2021</t>
  </si>
  <si>
    <t>Tue Nov 23 16:07:21 2021</t>
  </si>
  <si>
    <t>Tue Nov 23 16:07:32 2021</t>
  </si>
  <si>
    <t>Tue Nov 23 16:07:41 2021</t>
  </si>
  <si>
    <t>Tue Nov 23 16:07:52 2021</t>
  </si>
  <si>
    <t>Tue Nov 23 16:08:01 2021</t>
  </si>
  <si>
    <t>Tue Nov 23 16:08:11 2021</t>
  </si>
  <si>
    <t>Tue Nov 23 16:08:21 2021</t>
  </si>
  <si>
    <t>Tue Nov 23 16:08:31 2021</t>
  </si>
  <si>
    <t>Tue Nov 23 16:08:41 2021</t>
  </si>
  <si>
    <t>Tue Nov 23 16:08:52 2021</t>
  </si>
  <si>
    <t>Tue Nov 23 16:09:01 2021</t>
  </si>
  <si>
    <t>Tue Nov 23 16:09:12 2021</t>
  </si>
  <si>
    <t>Tue Nov 23 16:09:22 2021</t>
  </si>
  <si>
    <t>Tue Nov 23 16:09:32 2021</t>
  </si>
  <si>
    <t>Tue Nov 23 16:09:41 2021</t>
  </si>
  <si>
    <t>Tue Nov 23 16:09:51 2021</t>
  </si>
  <si>
    <t>Tue Nov 23 16:10:01 2021</t>
  </si>
  <si>
    <t>Tue Nov 23 16:10:12 2021</t>
  </si>
  <si>
    <t>Tue Nov 23 16:10:22 2021</t>
  </si>
  <si>
    <t>Tue Nov 23 16:10:32 2021</t>
  </si>
  <si>
    <t>Tue Nov 23 16:10:41 2021</t>
  </si>
  <si>
    <t>Tue Nov 23 16:10:52 2021</t>
  </si>
  <si>
    <t>Tue Nov 23 16:11:54 2021</t>
  </si>
  <si>
    <t>Tue Nov 23 16:12:04 2021</t>
  </si>
  <si>
    <t>Tue Nov 23 16:12:14 2021</t>
  </si>
  <si>
    <t>Tue Nov 23 16:12:24 2021</t>
  </si>
  <si>
    <t>Tue Nov 23 16:12:34 2021</t>
  </si>
  <si>
    <t>Tue Nov 23 16:12:44 2021</t>
  </si>
  <si>
    <t>Tue Nov 23 16:12:55 2021</t>
  </si>
  <si>
    <t>Tue Nov 23 16:13:04 2021</t>
  </si>
  <si>
    <t>Tue Nov 23 16:13:15 2021</t>
  </si>
  <si>
    <t>Tue Nov 23 16:13:24 2021</t>
  </si>
  <si>
    <t>Tue Nov 23 16:13:34 2021</t>
  </si>
  <si>
    <t>Tue Nov 23 16:13:44 2021</t>
  </si>
  <si>
    <t>Tue Nov 23 16:13:55 2021</t>
  </si>
  <si>
    <t>Tue Nov 23 16:14:05 2021</t>
  </si>
  <si>
    <t>Tue Nov 23 16:14:14 2021</t>
  </si>
  <si>
    <t>Tue Nov 23 16:14:25 2021</t>
  </si>
  <si>
    <t>Tue Nov 23 16:14:34 2021</t>
  </si>
  <si>
    <t>Tue Nov 23 16:14:45 2021</t>
  </si>
  <si>
    <t>Tue Nov 23 16:14:54 2021</t>
  </si>
  <si>
    <t>Tue Nov 23 16:15:05 2021</t>
  </si>
  <si>
    <t>Tue Nov 23 16:15:15 2021</t>
  </si>
  <si>
    <t>Tue Nov 23 16:15:25 2021</t>
  </si>
  <si>
    <t>Tue Nov 23 16:15:35 2021</t>
  </si>
  <si>
    <t>Tue Nov 23 16:15:44 2021</t>
  </si>
  <si>
    <t>Tue Nov 23 16:15:55 2021</t>
  </si>
  <si>
    <t>Tue Nov 23 16:16:05 2021</t>
  </si>
  <si>
    <t>Tue Nov 23 16:16:15 2021</t>
  </si>
  <si>
    <t>Tue Nov 23 16:16:25 2021</t>
  </si>
  <si>
    <t>Tue Nov 23 16:16:34 2021</t>
  </si>
  <si>
    <t>Tue Nov 23 16:16:45 2021</t>
  </si>
  <si>
    <t>Tue Nov 23 16:16:55 2021</t>
  </si>
  <si>
    <t>Tue Nov 23 16:17:05 2021</t>
  </si>
  <si>
    <t>Tue Nov 23 16:17:15 2021</t>
  </si>
  <si>
    <t>Tue Nov 23 16:17:25 2021</t>
  </si>
  <si>
    <t>Tue Nov 23 16:17:35 2021</t>
  </si>
  <si>
    <t>Tue Nov 23 16:17:44 2021</t>
  </si>
  <si>
    <t>Tue Nov 23 16:17:55 2021</t>
  </si>
  <si>
    <t>Tue Nov 23 16:18:05 2021</t>
  </si>
  <si>
    <t>Tue Nov 23 16:18:15 2021</t>
  </si>
  <si>
    <t>Tue Nov 23 16:18:25 2021</t>
  </si>
  <si>
    <t>Tue Nov 23 16:18:35 2021</t>
  </si>
  <si>
    <t>Tue Nov 23 16:18:45 2021</t>
  </si>
  <si>
    <t>Tue Nov 23 16:18:55 2021</t>
  </si>
  <si>
    <t>Tue Nov 23 16:19:05 2021</t>
  </si>
  <si>
    <t>Tue Nov 23 16:19:16 2021</t>
  </si>
  <si>
    <t>Tue Nov 23 16:19:25 2021</t>
  </si>
  <si>
    <t>Tue Nov 23 16:19:35 2021</t>
  </si>
  <si>
    <t>Tue Nov 23 16:19:45 2021</t>
  </si>
  <si>
    <t>Tue Nov 23 16:19:55 2021</t>
  </si>
  <si>
    <t>Tue Nov 23 16:20:05 2021</t>
  </si>
  <si>
    <t>Tue Nov 23 16:20:15 2021</t>
  </si>
  <si>
    <t>Tue Nov 23 16:20:25 2021</t>
  </si>
  <si>
    <t>Tue Nov 23 16:20:35 2021</t>
  </si>
  <si>
    <t>Tue Nov 23 16:20:45 2021</t>
  </si>
  <si>
    <t>Tue Nov 23 16:20:55 2021</t>
  </si>
  <si>
    <t>Tue Nov 23 16:21:05 2021</t>
  </si>
  <si>
    <t>Tue Nov 23 16:21:15 2021</t>
  </si>
  <si>
    <t>Tue Nov 23 16:21:25 2021</t>
  </si>
  <si>
    <t>Tue Nov 23 16:21:35 2021</t>
  </si>
  <si>
    <t>Tue Nov 23 16:21:45 2021</t>
  </si>
  <si>
    <t>Tue Nov 23 16:21:55 2021</t>
  </si>
  <si>
    <t>Tue Nov 23 16:22:05 2021</t>
  </si>
  <si>
    <t>Tue Nov 23 16:22:16 2021</t>
  </si>
  <si>
    <t>Tue Nov 23 16:22:25 2021</t>
  </si>
  <si>
    <t>Tue Nov 23 16:22:36 2021</t>
  </si>
  <si>
    <t>Tue Nov 23 16:22:45 2021</t>
  </si>
  <si>
    <t>Tue Nov 23 16:22:56 2021</t>
  </si>
  <si>
    <t>Tue Nov 23 16:23:05 2021</t>
  </si>
  <si>
    <t>Tue Nov 23 16:23:15 2021</t>
  </si>
  <si>
    <t>Tue Nov 23 16:23:26 2021</t>
  </si>
  <si>
    <t>Tue Nov 23 16:23:36 2021</t>
  </si>
  <si>
    <t>Tue Nov 23 16:23:46 2021</t>
  </si>
  <si>
    <t>Tue Nov 23 16:23:56 2021</t>
  </si>
  <si>
    <t>Tue Nov 23 16:24:06 2021</t>
  </si>
  <si>
    <t>Tue Nov 23 16:24:16 2021</t>
  </si>
  <si>
    <t>Tue Nov 23 16:24:26 2021</t>
  </si>
  <si>
    <t>Tue Nov 23 16:24:36 2021</t>
  </si>
  <si>
    <t>Tue Nov 23 16:24:46 2021</t>
  </si>
  <si>
    <t>Tue Nov 23 16:24:56 2021</t>
  </si>
  <si>
    <t>Tue Nov 23 16:25:06 2021</t>
  </si>
  <si>
    <t>Tue Nov 23 16:25:16 2021</t>
  </si>
  <si>
    <t>Tue Nov 23 16:25:26 2021</t>
  </si>
  <si>
    <t>Tue Nov 23 16:25:36 2021</t>
  </si>
  <si>
    <t>Tue Nov 23 16:25:46 2021</t>
  </si>
  <si>
    <t>Tue Nov 23 16:25:56 2021</t>
  </si>
  <si>
    <t>Tue Nov 23 16:26:06 2021</t>
  </si>
  <si>
    <t>Tue Nov 23 16:26:16 2021</t>
  </si>
  <si>
    <t>Tue Nov 23 16:26:26 2021</t>
  </si>
  <si>
    <t>Tue Nov 23 16:26:36 2021</t>
  </si>
  <si>
    <t>Tue Nov 23 16:26:46 2021</t>
  </si>
  <si>
    <t>Tue Nov 23 16:26:56 2021</t>
  </si>
  <si>
    <t>Tue Nov 23 16:27:06 2021</t>
  </si>
  <si>
    <t>Tue Nov 23 16:27:16 2021</t>
  </si>
  <si>
    <t>Tue Nov 23 16:27:26 2021</t>
  </si>
  <si>
    <t>Tue Nov 23 16:27:37 2021</t>
  </si>
  <si>
    <t>Tue Nov 23 16:27:46 2021</t>
  </si>
  <si>
    <t>Tue Nov 23 16:27:56 2021</t>
  </si>
  <si>
    <t>Tue Nov 23 16:28:06 2021</t>
  </si>
  <si>
    <t>Tue Nov 23 16:28:16 2021</t>
  </si>
  <si>
    <t>Tue Nov 23 16:28:26 2021</t>
  </si>
  <si>
    <t>Tue Nov 23 16:28:37 2021</t>
  </si>
  <si>
    <t>Tue Nov 23 16:28:47 2021</t>
  </si>
  <si>
    <t>Tue Nov 23 16:28:57 2021</t>
  </si>
  <si>
    <t>Tue Nov 23 16:29:07 2021</t>
  </si>
  <si>
    <t>Tue Nov 23 16:29:17 2021</t>
  </si>
  <si>
    <t>Tue Nov 23 16:29:27 2021</t>
  </si>
  <si>
    <t>Tue Nov 23 16:29:36 2021</t>
  </si>
  <si>
    <t>Tue Nov 23 16:29:47 2021</t>
  </si>
  <si>
    <t>Tue Nov 23 16:29:57 2021</t>
  </si>
  <si>
    <t>Tue Nov 23 16:30:07 2021</t>
  </si>
  <si>
    <t>Tue Nov 23 16:30:17 2021</t>
  </si>
  <si>
    <t>Tue Nov 23 16:30:27 2021</t>
  </si>
  <si>
    <t>Tue Nov 23 16:30:37 2021</t>
  </si>
  <si>
    <t>Tue Nov 23 16:30:47 2021</t>
  </si>
  <si>
    <t>Tue Nov 23 16:30:57 2021</t>
  </si>
  <si>
    <t>Tue Nov 23 16:31:07 2021</t>
  </si>
  <si>
    <t>Tue Nov 23 16:31:17 2021</t>
  </si>
  <si>
    <t>Tue Nov 23 16:31:26 2021</t>
  </si>
  <si>
    <t>Tue Nov 23 16:31:37 2021</t>
  </si>
  <si>
    <t>Tue Nov 23 16:31:47 2021</t>
  </si>
  <si>
    <t>Tue Nov 23 16:31:57 2021</t>
  </si>
  <si>
    <t>Tue Nov 23 16:32:07 2021</t>
  </si>
  <si>
    <t>Tue Nov 23 16:32:17 2021</t>
  </si>
  <si>
    <t>Tue Nov 23 16:32:27 2021</t>
  </si>
  <si>
    <t>Tue Nov 23 16:32:37 2021</t>
  </si>
  <si>
    <t>Tue Nov 23 16:32:47 2021</t>
  </si>
  <si>
    <t>Tue Nov 23 16:32:57 2021</t>
  </si>
  <si>
    <t>Tue Nov 23 16:33:08 2021</t>
  </si>
  <si>
    <t>Tue Nov 23 16:33:17 2021</t>
  </si>
  <si>
    <t>Tue Nov 23 16:33:27 2021</t>
  </si>
  <si>
    <t>Tue Nov 23 16:33:37 2021</t>
  </si>
  <si>
    <t>Tue Nov 23 16:33:47 2021</t>
  </si>
  <si>
    <t>Tue Nov 23 16:33:57 2021</t>
  </si>
  <si>
    <t>Tue Nov 23 16:34:07 2021</t>
  </si>
  <si>
    <t>Tue Nov 23 16:34:17 2021</t>
  </si>
  <si>
    <t>Tue Nov 23 16:34:28 2021</t>
  </si>
  <si>
    <t>Tue Nov 23 16:34:37 2021</t>
  </si>
  <si>
    <t>Tue Nov 23 16:34:47 2021</t>
  </si>
  <si>
    <t>Tue Nov 23 16:34:57 2021</t>
  </si>
  <si>
    <t>Tue Nov 23 16:35:08 2021</t>
  </si>
  <si>
    <t>Tue Nov 23 16:35:17 2021</t>
  </si>
  <si>
    <t>Tue Nov 23 16:35:28 2021</t>
  </si>
  <si>
    <t>Tue Nov 23 16:35:37 2021</t>
  </si>
  <si>
    <t>Tue Nov 23 16:35:47 2021</t>
  </si>
  <si>
    <t>Tue Nov 23 16:35:58 2021</t>
  </si>
  <si>
    <t>Tue Nov 23 16:36:07 2021</t>
  </si>
  <si>
    <t>Tue Nov 23 16:36:18 2021</t>
  </si>
  <si>
    <t>Tue Nov 23 16:36:28 2021</t>
  </si>
  <si>
    <t>Tue Nov 23 16:36:38 2021</t>
  </si>
  <si>
    <t>Tue Nov 23 16:36:47 2021</t>
  </si>
  <si>
    <t>Tue Nov 23 16:36:58 2021</t>
  </si>
  <si>
    <t>Tue Nov 23 16:37:08 2021</t>
  </si>
  <si>
    <t>Tue Nov 23 16:37:18 2021</t>
  </si>
  <si>
    <t>Tue Nov 23 16:37:28 2021</t>
  </si>
  <si>
    <t>Tue Nov 23 16:37:38 2021</t>
  </si>
  <si>
    <t>Tue Nov 23 16:37:48 2021</t>
  </si>
  <si>
    <t>Tue Nov 23 16:37:58 2021</t>
  </si>
  <si>
    <t>Tue Nov 23 16:38:08 2021</t>
  </si>
  <si>
    <t>Tue Nov 23 16:38:18 2021</t>
  </si>
  <si>
    <t>Tue Nov 23 16:38:28 2021</t>
  </si>
  <si>
    <t>Tue Nov 23 16:38:38 2021</t>
  </si>
  <si>
    <t>Tue Nov 23 16:38:48 2021</t>
  </si>
  <si>
    <t>Tue Nov 23 16:38:58 2021</t>
  </si>
  <si>
    <t>Tue Nov 23 16:39:08 2021</t>
  </si>
  <si>
    <t>Tue Nov 23 16:39:18 2021</t>
  </si>
  <si>
    <t>Tue Nov 23 16:39:28 2021</t>
  </si>
  <si>
    <t>Tue Nov 23 16:39:38 2021</t>
  </si>
  <si>
    <t>Tue Nov 23 16:39:48 2021</t>
  </si>
  <si>
    <t>Tue Nov 23 16:39:58 2021</t>
  </si>
  <si>
    <t>Tue Nov 23 16:40:08 2021</t>
  </si>
  <si>
    <t>Tue Nov 23 16:40:18 2021</t>
  </si>
  <si>
    <t>Tue Nov 23 16:40:28 2021</t>
  </si>
  <si>
    <t>Tue Nov 23 16:40:39 2021</t>
  </si>
  <si>
    <t>Tue Nov 23 16:40:49 2021</t>
  </si>
  <si>
    <t>Tue Nov 23 16:40:58 2021</t>
  </si>
  <si>
    <t>Tue Nov 23 16:41:09 2021</t>
  </si>
  <si>
    <t>Tue Nov 23 16:41:18 2021</t>
  </si>
  <si>
    <t>Tue Nov 23 16:41:28 2021</t>
  </si>
  <si>
    <t>Tue Nov 23 16:41:38 2021</t>
  </si>
  <si>
    <t>Tue Nov 23 16:41:48 2021</t>
  </si>
  <si>
    <t>Tue Nov 23 16:41:58 2021</t>
  </si>
  <si>
    <t>Tue Nov 23 16:42:08 2021</t>
  </si>
  <si>
    <t>Tue Nov 23 16:42:18 2021</t>
  </si>
  <si>
    <t>Tue Nov 23 16:42:28 2021</t>
  </si>
  <si>
    <t>Tue Nov 23 16:42:39 2021</t>
  </si>
  <si>
    <t>Tue Nov 23 16:42:49 2021</t>
  </si>
  <si>
    <t>Tue Nov 23 16:42:58 2021</t>
  </si>
  <si>
    <t>Tue Nov 23 16:43:09 2021</t>
  </si>
  <si>
    <t>Tue Nov 23 16:43:19 2021</t>
  </si>
  <si>
    <t>Tue Nov 23 16:43:29 2021</t>
  </si>
  <si>
    <t>Tue Nov 23 16:43:38 2021</t>
  </si>
  <si>
    <t>Tue Nov 23 16:43:49 2021</t>
  </si>
  <si>
    <t>Tue Nov 23 16:43:58 2021</t>
  </si>
  <si>
    <t>Tue Nov 23 16:11:22 2021</t>
  </si>
  <si>
    <t>Tue Nov 23 16:11:32 2021</t>
  </si>
  <si>
    <t>Tue Nov 23 16:11:42 2021</t>
  </si>
  <si>
    <t>Tue Nov 23 16:11:52 2021</t>
  </si>
  <si>
    <t>Tue Nov 23 16:12:02 2021</t>
  </si>
  <si>
    <t>Tue Nov 23 16:12:12 2021</t>
  </si>
  <si>
    <t>Tue Nov 23 16:12:22 2021</t>
  </si>
  <si>
    <t>Tue Nov 23 16:12:32 2021</t>
  </si>
  <si>
    <t>Tue Nov 23 16:12:42 2021</t>
  </si>
  <si>
    <t>Tue Nov 23 16:12:52 2021</t>
  </si>
  <si>
    <t>Tue Nov 23 16:13:02 2021</t>
  </si>
  <si>
    <t>Tue Nov 23 16:13:12 2021</t>
  </si>
  <si>
    <t>Tue Nov 23 16:13:22 2021</t>
  </si>
  <si>
    <t>Tue Nov 23 16:13:32 2021</t>
  </si>
  <si>
    <t>Tue Nov 23 16:13:42 2021</t>
  </si>
  <si>
    <t>Tue Nov 23 16:13:52 2021</t>
  </si>
  <si>
    <t>Tue Nov 23 16:14:02 2021</t>
  </si>
  <si>
    <t>Tue Nov 23 16:14:12 2021</t>
  </si>
  <si>
    <t>Tue Nov 23 16:14:22 2021</t>
  </si>
  <si>
    <t>Tue Nov 23 16:14:33 2021</t>
  </si>
  <si>
    <t>Tue Nov 23 16:14:42 2021</t>
  </si>
  <si>
    <t>Tue Nov 23 16:14:53 2021</t>
  </si>
  <si>
    <t>Tue Nov 23 16:15:03 2021</t>
  </si>
  <si>
    <t>Tue Nov 23 16:15:12 2021</t>
  </si>
  <si>
    <t>Tue Nov 23 16:15:22 2021</t>
  </si>
  <si>
    <t>Tue Nov 23 16:15:32 2021</t>
  </si>
  <si>
    <t>Tue Nov 23 16:15:42 2021</t>
  </si>
  <si>
    <t>Tue Nov 23 16:15:52 2021</t>
  </si>
  <si>
    <t>Tue Nov 23 16:16:02 2021</t>
  </si>
  <si>
    <t>Tue Nov 23 16:16:12 2021</t>
  </si>
  <si>
    <t>Tue Nov 23 16:16:23 2021</t>
  </si>
  <si>
    <t>Tue Nov 23 16:16:32 2021</t>
  </si>
  <si>
    <t>Tue Nov 23 16:16:42 2021</t>
  </si>
  <si>
    <t>Tue Nov 23 16:16:52 2021</t>
  </si>
  <si>
    <t>Tue Nov 23 16:17:02 2021</t>
  </si>
  <si>
    <t>Tue Nov 23 16:17:13 2021</t>
  </si>
  <si>
    <t>Tue Nov 23 16:17:23 2021</t>
  </si>
  <si>
    <t>Tue Nov 23 16:17:33 2021</t>
  </si>
  <si>
    <t>Tue Nov 23 16:17:43 2021</t>
  </si>
  <si>
    <t>Tue Nov 23 16:17:52 2021</t>
  </si>
  <si>
    <t>Tue Nov 23 16:18:03 2021</t>
  </si>
  <si>
    <t>Tue Nov 23 16:18:12 2021</t>
  </si>
  <si>
    <t>Tue Nov 23 16:18:23 2021</t>
  </si>
  <si>
    <t>Tue Nov 23 16:18:33 2021</t>
  </si>
  <si>
    <t>Tue Nov 23 16:18:43 2021</t>
  </si>
  <si>
    <t>Tue Nov 23 16:18:53 2021</t>
  </si>
  <si>
    <t>Tue Nov 23 16:19:03 2021</t>
  </si>
  <si>
    <t>Tue Nov 23 16:19:13 2021</t>
  </si>
  <si>
    <t>Tue Nov 23 16:19:23 2021</t>
  </si>
  <si>
    <t>Tue Nov 23 16:19:33 2021</t>
  </si>
  <si>
    <t>Tue Nov 23 16:19:43 2021</t>
  </si>
  <si>
    <t>Tue Nov 23 16:19:54 2021</t>
  </si>
  <si>
    <t>Tue Nov 23 16:20:03 2021</t>
  </si>
  <si>
    <t>Tue Nov 23 16:20:13 2021</t>
  </si>
  <si>
    <t>Tue Nov 23 16:20:23 2021</t>
  </si>
  <si>
    <t>Tue Nov 23 16:20:33 2021</t>
  </si>
  <si>
    <t>Tue Nov 23 16:20:43 2021</t>
  </si>
  <si>
    <t>Tue Nov 23 16:20:53 2021</t>
  </si>
  <si>
    <t>Tue Nov 23 16:21:03 2021</t>
  </si>
  <si>
    <t>Tue Nov 23 16:21:13 2021</t>
  </si>
  <si>
    <t>Tue Nov 23 16:21:24 2021</t>
  </si>
  <si>
    <t>Tue Nov 23 16:21:33 2021</t>
  </si>
  <si>
    <t>Tue Nov 23 16:21:43 2021</t>
  </si>
  <si>
    <t>Tue Nov 23 16:21:53 2021</t>
  </si>
  <si>
    <t>Tue Nov 23 16:22:03 2021</t>
  </si>
  <si>
    <t>Tue Nov 23 16:22:13 2021</t>
  </si>
  <si>
    <t>Tue Nov 23 16:22:23 2021</t>
  </si>
  <si>
    <t>Tue Nov 23 16:22:34 2021</t>
  </si>
  <si>
    <t>Tue Nov 23 16:22:43 2021</t>
  </si>
  <si>
    <t>Tue Nov 23 16:22:53 2021</t>
  </si>
  <si>
    <t>Tue Nov 23 16:23:03 2021</t>
  </si>
  <si>
    <t>Tue Nov 23 16:23:13 2021</t>
  </si>
  <si>
    <t>Tue Nov 23 16:23:23 2021</t>
  </si>
  <si>
    <t>Tue Nov 23 16:23:34 2021</t>
  </si>
  <si>
    <t>Tue Nov 23 16:23:44 2021</t>
  </si>
  <si>
    <t>Tue Nov 23 16:23:54 2021</t>
  </si>
  <si>
    <t>Tue Nov 23 16:24:04 2021</t>
  </si>
  <si>
    <t>Tue Nov 23 16:24:13 2021</t>
  </si>
  <si>
    <t>Tue Nov 23 16:24:23 2021</t>
  </si>
  <si>
    <t>Tue Nov 23 16:24:34 2021</t>
  </si>
  <si>
    <t>Tue Nov 23 16:24:43 2021</t>
  </si>
  <si>
    <t>Tue Nov 23 16:24:54 2021</t>
  </si>
  <si>
    <t>Tue Nov 23 16:25:04 2021</t>
  </si>
  <si>
    <t>Tue Nov 23 16:25:14 2021</t>
  </si>
  <si>
    <t>Tue Nov 23 16:25:24 2021</t>
  </si>
  <si>
    <t>Tue Nov 23 16:25:34 2021</t>
  </si>
  <si>
    <t>Tue Nov 23 16:25:44 2021</t>
  </si>
  <si>
    <t>Tue Nov 23 16:25:54 2021</t>
  </si>
  <si>
    <t>Tue Nov 23 16:26:04 2021</t>
  </si>
  <si>
    <t>Tue Nov 23 16:26:14 2021</t>
  </si>
  <si>
    <t>Tue Nov 23 16:26:24 2021</t>
  </si>
  <si>
    <t>Tue Nov 23 16:26:34 2021</t>
  </si>
  <si>
    <t>Tue Nov 23 16:26:44 2021</t>
  </si>
  <si>
    <t>Tue Nov 23 16:26:54 2021</t>
  </si>
  <si>
    <t>Tue Nov 23 16:27:04 2021</t>
  </si>
  <si>
    <t>Tue Nov 23 16:27:14 2021</t>
  </si>
  <si>
    <t>Tue Nov 23 16:27:24 2021</t>
  </si>
  <si>
    <t>Tue Nov 23 16:27:34 2021</t>
  </si>
  <si>
    <t>Tue Nov 23 16:27:44 2021</t>
  </si>
  <si>
    <t>Tue Nov 23 16:27:54 2021</t>
  </si>
  <si>
    <t>Tue Nov 23 16:28:04 2021</t>
  </si>
  <si>
    <t>Tue Nov 23 16:28:14 2021</t>
  </si>
  <si>
    <t>Tue Nov 23 16:28:24 2021</t>
  </si>
  <si>
    <t>Tue Nov 23 16:28:34 2021</t>
  </si>
  <si>
    <t>Tue Nov 23 16:28:44 2021</t>
  </si>
  <si>
    <t>Tue Nov 23 16:28:54 2021</t>
  </si>
  <si>
    <t>Tue Nov 23 16:29:04 2021</t>
  </si>
  <si>
    <t>Tue Nov 23 16:29:14 2021</t>
  </si>
  <si>
    <t>Tue Nov 23 16:29:25 2021</t>
  </si>
  <si>
    <t>Tue Nov 23 16:29:34 2021</t>
  </si>
  <si>
    <t>Tue Nov 23 16:29:44 2021</t>
  </si>
  <si>
    <t>Tue Nov 23 16:29:54 2021</t>
  </si>
  <si>
    <t>Tue Nov 23 16:30:05 2021</t>
  </si>
  <si>
    <t>Tue Nov 23 16:30:15 2021</t>
  </si>
  <si>
    <t>Tue Nov 23 16:30:24 2021</t>
  </si>
  <si>
    <t>Tue Nov 23 16:30:35 2021</t>
  </si>
  <si>
    <t>Tue Nov 23 16:30:45 2021</t>
  </si>
  <si>
    <t>Tue Nov 23 16:30:54 2021</t>
  </si>
  <si>
    <t>Tue Nov 23 16:31:05 2021</t>
  </si>
  <si>
    <t>Tue Nov 23 16:31:15 2021</t>
  </si>
  <si>
    <t>Tue Nov 23 16:31:25 2021</t>
  </si>
  <si>
    <t>Tue Nov 23 16:31:34 2021</t>
  </si>
  <si>
    <t>Tue Nov 23 16:31:45 2021</t>
  </si>
  <si>
    <t>Tue Nov 23 16:31:55 2021</t>
  </si>
  <si>
    <t>Tue Nov 23 16:32:05 2021</t>
  </si>
  <si>
    <t>Tue Nov 23 16:32:14 2021</t>
  </si>
  <si>
    <t>Tue Nov 23 16:32:25 2021</t>
  </si>
  <si>
    <t>Tue Nov 23 16:32:35 2021</t>
  </si>
  <si>
    <t>Tue Nov 23 16:32:45 2021</t>
  </si>
  <si>
    <t>Tue Nov 23 16:32:55 2021</t>
  </si>
  <si>
    <t>Tue Nov 23 16:33:04 2021</t>
  </si>
  <si>
    <t>Tue Nov 23 16:33:15 2021</t>
  </si>
  <si>
    <t>Tue Nov 23 16:33:25 2021</t>
  </si>
  <si>
    <t>Tue Nov 23 16:33:35 2021</t>
  </si>
  <si>
    <t>Tue Nov 23 16:33:45 2021</t>
  </si>
  <si>
    <t>Tue Nov 23 16:33:55 2021</t>
  </si>
  <si>
    <t>Tue Nov 23 16:34:05 2021</t>
  </si>
  <si>
    <t>Tue Nov 23 16:34:15 2021</t>
  </si>
  <si>
    <t>Tue Nov 23 16:34:25 2021</t>
  </si>
  <si>
    <t>Tue Nov 23 16:34:35 2021</t>
  </si>
  <si>
    <t>Tue Nov 23 16:34:45 2021</t>
  </si>
  <si>
    <t>Tue Nov 23 16:34:55 2021</t>
  </si>
  <si>
    <t>Tue Nov 23 16:35:05 2021</t>
  </si>
  <si>
    <t>Tue Nov 23 16:35:15 2021</t>
  </si>
  <si>
    <t>Tue Nov 23 16:35:25 2021</t>
  </si>
  <si>
    <t>Tue Nov 23 16:35:36 2021</t>
  </si>
  <si>
    <t>Tue Nov 23 16:35:45 2021</t>
  </si>
  <si>
    <t>Tue Nov 23 16:35:55 2021</t>
  </si>
  <si>
    <t>Tue Nov 23 16:36:05 2021</t>
  </si>
  <si>
    <t>Tue Nov 23 16:36:15 2021</t>
  </si>
  <si>
    <t>Tue Nov 23 16:36:25 2021</t>
  </si>
  <si>
    <t>Tue Nov 23 16:36:35 2021</t>
  </si>
  <si>
    <t>Tue Nov 23 16:36:45 2021</t>
  </si>
  <si>
    <t>Tue Nov 23 16:36:55 2021</t>
  </si>
  <si>
    <t>Tue Nov 23 16:37:05 2021</t>
  </si>
  <si>
    <t>Tue Nov 23 16:37:16 2021</t>
  </si>
  <si>
    <t>Tue Nov 23 16:37:25 2021</t>
  </si>
  <si>
    <t>Tue Nov 23 16:37:35 2021</t>
  </si>
  <si>
    <t>Tue Nov 23 16:37:45 2021</t>
  </si>
  <si>
    <t>Tue Nov 23 16:37:55 2021</t>
  </si>
  <si>
    <t>Tue Nov 23 16:38:05 2021</t>
  </si>
  <si>
    <t>Tue Nov 23 16:38:16 2021</t>
  </si>
  <si>
    <t>Tue Nov 23 16:38:26 2021</t>
  </si>
  <si>
    <t>Tue Nov 23 16:38:35 2021</t>
  </si>
  <si>
    <t>Tue Nov 23 16:38:45 2021</t>
  </si>
  <si>
    <t>Tue Nov 23 16:38:56 2021</t>
  </si>
  <si>
    <t>Tue Nov 23 16:39:06 2021</t>
  </si>
  <si>
    <t>Tue Nov 23 16:39:16 2021</t>
  </si>
  <si>
    <t>Tue Nov 23 16:39:26 2021</t>
  </si>
  <si>
    <t>Tue Nov 23 16:39:36 2021</t>
  </si>
  <si>
    <t>Tue Nov 23 16:39:46 2021</t>
  </si>
  <si>
    <t>Tue Nov 23 16:39:55 2021</t>
  </si>
  <si>
    <t>Tue Nov 23 16:40:05 2021</t>
  </si>
  <si>
    <t>Tue Nov 23 16:40:16 2021</t>
  </si>
  <si>
    <t>Tue Nov 23 16:40:26 2021</t>
  </si>
  <si>
    <t>Tue Nov 23 16:40:36 2021</t>
  </si>
  <si>
    <t>Tue Nov 23 16:40:46 2021</t>
  </si>
  <si>
    <t>Tue Nov 23 16:40:56 2021</t>
  </si>
  <si>
    <t>Tue Nov 23 16:41:06 2021</t>
  </si>
  <si>
    <t>Tue Nov 23 16:41:16 2021</t>
  </si>
  <si>
    <t>Tue Nov 23 16:41:26 2021</t>
  </si>
  <si>
    <t>Tue Nov 23 16:41:36 2021</t>
  </si>
  <si>
    <t>Tue Nov 23 16:41:46 2021</t>
  </si>
  <si>
    <t>Tue Nov 23 16:41:56 2021</t>
  </si>
  <si>
    <t>Tue Nov 23 16:42:06 2021</t>
  </si>
  <si>
    <t>Tue Nov 23 16:42:16 2021</t>
  </si>
  <si>
    <t>Tue Nov 23 16:42:26 2021</t>
  </si>
  <si>
    <t>Tue Nov 23 16:42:36 2021</t>
  </si>
  <si>
    <t>Tue Nov 23 16:42:46 2021</t>
  </si>
  <si>
    <t>Tue Nov 23 16:42:56 2021</t>
  </si>
  <si>
    <t>Tue Nov 23 16:43:06 2021</t>
  </si>
  <si>
    <t>Tue Nov 23 16:43:16 2021</t>
  </si>
  <si>
    <t>Tue Nov 23 16:43:27 2021</t>
  </si>
  <si>
    <t>Tue Nov 23 16:43:36 2021</t>
  </si>
  <si>
    <t>Tue Nov 23 16:43:46 2021</t>
  </si>
  <si>
    <t>Tue Nov 23 16:43:56 2021</t>
  </si>
  <si>
    <t>Tue Nov 23 16:44:59 2021</t>
  </si>
  <si>
    <t>Tue Nov 23 16:45:08 2021</t>
  </si>
  <si>
    <t>Tue Nov 23 16:45:19 2021</t>
  </si>
  <si>
    <t>Tue Nov 23 16:45:29 2021</t>
  </si>
  <si>
    <t>Tue Nov 23 16:45:39 2021</t>
  </si>
  <si>
    <t>Tue Nov 23 16:45:48 2021</t>
  </si>
  <si>
    <t>Tue Nov 23 16:45:59 2021</t>
  </si>
  <si>
    <t>Tue Nov 23 16:46:10 2021</t>
  </si>
  <si>
    <t>Tue Nov 23 16:46:19 2021</t>
  </si>
  <si>
    <t>Tue Nov 23 16:46:29 2021</t>
  </si>
  <si>
    <t>Tue Nov 23 16:46:39 2021</t>
  </si>
  <si>
    <t>Tue Nov 23 16:46:49 2021</t>
  </si>
  <si>
    <t>Tue Nov 23 16:46:59 2021</t>
  </si>
  <si>
    <t>Tue Nov 23 16:47:09 2021</t>
  </si>
  <si>
    <t>Tue Nov 23 16:47:19 2021</t>
  </si>
  <si>
    <t>Tue Nov 23 16:47:29 2021</t>
  </si>
  <si>
    <t>Tue Nov 23 16:47:40 2021</t>
  </si>
  <si>
    <t>Tue Nov 23 16:47:49 2021</t>
  </si>
  <si>
    <t>Tue Nov 23 16:47:59 2021</t>
  </si>
  <si>
    <t>Tue Nov 23 16:48:09 2021</t>
  </si>
  <si>
    <t>Tue Nov 23 16:48:19 2021</t>
  </si>
  <si>
    <t>Tue Nov 23 16:48:30 2021</t>
  </si>
  <si>
    <t>Tue Nov 23 16:48:39 2021</t>
  </si>
  <si>
    <t>Tue Nov 23 16:48:50 2021</t>
  </si>
  <si>
    <t>Tue Nov 23 16:48:59 2021</t>
  </si>
  <si>
    <t>Tue Nov 23 16:49:09 2021</t>
  </si>
  <si>
    <t>Tue Nov 23 16:49:20 2021</t>
  </si>
  <si>
    <t>Tue Nov 23 16:49:29 2021</t>
  </si>
  <si>
    <t>Tue Nov 23 16:49:40 2021</t>
  </si>
  <si>
    <t>Tue Nov 23 16:49:49 2021</t>
  </si>
  <si>
    <t>Tue Nov 23 16:49:59 2021</t>
  </si>
  <si>
    <t>Tue Nov 23 16:50:10 2021</t>
  </si>
  <si>
    <t>Tue Nov 23 16:44:26 2021</t>
  </si>
  <si>
    <t>Tue Nov 23 16:44:37 2021</t>
  </si>
  <si>
    <t>Tue Nov 23 16:44:46 2021</t>
  </si>
  <si>
    <t>Tue Nov 23 16:44:57 2021</t>
  </si>
  <si>
    <t>Tue Nov 23 16:45:06 2021</t>
  </si>
  <si>
    <t>Tue Nov 23 16:45:16 2021</t>
  </si>
  <si>
    <t>Tue Nov 23 16:45:26 2021</t>
  </si>
  <si>
    <t>Tue Nov 23 16:45:37 2021</t>
  </si>
  <si>
    <t>Tue Nov 23 16:45:47 2021</t>
  </si>
  <si>
    <t>Tue Nov 23 16:45:56 2021</t>
  </si>
  <si>
    <t>Tue Nov 23 16:46:07 2021</t>
  </si>
  <si>
    <t>Tue Nov 23 16:46:17 2021</t>
  </si>
  <si>
    <t>Tue Nov 23 16:46:27 2021</t>
  </si>
  <si>
    <t>Tue Nov 23 16:46:37 2021</t>
  </si>
  <si>
    <t>Tue Nov 23 16:46:47 2021</t>
  </si>
  <si>
    <t>Tue Nov 23 16:46:57 2021</t>
  </si>
  <si>
    <t>Tue Nov 23 16:47:07 2021</t>
  </si>
  <si>
    <t>Tue Nov 23 16:47:17 2021</t>
  </si>
  <si>
    <t>Tue Nov 23 16:47:27 2021</t>
  </si>
  <si>
    <t>Tue Nov 23 16:47:37 2021</t>
  </si>
  <si>
    <t>Tue Nov 23 16:47:47 2021</t>
  </si>
  <si>
    <t>Tue Nov 23 16:47:57 2021</t>
  </si>
  <si>
    <t>Tue Nov 23 16:48:07 2021</t>
  </si>
  <si>
    <t>Tue Nov 23 16:48:17 2021</t>
  </si>
  <si>
    <t>Tue Nov 23 16:48:28 2021</t>
  </si>
  <si>
    <t>Tue Nov 23 16:48:37 2021</t>
  </si>
  <si>
    <t>Tue Nov 23 16:48:47 2021</t>
  </si>
  <si>
    <t>Tue Nov 23 16:48:57 2021</t>
  </si>
  <si>
    <t>Tue Nov 23 16:49:07 2021</t>
  </si>
  <si>
    <t>Tue Nov 23 16:49:17 2021</t>
  </si>
  <si>
    <t>Tue Nov 23 16:49:27 2021</t>
  </si>
  <si>
    <t>Tue Nov 23 16:49:37 2021</t>
  </si>
  <si>
    <t>Tue Nov 23 16:49:47 2021</t>
  </si>
  <si>
    <t>Tue Nov 23 16:49:57 2021</t>
  </si>
  <si>
    <t>Tue Nov 23 16:50:07 2021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</si>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</sst>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Cu_1stPhase!$G$2:$G$194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Cu_1stPhase!$I$2:$I$194</c:f>
              <c:numCache>
                <c:formatCode>General</c:formatCode>
                <c:ptCount val="193"/>
                <c:pt idx="0">
                  <c:v>7.6605507319433315</c:v>
                </c:pt>
                <c:pt idx="1">
                  <c:v>7.6587954125698339</c:v>
                </c:pt>
                <c:pt idx="2">
                  <c:v>7.6570034231452171</c:v>
                </c:pt>
                <c:pt idx="3">
                  <c:v>7.6555711910267057</c:v>
                </c:pt>
                <c:pt idx="4">
                  <c:v>7.6543860660687146</c:v>
                </c:pt>
                <c:pt idx="5">
                  <c:v>7.6524788010930047</c:v>
                </c:pt>
                <c:pt idx="6">
                  <c:v>7.6517239021250774</c:v>
                </c:pt>
                <c:pt idx="7">
                  <c:v>7.6506716133923165</c:v>
                </c:pt>
                <c:pt idx="8">
                  <c:v>7.64918154170278</c:v>
                </c:pt>
                <c:pt idx="9">
                  <c:v>7.6476426491868992</c:v>
                </c:pt>
                <c:pt idx="10">
                  <c:v>7.646087733419014</c:v>
                </c:pt>
                <c:pt idx="11">
                  <c:v>7.6441815111039038</c:v>
                </c:pt>
                <c:pt idx="12">
                  <c:v>7.6423646394999043</c:v>
                </c:pt>
                <c:pt idx="13">
                  <c:v>7.6405682779482449</c:v>
                </c:pt>
                <c:pt idx="14">
                  <c:v>7.6389791656841934</c:v>
                </c:pt>
                <c:pt idx="15">
                  <c:v>7.6387863136319725</c:v>
                </c:pt>
                <c:pt idx="16">
                  <c:v>7.6387826702964343</c:v>
                </c:pt>
                <c:pt idx="17">
                  <c:v>7.6373279678245112</c:v>
                </c:pt>
                <c:pt idx="18">
                  <c:v>7.6364972222598757</c:v>
                </c:pt>
                <c:pt idx="19">
                  <c:v>7.6355591985919835</c:v>
                </c:pt>
                <c:pt idx="20">
                  <c:v>7.6342884771862618</c:v>
                </c:pt>
                <c:pt idx="21">
                  <c:v>7.6327997864671335</c:v>
                </c:pt>
                <c:pt idx="22">
                  <c:v>7.6316274790606418</c:v>
                </c:pt>
                <c:pt idx="23">
                  <c:v>7.6304664763331376</c:v>
                </c:pt>
                <c:pt idx="24">
                  <c:v>7.6290586032752454</c:v>
                </c:pt>
                <c:pt idx="25">
                  <c:v>7.6279781391518116</c:v>
                </c:pt>
                <c:pt idx="26">
                  <c:v>7.6269908200619998</c:v>
                </c:pt>
                <c:pt idx="27">
                  <c:v>7.6254760913959903</c:v>
                </c:pt>
                <c:pt idx="28">
                  <c:v>7.6247602393662879</c:v>
                </c:pt>
                <c:pt idx="29">
                  <c:v>7.623025558147317</c:v>
                </c:pt>
                <c:pt idx="30">
                  <c:v>7.6217133337786054</c:v>
                </c:pt>
                <c:pt idx="31">
                  <c:v>7.6203592211512676</c:v>
                </c:pt>
                <c:pt idx="32">
                  <c:v>7.6189299622364288</c:v>
                </c:pt>
                <c:pt idx="33">
                  <c:v>7.6185369474355076</c:v>
                </c:pt>
                <c:pt idx="34">
                  <c:v>7.6172438556433733</c:v>
                </c:pt>
                <c:pt idx="35">
                  <c:v>7.6163639167959341</c:v>
                </c:pt>
                <c:pt idx="36">
                  <c:v>7.6148961909609989</c:v>
                </c:pt>
                <c:pt idx="37">
                  <c:v>7.6135724654566834</c:v>
                </c:pt>
                <c:pt idx="38">
                  <c:v>7.6120436562804397</c:v>
                </c:pt>
                <c:pt idx="39">
                  <c:v>7.6111028823869677</c:v>
                </c:pt>
                <c:pt idx="40">
                  <c:v>7.6100795207072132</c:v>
                </c:pt>
                <c:pt idx="41">
                  <c:v>7.6094922315913713</c:v>
                </c:pt>
                <c:pt idx="42">
                  <c:v>7.6085776418302089</c:v>
                </c:pt>
                <c:pt idx="43">
                  <c:v>7.6077006493968229</c:v>
                </c:pt>
                <c:pt idx="44">
                  <c:v>7.6068311391382339</c:v>
                </c:pt>
                <c:pt idx="45">
                  <c:v>7.6058330939613068</c:v>
                </c:pt>
                <c:pt idx="46">
                  <c:v>7.6047089870150835</c:v>
                </c:pt>
                <c:pt idx="47">
                  <c:v>7.6039126947344862</c:v>
                </c:pt>
                <c:pt idx="48">
                  <c:v>7.6028288862899673</c:v>
                </c:pt>
                <c:pt idx="49">
                  <c:v>7.6019782356873709</c:v>
                </c:pt>
                <c:pt idx="50">
                  <c:v>7.6017863462990674</c:v>
                </c:pt>
                <c:pt idx="51">
                  <c:v>7.6010949460153725</c:v>
                </c:pt>
                <c:pt idx="52">
                  <c:v>7.6004284091979706</c:v>
                </c:pt>
                <c:pt idx="53">
                  <c:v>7.5994371530046312</c:v>
                </c:pt>
                <c:pt idx="54">
                  <c:v>7.5992912377210553</c:v>
                </c:pt>
                <c:pt idx="55">
                  <c:v>7.5985582224641917</c:v>
                </c:pt>
                <c:pt idx="56">
                  <c:v>7.5972362010220982</c:v>
                </c:pt>
                <c:pt idx="57">
                  <c:v>7.5958391254738604</c:v>
                </c:pt>
                <c:pt idx="58">
                  <c:v>7.5949203689635345</c:v>
                </c:pt>
                <c:pt idx="59">
                  <c:v>7.5945507873126648</c:v>
                </c:pt>
                <c:pt idx="60">
                  <c:v>7.5939917333864129</c:v>
                </c:pt>
                <c:pt idx="61">
                  <c:v>7.5929767862059245</c:v>
                </c:pt>
                <c:pt idx="62">
                  <c:v>7.5926058698249381</c:v>
                </c:pt>
                <c:pt idx="63">
                  <c:v>7.5917041565650534</c:v>
                </c:pt>
                <c:pt idx="64">
                  <c:v>7.5908638372563404</c:v>
                </c:pt>
                <c:pt idx="65">
                  <c:v>7.5904482855912958</c:v>
                </c:pt>
                <c:pt idx="66">
                  <c:v>7.5897604785658519</c:v>
                </c:pt>
                <c:pt idx="67">
                  <c:v>7.5893913304818534</c:v>
                </c:pt>
                <c:pt idx="68">
                  <c:v>7.5885336163091521</c:v>
                </c:pt>
                <c:pt idx="69">
                  <c:v>7.5877428246223095</c:v>
                </c:pt>
                <c:pt idx="70">
                  <c:v>7.5872577291611121</c:v>
                </c:pt>
                <c:pt idx="71">
                  <c:v>7.5863432512563076</c:v>
                </c:pt>
                <c:pt idx="72">
                  <c:v>7.5857728348022135</c:v>
                </c:pt>
                <c:pt idx="73">
                  <c:v>7.5847910032645416</c:v>
                </c:pt>
                <c:pt idx="74">
                  <c:v>7.5846207880695804</c:v>
                </c:pt>
                <c:pt idx="75">
                  <c:v>7.5843578404985657</c:v>
                </c:pt>
                <c:pt idx="76">
                  <c:v>7.5834391532696026</c:v>
                </c:pt>
                <c:pt idx="77">
                  <c:v>7.5834414515542363</c:v>
                </c:pt>
                <c:pt idx="78">
                  <c:v>7.5827273009699523</c:v>
                </c:pt>
                <c:pt idx="79">
                  <c:v>7.5823845219985273</c:v>
                </c:pt>
                <c:pt idx="80">
                  <c:v>7.5823429254552845</c:v>
                </c:pt>
                <c:pt idx="81">
                  <c:v>7.5827093382858699</c:v>
                </c:pt>
                <c:pt idx="82">
                  <c:v>7.5824711293481064</c:v>
                </c:pt>
                <c:pt idx="83">
                  <c:v>7.5823116488494806</c:v>
                </c:pt>
                <c:pt idx="84">
                  <c:v>7.5826387268100284</c:v>
                </c:pt>
                <c:pt idx="85">
                  <c:v>7.5829852715975159</c:v>
                </c:pt>
                <c:pt idx="86">
                  <c:v>7.582716672484989</c:v>
                </c:pt>
                <c:pt idx="87">
                  <c:v>7.5824450171388778</c:v>
                </c:pt>
                <c:pt idx="88">
                  <c:v>7.5820634561412286</c:v>
                </c:pt>
                <c:pt idx="89">
                  <c:v>7.5811493807183572</c:v>
                </c:pt>
                <c:pt idx="90">
                  <c:v>7.5812505362294864</c:v>
                </c:pt>
                <c:pt idx="91">
                  <c:v>7.5798979395321329</c:v>
                </c:pt>
                <c:pt idx="92">
                  <c:v>7.579338177743403</c:v>
                </c:pt>
                <c:pt idx="93">
                  <c:v>7.5789334677519316</c:v>
                </c:pt>
                <c:pt idx="94">
                  <c:v>7.5784908311905825</c:v>
                </c:pt>
                <c:pt idx="95">
                  <c:v>7.5769984777881501</c:v>
                </c:pt>
                <c:pt idx="96">
                  <c:v>7.5764844993937759</c:v>
                </c:pt>
                <c:pt idx="97">
                  <c:v>7.5755311270484587</c:v>
                </c:pt>
                <c:pt idx="98">
                  <c:v>7.5751916958992913</c:v>
                </c:pt>
                <c:pt idx="99">
                  <c:v>7.5746556719847282</c:v>
                </c:pt>
                <c:pt idx="100">
                  <c:v>7.5741751550944478</c:v>
                </c:pt>
                <c:pt idx="101">
                  <c:v>7.5738333820570665</c:v>
                </c:pt>
                <c:pt idx="102">
                  <c:v>7.5729903939951067</c:v>
                </c:pt>
                <c:pt idx="103">
                  <c:v>7.572393718762978</c:v>
                </c:pt>
                <c:pt idx="104">
                  <c:v>7.571737115170837</c:v>
                </c:pt>
                <c:pt idx="105">
                  <c:v>7.5714247439479267</c:v>
                </c:pt>
                <c:pt idx="106">
                  <c:v>7.5702186551879009</c:v>
                </c:pt>
                <c:pt idx="107">
                  <c:v>7.5700059054043392</c:v>
                </c:pt>
                <c:pt idx="108">
                  <c:v>7.5696232829849084</c:v>
                </c:pt>
                <c:pt idx="109">
                  <c:v>7.5691416646382095</c:v>
                </c:pt>
                <c:pt idx="110">
                  <c:v>7.5682206772658347</c:v>
                </c:pt>
                <c:pt idx="111">
                  <c:v>7.5677306851348716</c:v>
                </c:pt>
                <c:pt idx="112">
                  <c:v>7.5666551786261751</c:v>
                </c:pt>
                <c:pt idx="113">
                  <c:v>7.5665205088725909</c:v>
                </c:pt>
                <c:pt idx="114">
                  <c:v>7.5650328830926625</c:v>
                </c:pt>
                <c:pt idx="115">
                  <c:v>7.5650686263502527</c:v>
                </c:pt>
                <c:pt idx="116">
                  <c:v>7.5641340008335689</c:v>
                </c:pt>
                <c:pt idx="117">
                  <c:v>7.5635481093294619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Cu_1stPhase!$G$2:$G$197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Cu_1stPhase!$B$2:$B$197</c:f>
              <c:numCache>
                <c:formatCode>General</c:formatCode>
                <c:ptCount val="196"/>
                <c:pt idx="0">
                  <c:v>2122.9262699999999</c:v>
                </c:pt>
                <c:pt idx="1">
                  <c:v>2119.203125</c:v>
                </c:pt>
                <c:pt idx="2">
                  <c:v>2115.4089359999998</c:v>
                </c:pt>
                <c:pt idx="3">
                  <c:v>2112.3813479999999</c:v>
                </c:pt>
                <c:pt idx="4">
                  <c:v>2109.8793949999999</c:v>
                </c:pt>
                <c:pt idx="5">
                  <c:v>2105.8591310000002</c:v>
                </c:pt>
                <c:pt idx="6">
                  <c:v>2104.2700199999999</c:v>
                </c:pt>
                <c:pt idx="7">
                  <c:v>2102.056885</c:v>
                </c:pt>
                <c:pt idx="8">
                  <c:v>2098.9270019999999</c:v>
                </c:pt>
                <c:pt idx="9">
                  <c:v>2095.6994629999999</c:v>
                </c:pt>
                <c:pt idx="10">
                  <c:v>2092.4433589999999</c:v>
                </c:pt>
                <c:pt idx="11">
                  <c:v>2088.4584960000002</c:v>
                </c:pt>
                <c:pt idx="12">
                  <c:v>2084.6674800000001</c:v>
                </c:pt>
                <c:pt idx="13">
                  <c:v>2080.9260250000002</c:v>
                </c:pt>
                <c:pt idx="14">
                  <c:v>2077.6218260000001</c:v>
                </c:pt>
                <c:pt idx="15">
                  <c:v>2077.2211910000001</c:v>
                </c:pt>
                <c:pt idx="16">
                  <c:v>2077.2136230000001</c:v>
                </c:pt>
                <c:pt idx="17">
                  <c:v>2074.1940920000002</c:v>
                </c:pt>
                <c:pt idx="18">
                  <c:v>2072.4716800000001</c:v>
                </c:pt>
                <c:pt idx="19">
                  <c:v>2070.5285640000002</c:v>
                </c:pt>
                <c:pt idx="20">
                  <c:v>2067.8991700000001</c:v>
                </c:pt>
                <c:pt idx="21">
                  <c:v>2064.8229980000001</c:v>
                </c:pt>
                <c:pt idx="22">
                  <c:v>2062.4038089999999</c:v>
                </c:pt>
                <c:pt idx="23">
                  <c:v>2060.0107419999999</c:v>
                </c:pt>
                <c:pt idx="24">
                  <c:v>2057.1125489999999</c:v>
                </c:pt>
                <c:pt idx="25">
                  <c:v>2054.8911130000001</c:v>
                </c:pt>
                <c:pt idx="26">
                  <c:v>2052.8632809999999</c:v>
                </c:pt>
                <c:pt idx="27">
                  <c:v>2049.7561040000001</c:v>
                </c:pt>
                <c:pt idx="28">
                  <c:v>2048.289307</c:v>
                </c:pt>
                <c:pt idx="29">
                  <c:v>2044.7392580000001</c:v>
                </c:pt>
                <c:pt idx="30">
                  <c:v>2042.057861</c:v>
                </c:pt>
                <c:pt idx="31">
                  <c:v>2039.2945560000001</c:v>
                </c:pt>
                <c:pt idx="32">
                  <c:v>2036.3819579999999</c:v>
                </c:pt>
                <c:pt idx="33">
                  <c:v>2035.5817870000001</c:v>
                </c:pt>
                <c:pt idx="34">
                  <c:v>2032.951294</c:v>
                </c:pt>
                <c:pt idx="35">
                  <c:v>2031.1632079999999</c:v>
                </c:pt>
                <c:pt idx="36">
                  <c:v>2028.1842039999999</c:v>
                </c:pt>
                <c:pt idx="37">
                  <c:v>2025.501221</c:v>
                </c:pt>
                <c:pt idx="38">
                  <c:v>2022.406982</c:v>
                </c:pt>
                <c:pt idx="39">
                  <c:v>2020.505249</c:v>
                </c:pt>
                <c:pt idx="40">
                  <c:v>2018.4385990000001</c:v>
                </c:pt>
                <c:pt idx="41">
                  <c:v>2017.2535399999999</c:v>
                </c:pt>
                <c:pt idx="42">
                  <c:v>2015.4094239999999</c:v>
                </c:pt>
                <c:pt idx="43">
                  <c:v>2013.6427000000001</c:v>
                </c:pt>
                <c:pt idx="44">
                  <c:v>2011.892578</c:v>
                </c:pt>
                <c:pt idx="45">
                  <c:v>2009.88562</c:v>
                </c:pt>
                <c:pt idx="46">
                  <c:v>2007.627563</c:v>
                </c:pt>
                <c:pt idx="47">
                  <c:v>2006.0295410000001</c:v>
                </c:pt>
                <c:pt idx="48">
                  <c:v>2003.856567</c:v>
                </c:pt>
                <c:pt idx="49">
                  <c:v>2002.1527100000001</c:v>
                </c:pt>
                <c:pt idx="50">
                  <c:v>2001.7685550000001</c:v>
                </c:pt>
                <c:pt idx="51">
                  <c:v>2000.38501</c:v>
                </c:pt>
                <c:pt idx="52">
                  <c:v>1999.052124</c:v>
                </c:pt>
                <c:pt idx="53">
                  <c:v>1997.071533</c:v>
                </c:pt>
                <c:pt idx="54">
                  <c:v>1996.7801509999999</c:v>
                </c:pt>
                <c:pt idx="55">
                  <c:v>1995.3170170000001</c:v>
                </c:pt>
                <c:pt idx="56">
                  <c:v>1992.680908</c:v>
                </c:pt>
                <c:pt idx="57">
                  <c:v>1989.8989260000001</c:v>
                </c:pt>
                <c:pt idx="58">
                  <c:v>1988.071533</c:v>
                </c:pt>
                <c:pt idx="59">
                  <c:v>1987.336914</c:v>
                </c:pt>
                <c:pt idx="60">
                  <c:v>1986.2261960000001</c:v>
                </c:pt>
                <c:pt idx="61">
                  <c:v>1984.2113039999999</c:v>
                </c:pt>
                <c:pt idx="62">
                  <c:v>1983.4754640000001</c:v>
                </c:pt>
                <c:pt idx="63">
                  <c:v>1981.6877440000001</c:v>
                </c:pt>
                <c:pt idx="64">
                  <c:v>1980.023193</c:v>
                </c:pt>
                <c:pt idx="65">
                  <c:v>1979.200562</c:v>
                </c:pt>
                <c:pt idx="66">
                  <c:v>1977.8397219999999</c:v>
                </c:pt>
                <c:pt idx="67">
                  <c:v>1977.109741</c:v>
                </c:pt>
                <c:pt idx="68">
                  <c:v>1975.414673</c:v>
                </c:pt>
                <c:pt idx="69">
                  <c:v>1973.853149</c:v>
                </c:pt>
                <c:pt idx="70">
                  <c:v>1972.895874</c:v>
                </c:pt>
                <c:pt idx="71">
                  <c:v>1971.092529</c:v>
                </c:pt>
                <c:pt idx="72">
                  <c:v>1969.9685059999999</c:v>
                </c:pt>
                <c:pt idx="73">
                  <c:v>1968.0352780000001</c:v>
                </c:pt>
                <c:pt idx="74">
                  <c:v>1967.700317</c:v>
                </c:pt>
                <c:pt idx="75">
                  <c:v>1967.1829829999999</c:v>
                </c:pt>
                <c:pt idx="76">
                  <c:v>1965.376587</c:v>
                </c:pt>
                <c:pt idx="77">
                  <c:v>1965.3811040000001</c:v>
                </c:pt>
                <c:pt idx="78">
                  <c:v>1963.9780270000001</c:v>
                </c:pt>
                <c:pt idx="79">
                  <c:v>1963.304932</c:v>
                </c:pt>
                <c:pt idx="80">
                  <c:v>1963.2232670000001</c:v>
                </c:pt>
                <c:pt idx="81">
                  <c:v>1963.942749</c:v>
                </c:pt>
                <c:pt idx="82">
                  <c:v>1963.474976</c:v>
                </c:pt>
                <c:pt idx="83">
                  <c:v>1963.161865</c:v>
                </c:pt>
                <c:pt idx="84">
                  <c:v>1963.804077</c:v>
                </c:pt>
                <c:pt idx="85">
                  <c:v>1964.484741</c:v>
                </c:pt>
                <c:pt idx="86">
                  <c:v>1963.9571530000001</c:v>
                </c:pt>
                <c:pt idx="87">
                  <c:v>1963.423706</c:v>
                </c:pt>
                <c:pt idx="88">
                  <c:v>1962.674683</c:v>
                </c:pt>
                <c:pt idx="89">
                  <c:v>1960.88147</c:v>
                </c:pt>
                <c:pt idx="90">
                  <c:v>1961.0798339999999</c:v>
                </c:pt>
                <c:pt idx="91">
                  <c:v>1958.429077</c:v>
                </c:pt>
                <c:pt idx="92">
                  <c:v>1957.33313</c:v>
                </c:pt>
                <c:pt idx="93">
                  <c:v>1956.541138</c:v>
                </c:pt>
                <c:pt idx="94">
                  <c:v>1955.675293</c:v>
                </c:pt>
                <c:pt idx="95">
                  <c:v>1952.7589109999999</c:v>
                </c:pt>
                <c:pt idx="96">
                  <c:v>1951.7554929999999</c:v>
                </c:pt>
                <c:pt idx="97">
                  <c:v>1949.89563</c:v>
                </c:pt>
                <c:pt idx="98">
                  <c:v>1949.2338870000001</c:v>
                </c:pt>
                <c:pt idx="99">
                  <c:v>1948.189331</c:v>
                </c:pt>
                <c:pt idx="100">
                  <c:v>1947.253418</c:v>
                </c:pt>
                <c:pt idx="101">
                  <c:v>1946.588013</c:v>
                </c:pt>
                <c:pt idx="102">
                  <c:v>1944.947754</c:v>
                </c:pt>
                <c:pt idx="103">
                  <c:v>1943.7875979999999</c:v>
                </c:pt>
                <c:pt idx="104">
                  <c:v>1942.5117190000001</c:v>
                </c:pt>
                <c:pt idx="105">
                  <c:v>1941.905029</c:v>
                </c:pt>
                <c:pt idx="106">
                  <c:v>1939.564331</c:v>
                </c:pt>
                <c:pt idx="107">
                  <c:v>1939.1517329999999</c:v>
                </c:pt>
                <c:pt idx="108">
                  <c:v>1938.4099120000001</c:v>
                </c:pt>
                <c:pt idx="109">
                  <c:v>1937.4765629999999</c:v>
                </c:pt>
                <c:pt idx="110">
                  <c:v>1935.6929929999999</c:v>
                </c:pt>
                <c:pt idx="111">
                  <c:v>1934.744751</c:v>
                </c:pt>
                <c:pt idx="112">
                  <c:v>1932.665039</c:v>
                </c:pt>
                <c:pt idx="113">
                  <c:v>1932.4047849999999</c:v>
                </c:pt>
                <c:pt idx="114">
                  <c:v>1929.5322269999999</c:v>
                </c:pt>
                <c:pt idx="115">
                  <c:v>1929.6011960000001</c:v>
                </c:pt>
                <c:pt idx="116">
                  <c:v>1927.7985839999999</c:v>
                </c:pt>
                <c:pt idx="117">
                  <c:v>1926.6694339999999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Cu_1stPhase!$G$2:$G$102</c:f>
              <c:numCache>
                <c:formatCode>General</c:formatCode>
                <c:ptCount val="10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</c:numCache>
            </c:numRef>
          </c:xVal>
          <c:yVal>
            <c:numRef>
              <c:f>Cu_1stPhase!$I$2:$I$102</c:f>
              <c:numCache>
                <c:formatCode>General</c:formatCode>
                <c:ptCount val="101"/>
                <c:pt idx="0">
                  <c:v>7.6605507319433315</c:v>
                </c:pt>
                <c:pt idx="1">
                  <c:v>7.6587954125698339</c:v>
                </c:pt>
                <c:pt idx="2">
                  <c:v>7.6570034231452171</c:v>
                </c:pt>
                <c:pt idx="3">
                  <c:v>7.6555711910267057</c:v>
                </c:pt>
                <c:pt idx="4">
                  <c:v>7.6543860660687146</c:v>
                </c:pt>
                <c:pt idx="5">
                  <c:v>7.6524788010930047</c:v>
                </c:pt>
                <c:pt idx="6">
                  <c:v>7.6517239021250774</c:v>
                </c:pt>
                <c:pt idx="7">
                  <c:v>7.6506716133923165</c:v>
                </c:pt>
                <c:pt idx="8">
                  <c:v>7.64918154170278</c:v>
                </c:pt>
                <c:pt idx="9">
                  <c:v>7.6476426491868992</c:v>
                </c:pt>
                <c:pt idx="10">
                  <c:v>7.646087733419014</c:v>
                </c:pt>
                <c:pt idx="11">
                  <c:v>7.6441815111039038</c:v>
                </c:pt>
                <c:pt idx="12">
                  <c:v>7.6423646394999043</c:v>
                </c:pt>
                <c:pt idx="13">
                  <c:v>7.6405682779482449</c:v>
                </c:pt>
                <c:pt idx="14">
                  <c:v>7.6389791656841934</c:v>
                </c:pt>
                <c:pt idx="15">
                  <c:v>7.6387863136319725</c:v>
                </c:pt>
                <c:pt idx="16">
                  <c:v>7.6387826702964343</c:v>
                </c:pt>
                <c:pt idx="17">
                  <c:v>7.6373279678245112</c:v>
                </c:pt>
                <c:pt idx="18">
                  <c:v>7.6364972222598757</c:v>
                </c:pt>
                <c:pt idx="19">
                  <c:v>7.6355591985919835</c:v>
                </c:pt>
                <c:pt idx="20">
                  <c:v>7.6342884771862618</c:v>
                </c:pt>
                <c:pt idx="21">
                  <c:v>7.6327997864671335</c:v>
                </c:pt>
                <c:pt idx="22">
                  <c:v>7.6316274790606418</c:v>
                </c:pt>
                <c:pt idx="23">
                  <c:v>7.6304664763331376</c:v>
                </c:pt>
                <c:pt idx="24">
                  <c:v>7.6290586032752454</c:v>
                </c:pt>
                <c:pt idx="25">
                  <c:v>7.6279781391518116</c:v>
                </c:pt>
                <c:pt idx="26">
                  <c:v>7.6269908200619998</c:v>
                </c:pt>
                <c:pt idx="27">
                  <c:v>7.6254760913959903</c:v>
                </c:pt>
                <c:pt idx="28">
                  <c:v>7.6247602393662879</c:v>
                </c:pt>
                <c:pt idx="29">
                  <c:v>7.623025558147317</c:v>
                </c:pt>
                <c:pt idx="30">
                  <c:v>7.6217133337786054</c:v>
                </c:pt>
                <c:pt idx="31">
                  <c:v>7.6203592211512676</c:v>
                </c:pt>
                <c:pt idx="32">
                  <c:v>7.6189299622364288</c:v>
                </c:pt>
                <c:pt idx="33">
                  <c:v>7.6185369474355076</c:v>
                </c:pt>
                <c:pt idx="34">
                  <c:v>7.6172438556433733</c:v>
                </c:pt>
                <c:pt idx="35">
                  <c:v>7.6163639167959341</c:v>
                </c:pt>
                <c:pt idx="36">
                  <c:v>7.6148961909609989</c:v>
                </c:pt>
                <c:pt idx="37">
                  <c:v>7.6135724654566834</c:v>
                </c:pt>
                <c:pt idx="38">
                  <c:v>7.6120436562804397</c:v>
                </c:pt>
                <c:pt idx="39">
                  <c:v>7.6111028823869677</c:v>
                </c:pt>
                <c:pt idx="40">
                  <c:v>7.6100795207072132</c:v>
                </c:pt>
                <c:pt idx="41">
                  <c:v>7.6094922315913713</c:v>
                </c:pt>
                <c:pt idx="42">
                  <c:v>7.6085776418302089</c:v>
                </c:pt>
                <c:pt idx="43">
                  <c:v>7.6077006493968229</c:v>
                </c:pt>
                <c:pt idx="44">
                  <c:v>7.6068311391382339</c:v>
                </c:pt>
                <c:pt idx="45">
                  <c:v>7.6058330939613068</c:v>
                </c:pt>
                <c:pt idx="46">
                  <c:v>7.6047089870150835</c:v>
                </c:pt>
                <c:pt idx="47">
                  <c:v>7.6039126947344862</c:v>
                </c:pt>
                <c:pt idx="48">
                  <c:v>7.6028288862899673</c:v>
                </c:pt>
                <c:pt idx="49">
                  <c:v>7.6019782356873709</c:v>
                </c:pt>
                <c:pt idx="50">
                  <c:v>7.6017863462990674</c:v>
                </c:pt>
                <c:pt idx="51">
                  <c:v>7.6010949460153725</c:v>
                </c:pt>
                <c:pt idx="52">
                  <c:v>7.6004284091979706</c:v>
                </c:pt>
                <c:pt idx="53">
                  <c:v>7.5994371530046312</c:v>
                </c:pt>
                <c:pt idx="54">
                  <c:v>7.5992912377210553</c:v>
                </c:pt>
                <c:pt idx="55">
                  <c:v>7.5985582224641917</c:v>
                </c:pt>
                <c:pt idx="56">
                  <c:v>7.5972362010220982</c:v>
                </c:pt>
                <c:pt idx="57">
                  <c:v>7.5958391254738604</c:v>
                </c:pt>
                <c:pt idx="58">
                  <c:v>7.5949203689635345</c:v>
                </c:pt>
                <c:pt idx="59">
                  <c:v>7.5945507873126648</c:v>
                </c:pt>
                <c:pt idx="60">
                  <c:v>7.5939917333864129</c:v>
                </c:pt>
                <c:pt idx="61">
                  <c:v>7.5929767862059245</c:v>
                </c:pt>
                <c:pt idx="62">
                  <c:v>7.5926058698249381</c:v>
                </c:pt>
                <c:pt idx="63">
                  <c:v>7.5917041565650534</c:v>
                </c:pt>
                <c:pt idx="64">
                  <c:v>7.5908638372563404</c:v>
                </c:pt>
                <c:pt idx="65">
                  <c:v>7.5904482855912958</c:v>
                </c:pt>
                <c:pt idx="66">
                  <c:v>7.5897604785658519</c:v>
                </c:pt>
                <c:pt idx="67">
                  <c:v>7.5893913304818534</c:v>
                </c:pt>
                <c:pt idx="68">
                  <c:v>7.5885336163091521</c:v>
                </c:pt>
                <c:pt idx="69">
                  <c:v>7.5877428246223095</c:v>
                </c:pt>
                <c:pt idx="70">
                  <c:v>7.5872577291611121</c:v>
                </c:pt>
                <c:pt idx="71">
                  <c:v>7.5863432512563076</c:v>
                </c:pt>
                <c:pt idx="72">
                  <c:v>7.5857728348022135</c:v>
                </c:pt>
                <c:pt idx="73">
                  <c:v>7.5847910032645416</c:v>
                </c:pt>
                <c:pt idx="74">
                  <c:v>7.5846207880695804</c:v>
                </c:pt>
                <c:pt idx="75">
                  <c:v>7.5843578404985657</c:v>
                </c:pt>
                <c:pt idx="76">
                  <c:v>7.5834391532696026</c:v>
                </c:pt>
                <c:pt idx="77">
                  <c:v>7.5834414515542363</c:v>
                </c:pt>
                <c:pt idx="78">
                  <c:v>7.5827273009699523</c:v>
                </c:pt>
                <c:pt idx="79">
                  <c:v>7.5823845219985273</c:v>
                </c:pt>
                <c:pt idx="80">
                  <c:v>7.5823429254552845</c:v>
                </c:pt>
                <c:pt idx="81">
                  <c:v>7.5827093382858699</c:v>
                </c:pt>
                <c:pt idx="82">
                  <c:v>7.5824711293481064</c:v>
                </c:pt>
                <c:pt idx="83">
                  <c:v>7.5823116488494806</c:v>
                </c:pt>
                <c:pt idx="84">
                  <c:v>7.5826387268100284</c:v>
                </c:pt>
                <c:pt idx="85">
                  <c:v>7.5829852715975159</c:v>
                </c:pt>
                <c:pt idx="86">
                  <c:v>7.582716672484989</c:v>
                </c:pt>
                <c:pt idx="87">
                  <c:v>7.5824450171388778</c:v>
                </c:pt>
                <c:pt idx="88">
                  <c:v>7.5820634561412286</c:v>
                </c:pt>
                <c:pt idx="89">
                  <c:v>7.5811493807183572</c:v>
                </c:pt>
                <c:pt idx="90">
                  <c:v>7.5812505362294864</c:v>
                </c:pt>
                <c:pt idx="91">
                  <c:v>7.5798979395321329</c:v>
                </c:pt>
                <c:pt idx="92">
                  <c:v>7.579338177743403</c:v>
                </c:pt>
                <c:pt idx="93">
                  <c:v>7.5789334677519316</c:v>
                </c:pt>
                <c:pt idx="94">
                  <c:v>7.5784908311905825</c:v>
                </c:pt>
                <c:pt idx="95">
                  <c:v>7.5769984777881501</c:v>
                </c:pt>
                <c:pt idx="96">
                  <c:v>7.5764844993937759</c:v>
                </c:pt>
                <c:pt idx="97">
                  <c:v>7.5755311270484587</c:v>
                </c:pt>
                <c:pt idx="98">
                  <c:v>7.5751916958992913</c:v>
                </c:pt>
                <c:pt idx="99">
                  <c:v>7.5746556719847282</c:v>
                </c:pt>
                <c:pt idx="100">
                  <c:v>7.5741751550944478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000177844079682E-2"/>
                  <c:y val="-0.38195246427529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Cu_1stPhase!$G$2:$G$102</c:f>
              <c:numCache>
                <c:formatCode>General</c:formatCode>
                <c:ptCount val="10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</c:numCache>
            </c:numRef>
          </c:xVal>
          <c:yVal>
            <c:numRef>
              <c:f>Cu_1stPhase!$B$2:$B$102</c:f>
              <c:numCache>
                <c:formatCode>General</c:formatCode>
                <c:ptCount val="101"/>
                <c:pt idx="0">
                  <c:v>2122.9262699999999</c:v>
                </c:pt>
                <c:pt idx="1">
                  <c:v>2119.203125</c:v>
                </c:pt>
                <c:pt idx="2">
                  <c:v>2115.4089359999998</c:v>
                </c:pt>
                <c:pt idx="3">
                  <c:v>2112.3813479999999</c:v>
                </c:pt>
                <c:pt idx="4">
                  <c:v>2109.8793949999999</c:v>
                </c:pt>
                <c:pt idx="5">
                  <c:v>2105.8591310000002</c:v>
                </c:pt>
                <c:pt idx="6">
                  <c:v>2104.2700199999999</c:v>
                </c:pt>
                <c:pt idx="7">
                  <c:v>2102.056885</c:v>
                </c:pt>
                <c:pt idx="8">
                  <c:v>2098.9270019999999</c:v>
                </c:pt>
                <c:pt idx="9">
                  <c:v>2095.6994629999999</c:v>
                </c:pt>
                <c:pt idx="10">
                  <c:v>2092.4433589999999</c:v>
                </c:pt>
                <c:pt idx="11">
                  <c:v>2088.4584960000002</c:v>
                </c:pt>
                <c:pt idx="12">
                  <c:v>2084.6674800000001</c:v>
                </c:pt>
                <c:pt idx="13">
                  <c:v>2080.9260250000002</c:v>
                </c:pt>
                <c:pt idx="14">
                  <c:v>2077.6218260000001</c:v>
                </c:pt>
                <c:pt idx="15">
                  <c:v>2077.2211910000001</c:v>
                </c:pt>
                <c:pt idx="16">
                  <c:v>2077.2136230000001</c:v>
                </c:pt>
                <c:pt idx="17">
                  <c:v>2074.1940920000002</c:v>
                </c:pt>
                <c:pt idx="18">
                  <c:v>2072.4716800000001</c:v>
                </c:pt>
                <c:pt idx="19">
                  <c:v>2070.5285640000002</c:v>
                </c:pt>
                <c:pt idx="20">
                  <c:v>2067.8991700000001</c:v>
                </c:pt>
                <c:pt idx="21">
                  <c:v>2064.8229980000001</c:v>
                </c:pt>
                <c:pt idx="22">
                  <c:v>2062.4038089999999</c:v>
                </c:pt>
                <c:pt idx="23">
                  <c:v>2060.0107419999999</c:v>
                </c:pt>
                <c:pt idx="24">
                  <c:v>2057.1125489999999</c:v>
                </c:pt>
                <c:pt idx="25">
                  <c:v>2054.8911130000001</c:v>
                </c:pt>
                <c:pt idx="26">
                  <c:v>2052.8632809999999</c:v>
                </c:pt>
                <c:pt idx="27">
                  <c:v>2049.7561040000001</c:v>
                </c:pt>
                <c:pt idx="28">
                  <c:v>2048.289307</c:v>
                </c:pt>
                <c:pt idx="29">
                  <c:v>2044.7392580000001</c:v>
                </c:pt>
                <c:pt idx="30">
                  <c:v>2042.057861</c:v>
                </c:pt>
                <c:pt idx="31">
                  <c:v>2039.2945560000001</c:v>
                </c:pt>
                <c:pt idx="32">
                  <c:v>2036.3819579999999</c:v>
                </c:pt>
                <c:pt idx="33">
                  <c:v>2035.5817870000001</c:v>
                </c:pt>
                <c:pt idx="34">
                  <c:v>2032.951294</c:v>
                </c:pt>
                <c:pt idx="35">
                  <c:v>2031.1632079999999</c:v>
                </c:pt>
                <c:pt idx="36">
                  <c:v>2028.1842039999999</c:v>
                </c:pt>
                <c:pt idx="37">
                  <c:v>2025.501221</c:v>
                </c:pt>
                <c:pt idx="38">
                  <c:v>2022.406982</c:v>
                </c:pt>
                <c:pt idx="39">
                  <c:v>2020.505249</c:v>
                </c:pt>
                <c:pt idx="40">
                  <c:v>2018.4385990000001</c:v>
                </c:pt>
                <c:pt idx="41">
                  <c:v>2017.2535399999999</c:v>
                </c:pt>
                <c:pt idx="42">
                  <c:v>2015.4094239999999</c:v>
                </c:pt>
                <c:pt idx="43">
                  <c:v>2013.6427000000001</c:v>
                </c:pt>
                <c:pt idx="44">
                  <c:v>2011.892578</c:v>
                </c:pt>
                <c:pt idx="45">
                  <c:v>2009.88562</c:v>
                </c:pt>
                <c:pt idx="46">
                  <c:v>2007.627563</c:v>
                </c:pt>
                <c:pt idx="47">
                  <c:v>2006.0295410000001</c:v>
                </c:pt>
                <c:pt idx="48">
                  <c:v>2003.856567</c:v>
                </c:pt>
                <c:pt idx="49">
                  <c:v>2002.1527100000001</c:v>
                </c:pt>
                <c:pt idx="50">
                  <c:v>2001.7685550000001</c:v>
                </c:pt>
                <c:pt idx="51">
                  <c:v>2000.38501</c:v>
                </c:pt>
                <c:pt idx="52">
                  <c:v>1999.052124</c:v>
                </c:pt>
                <c:pt idx="53">
                  <c:v>1997.071533</c:v>
                </c:pt>
                <c:pt idx="54">
                  <c:v>1996.7801509999999</c:v>
                </c:pt>
                <c:pt idx="55">
                  <c:v>1995.3170170000001</c:v>
                </c:pt>
                <c:pt idx="56">
                  <c:v>1992.680908</c:v>
                </c:pt>
                <c:pt idx="57">
                  <c:v>1989.8989260000001</c:v>
                </c:pt>
                <c:pt idx="58">
                  <c:v>1988.071533</c:v>
                </c:pt>
                <c:pt idx="59">
                  <c:v>1987.336914</c:v>
                </c:pt>
                <c:pt idx="60">
                  <c:v>1986.2261960000001</c:v>
                </c:pt>
                <c:pt idx="61">
                  <c:v>1984.2113039999999</c:v>
                </c:pt>
                <c:pt idx="62">
                  <c:v>1983.4754640000001</c:v>
                </c:pt>
                <c:pt idx="63">
                  <c:v>1981.6877440000001</c:v>
                </c:pt>
                <c:pt idx="64">
                  <c:v>1980.023193</c:v>
                </c:pt>
                <c:pt idx="65">
                  <c:v>1979.200562</c:v>
                </c:pt>
                <c:pt idx="66">
                  <c:v>1977.8397219999999</c:v>
                </c:pt>
                <c:pt idx="67">
                  <c:v>1977.109741</c:v>
                </c:pt>
                <c:pt idx="68">
                  <c:v>1975.414673</c:v>
                </c:pt>
                <c:pt idx="69">
                  <c:v>1973.853149</c:v>
                </c:pt>
                <c:pt idx="70">
                  <c:v>1972.895874</c:v>
                </c:pt>
                <c:pt idx="71">
                  <c:v>1971.092529</c:v>
                </c:pt>
                <c:pt idx="72">
                  <c:v>1969.9685059999999</c:v>
                </c:pt>
                <c:pt idx="73">
                  <c:v>1968.0352780000001</c:v>
                </c:pt>
                <c:pt idx="74">
                  <c:v>1967.700317</c:v>
                </c:pt>
                <c:pt idx="75">
                  <c:v>1967.1829829999999</c:v>
                </c:pt>
                <c:pt idx="76">
                  <c:v>1965.376587</c:v>
                </c:pt>
                <c:pt idx="77">
                  <c:v>1965.3811040000001</c:v>
                </c:pt>
                <c:pt idx="78">
                  <c:v>1963.9780270000001</c:v>
                </c:pt>
                <c:pt idx="79">
                  <c:v>1963.304932</c:v>
                </c:pt>
                <c:pt idx="80">
                  <c:v>1963.2232670000001</c:v>
                </c:pt>
                <c:pt idx="81">
                  <c:v>1963.942749</c:v>
                </c:pt>
                <c:pt idx="82">
                  <c:v>1963.474976</c:v>
                </c:pt>
                <c:pt idx="83">
                  <c:v>1963.161865</c:v>
                </c:pt>
                <c:pt idx="84">
                  <c:v>1963.804077</c:v>
                </c:pt>
                <c:pt idx="85">
                  <c:v>1964.484741</c:v>
                </c:pt>
                <c:pt idx="86">
                  <c:v>1963.9571530000001</c:v>
                </c:pt>
                <c:pt idx="87">
                  <c:v>1963.423706</c:v>
                </c:pt>
                <c:pt idx="88">
                  <c:v>1962.674683</c:v>
                </c:pt>
                <c:pt idx="89">
                  <c:v>1960.88147</c:v>
                </c:pt>
                <c:pt idx="90">
                  <c:v>1961.0798339999999</c:v>
                </c:pt>
                <c:pt idx="91">
                  <c:v>1958.429077</c:v>
                </c:pt>
                <c:pt idx="92">
                  <c:v>1957.33313</c:v>
                </c:pt>
                <c:pt idx="93">
                  <c:v>1956.541138</c:v>
                </c:pt>
                <c:pt idx="94">
                  <c:v>1955.675293</c:v>
                </c:pt>
                <c:pt idx="95">
                  <c:v>1952.7589109999999</c:v>
                </c:pt>
                <c:pt idx="96">
                  <c:v>1951.7554929999999</c:v>
                </c:pt>
                <c:pt idx="97">
                  <c:v>1949.89563</c:v>
                </c:pt>
                <c:pt idx="98">
                  <c:v>1949.2338870000001</c:v>
                </c:pt>
                <c:pt idx="99">
                  <c:v>1948.189331</c:v>
                </c:pt>
                <c:pt idx="100">
                  <c:v>1947.253418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840576360742606"/>
                  <c:y val="9.2076771653543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Cu_1stPhase!$G$2:$G$194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Cu_1stPhase!$H$2:$H$187</c:f>
              <c:numCache>
                <c:formatCode>General</c:formatCode>
                <c:ptCount val="186"/>
                <c:pt idx="0">
                  <c:v>5.4430278706565787</c:v>
                </c:pt>
                <c:pt idx="1">
                  <c:v>5.4267890522920377</c:v>
                </c:pt>
                <c:pt idx="2">
                  <c:v>5.4099645317493348</c:v>
                </c:pt>
                <c:pt idx="3">
                  <c:v>5.3963332825445027</c:v>
                </c:pt>
                <c:pt idx="4">
                  <c:v>5.3849266898082293</c:v>
                </c:pt>
                <c:pt idx="5">
                  <c:v>5.3663210536200294</c:v>
                </c:pt>
                <c:pt idx="6">
                  <c:v>5.3588701740211775</c:v>
                </c:pt>
                <c:pt idx="7">
                  <c:v>5.3484000521944415</c:v>
                </c:pt>
                <c:pt idx="8">
                  <c:v>5.3334032063442907</c:v>
                </c:pt>
                <c:pt idx="9">
                  <c:v>5.3176992337684821</c:v>
                </c:pt>
                <c:pt idx="10">
                  <c:v>5.3016023600438862</c:v>
                </c:pt>
                <c:pt idx="11">
                  <c:v>5.2815435493720821</c:v>
                </c:pt>
                <c:pt idx="12">
                  <c:v>5.2620796398634457</c:v>
                </c:pt>
                <c:pt idx="13">
                  <c:v>5.2424914204608619</c:v>
                </c:pt>
                <c:pt idx="14">
                  <c:v>5.2248675024091069</c:v>
                </c:pt>
                <c:pt idx="15">
                  <c:v>5.2227093290894873</c:v>
                </c:pt>
                <c:pt idx="16">
                  <c:v>5.2226685163127406</c:v>
                </c:pt>
                <c:pt idx="17">
                  <c:v>5.206250387876783</c:v>
                </c:pt>
                <c:pt idx="18">
                  <c:v>5.1967629318991619</c:v>
                </c:pt>
                <c:pt idx="19">
                  <c:v>5.1859506088403</c:v>
                </c:pt>
                <c:pt idx="20">
                  <c:v>5.1711308880304836</c:v>
                </c:pt>
                <c:pt idx="21">
                  <c:v>5.1535095938555804</c:v>
                </c:pt>
                <c:pt idx="22">
                  <c:v>5.1394302399453169</c:v>
                </c:pt>
                <c:pt idx="23">
                  <c:v>5.1253051153925009</c:v>
                </c:pt>
                <c:pt idx="24">
                  <c:v>5.1079269579486271</c:v>
                </c:pt>
                <c:pt idx="25">
                  <c:v>5.0943992723228533</c:v>
                </c:pt>
                <c:pt idx="26">
                  <c:v>5.0818887259236307</c:v>
                </c:pt>
                <c:pt idx="27">
                  <c:v>5.0624103577476891</c:v>
                </c:pt>
                <c:pt idx="28">
                  <c:v>5.0530817412785485</c:v>
                </c:pt>
                <c:pt idx="29">
                  <c:v>5.0301370787582069</c:v>
                </c:pt>
                <c:pt idx="30">
                  <c:v>5.01245085164045</c:v>
                </c:pt>
                <c:pt idx="31">
                  <c:v>4.9938910619380925</c:v>
                </c:pt>
                <c:pt idx="32">
                  <c:v>4.9739483357401557</c:v>
                </c:pt>
                <c:pt idx="33">
                  <c:v>4.9683991543104211</c:v>
                </c:pt>
                <c:pt idx="34">
                  <c:v>4.9499366020366882</c:v>
                </c:pt>
                <c:pt idx="35">
                  <c:v>4.937189150065465</c:v>
                </c:pt>
                <c:pt idx="36">
                  <c:v>4.9155838568151964</c:v>
                </c:pt>
                <c:pt idx="37">
                  <c:v>4.8957177066191599</c:v>
                </c:pt>
                <c:pt idx="38">
                  <c:v>4.872305374553453</c:v>
                </c:pt>
                <c:pt idx="39">
                  <c:v>4.8576392618512836</c:v>
                </c:pt>
                <c:pt idx="40">
                  <c:v>4.8414535821840587</c:v>
                </c:pt>
                <c:pt idx="41">
                  <c:v>4.8320528182185898</c:v>
                </c:pt>
                <c:pt idx="42">
                  <c:v>4.8172458657530797</c:v>
                </c:pt>
                <c:pt idx="43">
                  <c:v>4.8028516727596893</c:v>
                </c:pt>
                <c:pt idx="44">
                  <c:v>4.7883854932680672</c:v>
                </c:pt>
                <c:pt idx="45">
                  <c:v>4.7715346021153451</c:v>
                </c:pt>
                <c:pt idx="46">
                  <c:v>4.7522296366614336</c:v>
                </c:pt>
                <c:pt idx="47">
                  <c:v>4.7383387965651647</c:v>
                </c:pt>
                <c:pt idx="48">
                  <c:v>4.7191351598919926</c:v>
                </c:pt>
                <c:pt idx="49">
                  <c:v>4.7038150722006487</c:v>
                </c:pt>
                <c:pt idx="50">
                  <c:v>4.7003283087777898</c:v>
                </c:pt>
                <c:pt idx="51">
                  <c:v>4.6876689213088989</c:v>
                </c:pt>
                <c:pt idx="52">
                  <c:v>4.6753195990895531</c:v>
                </c:pt>
                <c:pt idx="53">
                  <c:v>4.6566828598102141</c:v>
                </c:pt>
                <c:pt idx="54">
                  <c:v>4.6539115013453909</c:v>
                </c:pt>
                <c:pt idx="55">
                  <c:v>4.6398782033828585</c:v>
                </c:pt>
                <c:pt idx="56">
                  <c:v>4.6140865963910587</c:v>
                </c:pt>
                <c:pt idx="57">
                  <c:v>4.586126459853566</c:v>
                </c:pt>
                <c:pt idx="58">
                  <c:v>4.5673255567968321</c:v>
                </c:pt>
                <c:pt idx="59">
                  <c:v>4.5596667715343058</c:v>
                </c:pt>
                <c:pt idx="60">
                  <c:v>4.547974411450241</c:v>
                </c:pt>
                <c:pt idx="61">
                  <c:v>4.526408584014769</c:v>
                </c:pt>
                <c:pt idx="62">
                  <c:v>4.5184153288217122</c:v>
                </c:pt>
                <c:pt idx="63">
                  <c:v>4.4987253493333448</c:v>
                </c:pt>
                <c:pt idx="64">
                  <c:v>4.48003672326029</c:v>
                </c:pt>
                <c:pt idx="65">
                  <c:v>4.470670118635371</c:v>
                </c:pt>
                <c:pt idx="66">
                  <c:v>4.4549801424757156</c:v>
                </c:pt>
                <c:pt idx="67">
                  <c:v>4.4464611777496712</c:v>
                </c:pt>
                <c:pt idx="68">
                  <c:v>4.426395049206147</c:v>
                </c:pt>
                <c:pt idx="69">
                  <c:v>4.4075465756654193</c:v>
                </c:pt>
                <c:pt idx="70">
                  <c:v>4.3958135814434298</c:v>
                </c:pt>
                <c:pt idx="71">
                  <c:v>4.3733295368210809</c:v>
                </c:pt>
                <c:pt idx="72">
                  <c:v>4.3590551232638024</c:v>
                </c:pt>
                <c:pt idx="73">
                  <c:v>4.3340173892580136</c:v>
                </c:pt>
                <c:pt idx="74">
                  <c:v>4.3296147807212417</c:v>
                </c:pt>
                <c:pt idx="75">
                  <c:v>4.3227768103588851</c:v>
                </c:pt>
                <c:pt idx="76">
                  <c:v>4.2985269073460843</c:v>
                </c:pt>
                <c:pt idx="77">
                  <c:v>4.298588284994671</c:v>
                </c:pt>
                <c:pt idx="78">
                  <c:v>4.2793395837889214</c:v>
                </c:pt>
                <c:pt idx="79">
                  <c:v>4.2699722650816092</c:v>
                </c:pt>
                <c:pt idx="80">
                  <c:v>4.26882975867965</c:v>
                </c:pt>
                <c:pt idx="81">
                  <c:v>4.2788508003055297</c:v>
                </c:pt>
                <c:pt idx="82">
                  <c:v>4.2723470273759458</c:v>
                </c:pt>
                <c:pt idx="83">
                  <c:v>4.267969874384602</c:v>
                </c:pt>
                <c:pt idx="84">
                  <c:v>4.2769271543878027</c:v>
                </c:pt>
                <c:pt idx="85">
                  <c:v>4.2863339704817278</c:v>
                </c:pt>
                <c:pt idx="86">
                  <c:v>4.2790503993593081</c:v>
                </c:pt>
                <c:pt idx="87">
                  <c:v>4.2716316059852053</c:v>
                </c:pt>
                <c:pt idx="88">
                  <c:v>4.2611209583333691</c:v>
                </c:pt>
                <c:pt idx="89">
                  <c:v>4.2354995917715872</c:v>
                </c:pt>
                <c:pt idx="90">
                  <c:v>4.2383663172492394</c:v>
                </c:pt>
                <c:pt idx="91">
                  <c:v>4.1993619740265311</c:v>
                </c:pt>
                <c:pt idx="92">
                  <c:v>4.1827804102820183</c:v>
                </c:pt>
                <c:pt idx="93">
                  <c:v>4.1706241675298612</c:v>
                </c:pt>
                <c:pt idx="94">
                  <c:v>4.1571630580889538</c:v>
                </c:pt>
                <c:pt idx="95">
                  <c:v>4.1104414920254184</c:v>
                </c:pt>
                <c:pt idx="96">
                  <c:v>4.0938479889499968</c:v>
                </c:pt>
                <c:pt idx="97">
                  <c:v>4.0623437891285894</c:v>
                </c:pt>
                <c:pt idx="98">
                  <c:v>4.0508907568293457</c:v>
                </c:pt>
                <c:pt idx="99">
                  <c:v>4.0325409821657674</c:v>
                </c:pt>
                <c:pt idx="100">
                  <c:v>4.0158087658094868</c:v>
                </c:pt>
                <c:pt idx="101">
                  <c:v>4.0037400649731643</c:v>
                </c:pt>
                <c:pt idx="102">
                  <c:v>3.9733527715130919</c:v>
                </c:pt>
                <c:pt idx="103">
                  <c:v>3.9512882945109808</c:v>
                </c:pt>
                <c:pt idx="104">
                  <c:v>3.9264472539640072</c:v>
                </c:pt>
                <c:pt idx="105">
                  <c:v>3.9144151220344821</c:v>
                </c:pt>
                <c:pt idx="106">
                  <c:v>3.8665872798335248</c:v>
                </c:pt>
                <c:pt idx="107">
                  <c:v>3.857914235516958</c:v>
                </c:pt>
                <c:pt idx="108">
                  <c:v>3.8421289851714393</c:v>
                </c:pt>
                <c:pt idx="109">
                  <c:v>3.821907535723716</c:v>
                </c:pt>
                <c:pt idx="110">
                  <c:v>3.7820899994094264</c:v>
                </c:pt>
                <c:pt idx="111">
                  <c:v>3.7602571363445323</c:v>
                </c:pt>
                <c:pt idx="112">
                  <c:v>3.7106350505747443</c:v>
                </c:pt>
                <c:pt idx="113">
                  <c:v>3.7042483699627717</c:v>
                </c:pt>
                <c:pt idx="114">
                  <c:v>3.630904598252354</c:v>
                </c:pt>
                <c:pt idx="115">
                  <c:v>3.6327300722064733</c:v>
                </c:pt>
                <c:pt idx="116">
                  <c:v>3.5838884257428272</c:v>
                </c:pt>
                <c:pt idx="117">
                  <c:v>3.5520326859863416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C-406A-A17A-CBA75C54F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7866777418603874E-2"/>
                  <c:y val="-0.304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Cu_1stPhase!$G$2:$G$197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Cu_1stPhase!$F$2:$F$200</c:f>
              <c:numCache>
                <c:formatCode>General</c:formatCode>
                <c:ptCount val="199"/>
                <c:pt idx="0">
                  <c:v>231.14098999999993</c:v>
                </c:pt>
                <c:pt idx="1">
                  <c:v>227.417845</c:v>
                </c:pt>
                <c:pt idx="2">
                  <c:v>223.62365599999981</c:v>
                </c:pt>
                <c:pt idx="3">
                  <c:v>220.59606799999989</c:v>
                </c:pt>
                <c:pt idx="4">
                  <c:v>218.09411499999993</c:v>
                </c:pt>
                <c:pt idx="5">
                  <c:v>214.07385100000016</c:v>
                </c:pt>
                <c:pt idx="6">
                  <c:v>212.48473999999993</c:v>
                </c:pt>
                <c:pt idx="7">
                  <c:v>210.27160499999997</c:v>
                </c:pt>
                <c:pt idx="8">
                  <c:v>207.1417219999999</c:v>
                </c:pt>
                <c:pt idx="9">
                  <c:v>203.91418299999992</c:v>
                </c:pt>
                <c:pt idx="10">
                  <c:v>200.65807899999987</c:v>
                </c:pt>
                <c:pt idx="11">
                  <c:v>196.6732160000002</c:v>
                </c:pt>
                <c:pt idx="12">
                  <c:v>192.88220000000007</c:v>
                </c:pt>
                <c:pt idx="13">
                  <c:v>189.14074500000021</c:v>
                </c:pt>
                <c:pt idx="14">
                  <c:v>185.83654600000006</c:v>
                </c:pt>
                <c:pt idx="15">
                  <c:v>185.43591100000009</c:v>
                </c:pt>
                <c:pt idx="16">
                  <c:v>185.4283430000001</c:v>
                </c:pt>
                <c:pt idx="17">
                  <c:v>182.40881200000018</c:v>
                </c:pt>
                <c:pt idx="18">
                  <c:v>180.68640000000011</c:v>
                </c:pt>
                <c:pt idx="19">
                  <c:v>178.74328400000019</c:v>
                </c:pt>
                <c:pt idx="20">
                  <c:v>176.11389000000014</c:v>
                </c:pt>
                <c:pt idx="21">
                  <c:v>173.0377180000001</c:v>
                </c:pt>
                <c:pt idx="22">
                  <c:v>170.61852899999991</c:v>
                </c:pt>
                <c:pt idx="23">
                  <c:v>168.22546199999994</c:v>
                </c:pt>
                <c:pt idx="24">
                  <c:v>165.32726899999994</c:v>
                </c:pt>
                <c:pt idx="25">
                  <c:v>163.10583300000013</c:v>
                </c:pt>
                <c:pt idx="26">
                  <c:v>161.07800099999992</c:v>
                </c:pt>
                <c:pt idx="27">
                  <c:v>157.97082400000005</c:v>
                </c:pt>
                <c:pt idx="28">
                  <c:v>156.50402700000001</c:v>
                </c:pt>
                <c:pt idx="29">
                  <c:v>152.95397800000006</c:v>
                </c:pt>
                <c:pt idx="30">
                  <c:v>150.272581</c:v>
                </c:pt>
                <c:pt idx="31">
                  <c:v>147.50927600000006</c:v>
                </c:pt>
                <c:pt idx="32">
                  <c:v>144.59667799999994</c:v>
                </c:pt>
                <c:pt idx="33">
                  <c:v>143.79650700000008</c:v>
                </c:pt>
                <c:pt idx="34">
                  <c:v>141.16601399999996</c:v>
                </c:pt>
                <c:pt idx="35">
                  <c:v>139.37792799999994</c:v>
                </c:pt>
                <c:pt idx="36">
                  <c:v>136.39892399999991</c:v>
                </c:pt>
                <c:pt idx="37">
                  <c:v>133.71594099999999</c:v>
                </c:pt>
                <c:pt idx="38">
                  <c:v>130.62170199999997</c:v>
                </c:pt>
                <c:pt idx="39">
                  <c:v>128.71996900000005</c:v>
                </c:pt>
                <c:pt idx="40">
                  <c:v>126.65331900000007</c:v>
                </c:pt>
                <c:pt idx="41">
                  <c:v>125.46825999999993</c:v>
                </c:pt>
                <c:pt idx="42">
                  <c:v>123.62414399999994</c:v>
                </c:pt>
                <c:pt idx="43">
                  <c:v>121.8574200000001</c:v>
                </c:pt>
                <c:pt idx="44">
                  <c:v>120.10729799999996</c:v>
                </c:pt>
                <c:pt idx="45">
                  <c:v>118.10034000000002</c:v>
                </c:pt>
                <c:pt idx="46">
                  <c:v>115.84228300000001</c:v>
                </c:pt>
                <c:pt idx="47">
                  <c:v>114.24426100000011</c:v>
                </c:pt>
                <c:pt idx="48">
                  <c:v>112.07128700000004</c:v>
                </c:pt>
                <c:pt idx="49">
                  <c:v>110.36743000000007</c:v>
                </c:pt>
                <c:pt idx="50">
                  <c:v>109.98327500000011</c:v>
                </c:pt>
                <c:pt idx="51">
                  <c:v>108.59972999999997</c:v>
                </c:pt>
                <c:pt idx="52">
                  <c:v>107.26684400000005</c:v>
                </c:pt>
                <c:pt idx="53">
                  <c:v>105.28625300000004</c:v>
                </c:pt>
                <c:pt idx="54">
                  <c:v>104.99487099999993</c:v>
                </c:pt>
                <c:pt idx="55">
                  <c:v>103.53173700000008</c:v>
                </c:pt>
                <c:pt idx="56">
                  <c:v>100.89562800000004</c:v>
                </c:pt>
                <c:pt idx="57">
                  <c:v>98.113646000000074</c:v>
                </c:pt>
                <c:pt idx="58">
                  <c:v>96.286253000000045</c:v>
                </c:pt>
                <c:pt idx="59">
                  <c:v>95.551633999999979</c:v>
                </c:pt>
                <c:pt idx="60">
                  <c:v>94.440916000000072</c:v>
                </c:pt>
                <c:pt idx="61">
                  <c:v>92.426023999999927</c:v>
                </c:pt>
                <c:pt idx="62">
                  <c:v>91.690184000000102</c:v>
                </c:pt>
                <c:pt idx="63">
                  <c:v>89.902464000000066</c:v>
                </c:pt>
                <c:pt idx="64">
                  <c:v>88.237912999999992</c:v>
                </c:pt>
                <c:pt idx="65">
                  <c:v>87.415281999999991</c:v>
                </c:pt>
                <c:pt idx="66">
                  <c:v>86.054441999999938</c:v>
                </c:pt>
                <c:pt idx="67">
                  <c:v>85.324460999999985</c:v>
                </c:pt>
                <c:pt idx="68">
                  <c:v>83.629392999999993</c:v>
                </c:pt>
                <c:pt idx="69">
                  <c:v>82.06786900000003</c:v>
                </c:pt>
                <c:pt idx="70">
                  <c:v>81.110594000000049</c:v>
                </c:pt>
                <c:pt idx="71">
                  <c:v>79.307249000000013</c:v>
                </c:pt>
                <c:pt idx="72">
                  <c:v>78.183225999999934</c:v>
                </c:pt>
                <c:pt idx="73">
                  <c:v>76.249998000000062</c:v>
                </c:pt>
                <c:pt idx="74">
                  <c:v>75.915037000000041</c:v>
                </c:pt>
                <c:pt idx="75">
                  <c:v>75.397702999999922</c:v>
                </c:pt>
                <c:pt idx="76">
                  <c:v>73.591306999999972</c:v>
                </c:pt>
                <c:pt idx="77">
                  <c:v>73.59582400000005</c:v>
                </c:pt>
                <c:pt idx="78">
                  <c:v>72.192747000000111</c:v>
                </c:pt>
                <c:pt idx="79">
                  <c:v>71.519652000000008</c:v>
                </c:pt>
                <c:pt idx="80">
                  <c:v>71.437987000000078</c:v>
                </c:pt>
                <c:pt idx="81">
                  <c:v>72.157469000000049</c:v>
                </c:pt>
                <c:pt idx="82">
                  <c:v>71.689695999999969</c:v>
                </c:pt>
                <c:pt idx="83">
                  <c:v>71.376585000000034</c:v>
                </c:pt>
                <c:pt idx="84">
                  <c:v>72.018797000000006</c:v>
                </c:pt>
                <c:pt idx="85">
                  <c:v>72.699460999999985</c:v>
                </c:pt>
                <c:pt idx="86">
                  <c:v>72.171873000000062</c:v>
                </c:pt>
                <c:pt idx="87">
                  <c:v>71.638426000000038</c:v>
                </c:pt>
                <c:pt idx="88">
                  <c:v>70.889402999999959</c:v>
                </c:pt>
                <c:pt idx="89">
                  <c:v>69.096190000000036</c:v>
                </c:pt>
                <c:pt idx="90">
                  <c:v>69.294553999999891</c:v>
                </c:pt>
                <c:pt idx="91">
                  <c:v>66.643797000000006</c:v>
                </c:pt>
                <c:pt idx="92">
                  <c:v>65.547849999999983</c:v>
                </c:pt>
                <c:pt idx="93">
                  <c:v>64.755858000000046</c:v>
                </c:pt>
                <c:pt idx="94">
                  <c:v>63.89001300000001</c:v>
                </c:pt>
                <c:pt idx="95">
                  <c:v>60.973630999999898</c:v>
                </c:pt>
                <c:pt idx="96">
                  <c:v>59.970212999999887</c:v>
                </c:pt>
                <c:pt idx="97">
                  <c:v>58.110349999999983</c:v>
                </c:pt>
                <c:pt idx="98">
                  <c:v>57.448607000000095</c:v>
                </c:pt>
                <c:pt idx="99">
                  <c:v>56.404051000000038</c:v>
                </c:pt>
                <c:pt idx="100">
                  <c:v>55.46813800000001</c:v>
                </c:pt>
                <c:pt idx="101">
                  <c:v>54.802733000000046</c:v>
                </c:pt>
                <c:pt idx="102">
                  <c:v>53.162474000000032</c:v>
                </c:pt>
                <c:pt idx="103">
                  <c:v>52.002317999999889</c:v>
                </c:pt>
                <c:pt idx="104">
                  <c:v>50.726439000000084</c:v>
                </c:pt>
                <c:pt idx="105">
                  <c:v>50.119749000000013</c:v>
                </c:pt>
                <c:pt idx="106">
                  <c:v>47.779051000000038</c:v>
                </c:pt>
                <c:pt idx="107">
                  <c:v>47.366452999999922</c:v>
                </c:pt>
                <c:pt idx="108">
                  <c:v>46.624632000000076</c:v>
                </c:pt>
                <c:pt idx="109">
                  <c:v>45.691282999999942</c:v>
                </c:pt>
                <c:pt idx="110">
                  <c:v>43.907712999999887</c:v>
                </c:pt>
                <c:pt idx="111">
                  <c:v>42.959470999999951</c:v>
                </c:pt>
                <c:pt idx="112">
                  <c:v>40.879758999999979</c:v>
                </c:pt>
                <c:pt idx="113">
                  <c:v>40.619504999999947</c:v>
                </c:pt>
                <c:pt idx="114">
                  <c:v>37.746946999999921</c:v>
                </c:pt>
                <c:pt idx="115">
                  <c:v>37.815916000000072</c:v>
                </c:pt>
                <c:pt idx="116">
                  <c:v>36.013303999999891</c:v>
                </c:pt>
                <c:pt idx="117">
                  <c:v>34.88415399999991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2-4077-96A7-43C7D7D72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PANI_1stPhase!$I$2:$I$194</c:f>
              <c:numCache>
                <c:formatCode>General</c:formatCode>
                <c:ptCount val="193"/>
                <c:pt idx="0">
                  <c:v>7.5154922944736056</c:v>
                </c:pt>
                <c:pt idx="1">
                  <c:v>7.5203177194121587</c:v>
                </c:pt>
                <c:pt idx="2">
                  <c:v>7.5245381029743053</c:v>
                </c:pt>
                <c:pt idx="3">
                  <c:v>7.5215431936023629</c:v>
                </c:pt>
                <c:pt idx="4">
                  <c:v>7.5193753945467661</c:v>
                </c:pt>
                <c:pt idx="5">
                  <c:v>7.5175496431233055</c:v>
                </c:pt>
                <c:pt idx="6">
                  <c:v>7.5173699098642253</c:v>
                </c:pt>
                <c:pt idx="7">
                  <c:v>7.519871389182355</c:v>
                </c:pt>
                <c:pt idx="8">
                  <c:v>7.5171438208405901</c:v>
                </c:pt>
                <c:pt idx="9">
                  <c:v>7.5167217667466373</c:v>
                </c:pt>
                <c:pt idx="10">
                  <c:v>7.5173842418159538</c:v>
                </c:pt>
                <c:pt idx="11">
                  <c:v>7.5166297384631262</c:v>
                </c:pt>
                <c:pt idx="12">
                  <c:v>7.5167843762114614</c:v>
                </c:pt>
                <c:pt idx="13">
                  <c:v>7.5163029886579604</c:v>
                </c:pt>
                <c:pt idx="14">
                  <c:v>7.519124192280926</c:v>
                </c:pt>
                <c:pt idx="15">
                  <c:v>7.5189344070394784</c:v>
                </c:pt>
                <c:pt idx="16">
                  <c:v>7.518378888904599</c:v>
                </c:pt>
                <c:pt idx="17">
                  <c:v>7.5174845608141299</c:v>
                </c:pt>
                <c:pt idx="18">
                  <c:v>7.5176289170462516</c:v>
                </c:pt>
                <c:pt idx="19">
                  <c:v>7.5175637730514149</c:v>
                </c:pt>
                <c:pt idx="20">
                  <c:v>7.5169174158555094</c:v>
                </c:pt>
                <c:pt idx="21">
                  <c:v>7.5169948813271787</c:v>
                </c:pt>
                <c:pt idx="22">
                  <c:v>7.5201886383472356</c:v>
                </c:pt>
                <c:pt idx="23">
                  <c:v>7.5178110574020076</c:v>
                </c:pt>
                <c:pt idx="24">
                  <c:v>7.5170172499044403</c:v>
                </c:pt>
                <c:pt idx="25">
                  <c:v>7.5173324861244266</c:v>
                </c:pt>
                <c:pt idx="26">
                  <c:v>7.5168992928020835</c:v>
                </c:pt>
                <c:pt idx="27">
                  <c:v>7.5168618519893959</c:v>
                </c:pt>
                <c:pt idx="28">
                  <c:v>7.5163266350940692</c:v>
                </c:pt>
                <c:pt idx="29">
                  <c:v>7.5162782789305034</c:v>
                </c:pt>
                <c:pt idx="30">
                  <c:v>7.515992410851263</c:v>
                </c:pt>
                <c:pt idx="31">
                  <c:v>7.5198122825056748</c:v>
                </c:pt>
                <c:pt idx="32">
                  <c:v>7.5235257605321877</c:v>
                </c:pt>
                <c:pt idx="33">
                  <c:v>7.5245466012458726</c:v>
                </c:pt>
                <c:pt idx="34">
                  <c:v>7.5242142573020372</c:v>
                </c:pt>
                <c:pt idx="35">
                  <c:v>7.5210978065312863</c:v>
                </c:pt>
                <c:pt idx="36">
                  <c:v>7.5189860136837225</c:v>
                </c:pt>
                <c:pt idx="37">
                  <c:v>7.5177409508357194</c:v>
                </c:pt>
                <c:pt idx="38">
                  <c:v>7.5174752723904472</c:v>
                </c:pt>
                <c:pt idx="39">
                  <c:v>7.5175853333065854</c:v>
                </c:pt>
                <c:pt idx="40">
                  <c:v>7.5171670494358223</c:v>
                </c:pt>
                <c:pt idx="41">
                  <c:v>7.516488625106768</c:v>
                </c:pt>
                <c:pt idx="42">
                  <c:v>7.5176705747199035</c:v>
                </c:pt>
                <c:pt idx="43">
                  <c:v>7.5171012120235989</c:v>
                </c:pt>
                <c:pt idx="44">
                  <c:v>7.5162477231287603</c:v>
                </c:pt>
                <c:pt idx="45">
                  <c:v>7.5160045037038561</c:v>
                </c:pt>
                <c:pt idx="46">
                  <c:v>7.5158745989915294</c:v>
                </c:pt>
                <c:pt idx="47">
                  <c:v>7.5149171672202089</c:v>
                </c:pt>
                <c:pt idx="48">
                  <c:v>7.514433149970996</c:v>
                </c:pt>
                <c:pt idx="49">
                  <c:v>7.5142849369816131</c:v>
                </c:pt>
                <c:pt idx="50">
                  <c:v>7.5145317687237743</c:v>
                </c:pt>
                <c:pt idx="51">
                  <c:v>7.5139864483686249</c:v>
                </c:pt>
                <c:pt idx="52">
                  <c:v>7.5135495378690704</c:v>
                </c:pt>
                <c:pt idx="53">
                  <c:v>7.5134530207992301</c:v>
                </c:pt>
                <c:pt idx="54">
                  <c:v>7.5136780138549302</c:v>
                </c:pt>
                <c:pt idx="55">
                  <c:v>7.5155484665143737</c:v>
                </c:pt>
                <c:pt idx="56">
                  <c:v>7.5166522484774037</c:v>
                </c:pt>
                <c:pt idx="57">
                  <c:v>7.5165274083896412</c:v>
                </c:pt>
                <c:pt idx="58">
                  <c:v>7.5180578819193755</c:v>
                </c:pt>
                <c:pt idx="59">
                  <c:v>7.5202236393418653</c:v>
                </c:pt>
                <c:pt idx="60">
                  <c:v>7.5212225398030448</c:v>
                </c:pt>
                <c:pt idx="61">
                  <c:v>7.5295887602307365</c:v>
                </c:pt>
                <c:pt idx="62">
                  <c:v>7.5227277012892335</c:v>
                </c:pt>
                <c:pt idx="63">
                  <c:v>7.5206332401333666</c:v>
                </c:pt>
                <c:pt idx="64">
                  <c:v>7.5182967576614548</c:v>
                </c:pt>
                <c:pt idx="65">
                  <c:v>7.5168949118094295</c:v>
                </c:pt>
                <c:pt idx="66">
                  <c:v>7.5161100765813433</c:v>
                </c:pt>
                <c:pt idx="67">
                  <c:v>7.5154341254491994</c:v>
                </c:pt>
                <c:pt idx="68">
                  <c:v>7.5148513814996072</c:v>
                </c:pt>
                <c:pt idx="69">
                  <c:v>7.5146293132658206</c:v>
                </c:pt>
                <c:pt idx="70">
                  <c:v>7.514434946268131</c:v>
                </c:pt>
                <c:pt idx="71">
                  <c:v>7.5166118761978957</c:v>
                </c:pt>
                <c:pt idx="72">
                  <c:v>7.5173186181989156</c:v>
                </c:pt>
                <c:pt idx="73">
                  <c:v>7.5161730563231961</c:v>
                </c:pt>
                <c:pt idx="74">
                  <c:v>7.5163486867133669</c:v>
                </c:pt>
                <c:pt idx="75">
                  <c:v>7.5166399643670827</c:v>
                </c:pt>
                <c:pt idx="76">
                  <c:v>7.5161085483387362</c:v>
                </c:pt>
                <c:pt idx="77">
                  <c:v>7.5164431320294591</c:v>
                </c:pt>
                <c:pt idx="78">
                  <c:v>7.515673229584646</c:v>
                </c:pt>
                <c:pt idx="79">
                  <c:v>7.5158177810943867</c:v>
                </c:pt>
                <c:pt idx="80">
                  <c:v>7.515530052888316</c:v>
                </c:pt>
                <c:pt idx="81">
                  <c:v>7.5187942145309581</c:v>
                </c:pt>
                <c:pt idx="82">
                  <c:v>7.5184686355520745</c:v>
                </c:pt>
                <c:pt idx="83">
                  <c:v>7.5205323105154767</c:v>
                </c:pt>
                <c:pt idx="84">
                  <c:v>7.5198528565362031</c:v>
                </c:pt>
                <c:pt idx="85">
                  <c:v>7.5181880339649672</c:v>
                </c:pt>
                <c:pt idx="86">
                  <c:v>7.5168476452467994</c:v>
                </c:pt>
                <c:pt idx="87">
                  <c:v>7.5160150680247391</c:v>
                </c:pt>
                <c:pt idx="88">
                  <c:v>7.5158570553064195</c:v>
                </c:pt>
                <c:pt idx="89">
                  <c:v>7.5180527764966696</c:v>
                </c:pt>
                <c:pt idx="90">
                  <c:v>7.5176500112831706</c:v>
                </c:pt>
                <c:pt idx="91">
                  <c:v>7.5184116336293041</c:v>
                </c:pt>
                <c:pt idx="92">
                  <c:v>7.518356020230029</c:v>
                </c:pt>
                <c:pt idx="93">
                  <c:v>7.5179873292849315</c:v>
                </c:pt>
                <c:pt idx="94">
                  <c:v>7.5173162291260063</c:v>
                </c:pt>
                <c:pt idx="95">
                  <c:v>7.5170439330916041</c:v>
                </c:pt>
                <c:pt idx="96">
                  <c:v>7.5168686232751103</c:v>
                </c:pt>
                <c:pt idx="97">
                  <c:v>7.5163443033078421</c:v>
                </c:pt>
                <c:pt idx="98">
                  <c:v>7.5211218683880094</c:v>
                </c:pt>
                <c:pt idx="99">
                  <c:v>7.5214841196187621</c:v>
                </c:pt>
                <c:pt idx="100">
                  <c:v>7.5210028742510495</c:v>
                </c:pt>
                <c:pt idx="101">
                  <c:v>7.519241821057415</c:v>
                </c:pt>
                <c:pt idx="102">
                  <c:v>7.518677394591605</c:v>
                </c:pt>
                <c:pt idx="103">
                  <c:v>7.5175595275724589</c:v>
                </c:pt>
                <c:pt idx="104">
                  <c:v>7.5171795260540861</c:v>
                </c:pt>
                <c:pt idx="105">
                  <c:v>7.5170244850427217</c:v>
                </c:pt>
                <c:pt idx="106">
                  <c:v>7.5165037667006835</c:v>
                </c:pt>
                <c:pt idx="107">
                  <c:v>7.5165861116967942</c:v>
                </c:pt>
                <c:pt idx="108">
                  <c:v>7.5162888403595485</c:v>
                </c:pt>
                <c:pt idx="109">
                  <c:v>7.5161478780726707</c:v>
                </c:pt>
                <c:pt idx="110">
                  <c:v>7.5159032391704832</c:v>
                </c:pt>
                <c:pt idx="111">
                  <c:v>7.5160660945888695</c:v>
                </c:pt>
                <c:pt idx="112">
                  <c:v>7.5155487986905909</c:v>
                </c:pt>
                <c:pt idx="113">
                  <c:v>7.5155717980857588</c:v>
                </c:pt>
                <c:pt idx="114">
                  <c:v>7.5157485979384315</c:v>
                </c:pt>
                <c:pt idx="115">
                  <c:v>7.5157093858910731</c:v>
                </c:pt>
                <c:pt idx="116">
                  <c:v>7.5156152034015484</c:v>
                </c:pt>
                <c:pt idx="117">
                  <c:v>7.5167554952933617</c:v>
                </c:pt>
                <c:pt idx="118">
                  <c:v>7.5189940958224231</c:v>
                </c:pt>
                <c:pt idx="119">
                  <c:v>7.5183667584829257</c:v>
                </c:pt>
                <c:pt idx="120">
                  <c:v>7.517641785681394</c:v>
                </c:pt>
                <c:pt idx="121">
                  <c:v>7.5173038205319695</c:v>
                </c:pt>
                <c:pt idx="122">
                  <c:v>7.517122185277004</c:v>
                </c:pt>
                <c:pt idx="123">
                  <c:v>7.5170157235913386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PANI_1stPhase!$B$2:$B$197</c:f>
              <c:numCache>
                <c:formatCode>General</c:formatCode>
                <c:ptCount val="196"/>
                <c:pt idx="0">
                  <c:v>1836.27124</c:v>
                </c:pt>
                <c:pt idx="1">
                  <c:v>1845.153442</c:v>
                </c:pt>
                <c:pt idx="2">
                  <c:v>1852.9571530000001</c:v>
                </c:pt>
                <c:pt idx="3">
                  <c:v>1847.4160159999999</c:v>
                </c:pt>
                <c:pt idx="4">
                  <c:v>1843.4155270000001</c:v>
                </c:pt>
                <c:pt idx="5">
                  <c:v>1840.0529790000001</c:v>
                </c:pt>
                <c:pt idx="6">
                  <c:v>1839.7222899999999</c:v>
                </c:pt>
                <c:pt idx="7">
                  <c:v>1844.330078</c:v>
                </c:pt>
                <c:pt idx="8">
                  <c:v>1839.3063959999999</c:v>
                </c:pt>
                <c:pt idx="9">
                  <c:v>1838.5302730000001</c:v>
                </c:pt>
                <c:pt idx="10">
                  <c:v>1839.7486570000001</c:v>
                </c:pt>
                <c:pt idx="11">
                  <c:v>1838.3610839999999</c:v>
                </c:pt>
                <c:pt idx="12">
                  <c:v>1838.6453859999999</c:v>
                </c:pt>
                <c:pt idx="13">
                  <c:v>1837.7604980000001</c:v>
                </c:pt>
                <c:pt idx="14">
                  <c:v>1842.9525149999999</c:v>
                </c:pt>
                <c:pt idx="15">
                  <c:v>1842.602783</c:v>
                </c:pt>
                <c:pt idx="16">
                  <c:v>1841.5794679999999</c:v>
                </c:pt>
                <c:pt idx="17">
                  <c:v>1839.9332280000001</c:v>
                </c:pt>
                <c:pt idx="18">
                  <c:v>1840.1988530000001</c:v>
                </c:pt>
                <c:pt idx="19">
                  <c:v>1840.0789789999999</c:v>
                </c:pt>
                <c:pt idx="20">
                  <c:v>1838.8900149999999</c:v>
                </c:pt>
                <c:pt idx="21">
                  <c:v>1839.032471</c:v>
                </c:pt>
                <c:pt idx="22">
                  <c:v>1844.915283</c:v>
                </c:pt>
                <c:pt idx="23">
                  <c:v>1840.534058</c:v>
                </c:pt>
                <c:pt idx="24">
                  <c:v>1839.0736079999999</c:v>
                </c:pt>
                <c:pt idx="25">
                  <c:v>1839.653442</c:v>
                </c:pt>
                <c:pt idx="26">
                  <c:v>1838.856689</c:v>
                </c:pt>
                <c:pt idx="27">
                  <c:v>1838.787842</c:v>
                </c:pt>
                <c:pt idx="28">
                  <c:v>1837.8039550000001</c:v>
                </c:pt>
                <c:pt idx="29">
                  <c:v>1837.7150879999999</c:v>
                </c:pt>
                <c:pt idx="30">
                  <c:v>1837.1898189999999</c:v>
                </c:pt>
                <c:pt idx="31">
                  <c:v>1844.2210689999999</c:v>
                </c:pt>
                <c:pt idx="32">
                  <c:v>1851.082275</c:v>
                </c:pt>
                <c:pt idx="33">
                  <c:v>1852.9729</c:v>
                </c:pt>
                <c:pt idx="34">
                  <c:v>1852.357178</c:v>
                </c:pt>
                <c:pt idx="35">
                  <c:v>1846.593384</c:v>
                </c:pt>
                <c:pt idx="36">
                  <c:v>1842.697876</c:v>
                </c:pt>
                <c:pt idx="37">
                  <c:v>1840.405029</c:v>
                </c:pt>
                <c:pt idx="38">
                  <c:v>1839.916138</c:v>
                </c:pt>
                <c:pt idx="39">
                  <c:v>1840.1186520000001</c:v>
                </c:pt>
                <c:pt idx="40">
                  <c:v>1839.349121</c:v>
                </c:pt>
                <c:pt idx="41">
                  <c:v>1838.1016850000001</c:v>
                </c:pt>
                <c:pt idx="42">
                  <c:v>1840.275513</c:v>
                </c:pt>
                <c:pt idx="43">
                  <c:v>1839.2280270000001</c:v>
                </c:pt>
                <c:pt idx="44">
                  <c:v>1837.658936</c:v>
                </c:pt>
                <c:pt idx="45">
                  <c:v>1837.2120359999999</c:v>
                </c:pt>
                <c:pt idx="46">
                  <c:v>1836.973389</c:v>
                </c:pt>
                <c:pt idx="47">
                  <c:v>1835.2154539999999</c:v>
                </c:pt>
                <c:pt idx="48">
                  <c:v>1834.327393</c:v>
                </c:pt>
                <c:pt idx="49">
                  <c:v>1834.0555420000001</c:v>
                </c:pt>
                <c:pt idx="50">
                  <c:v>1834.5083010000001</c:v>
                </c:pt>
                <c:pt idx="51">
                  <c:v>1833.5081789999999</c:v>
                </c:pt>
                <c:pt idx="52">
                  <c:v>1832.707275</c:v>
                </c:pt>
                <c:pt idx="53">
                  <c:v>1832.5303960000001</c:v>
                </c:pt>
                <c:pt idx="54">
                  <c:v>1832.942749</c:v>
                </c:pt>
                <c:pt idx="55">
                  <c:v>1836.3743899999999</c:v>
                </c:pt>
                <c:pt idx="56">
                  <c:v>1838.402466</c:v>
                </c:pt>
                <c:pt idx="57">
                  <c:v>1838.1729740000001</c:v>
                </c:pt>
                <c:pt idx="58">
                  <c:v>1840.9884030000001</c:v>
                </c:pt>
                <c:pt idx="59">
                  <c:v>1844.9798579999999</c:v>
                </c:pt>
                <c:pt idx="60">
                  <c:v>1846.8237300000001</c:v>
                </c:pt>
                <c:pt idx="61">
                  <c:v>1862.3394780000001</c:v>
                </c:pt>
                <c:pt idx="62">
                  <c:v>1849.605591</c:v>
                </c:pt>
                <c:pt idx="63">
                  <c:v>1845.7357179999999</c:v>
                </c:pt>
                <c:pt idx="64">
                  <c:v>1841.4282229999999</c:v>
                </c:pt>
                <c:pt idx="65">
                  <c:v>1838.8486330000001</c:v>
                </c:pt>
                <c:pt idx="66">
                  <c:v>1837.4060059999999</c:v>
                </c:pt>
                <c:pt idx="67">
                  <c:v>1836.1644289999999</c:v>
                </c:pt>
                <c:pt idx="68">
                  <c:v>1835.0947269999999</c:v>
                </c:pt>
                <c:pt idx="69">
                  <c:v>1834.6872559999999</c:v>
                </c:pt>
                <c:pt idx="70">
                  <c:v>1834.330688</c:v>
                </c:pt>
                <c:pt idx="71">
                  <c:v>1838.3282469999999</c:v>
                </c:pt>
                <c:pt idx="72">
                  <c:v>1839.6279300000001</c:v>
                </c:pt>
                <c:pt idx="73">
                  <c:v>1837.5217290000001</c:v>
                </c:pt>
                <c:pt idx="74">
                  <c:v>1837.844482</c:v>
                </c:pt>
                <c:pt idx="75">
                  <c:v>1838.3798830000001</c:v>
                </c:pt>
                <c:pt idx="76">
                  <c:v>1837.403198</c:v>
                </c:pt>
                <c:pt idx="77">
                  <c:v>1838.0180660000001</c:v>
                </c:pt>
                <c:pt idx="78">
                  <c:v>1836.6035159999999</c:v>
                </c:pt>
                <c:pt idx="79">
                  <c:v>1836.869019</c:v>
                </c:pt>
                <c:pt idx="80">
                  <c:v>1836.3405760000001</c:v>
                </c:pt>
                <c:pt idx="81">
                  <c:v>1842.344482</c:v>
                </c:pt>
                <c:pt idx="82">
                  <c:v>1841.744751</c:v>
                </c:pt>
                <c:pt idx="83">
                  <c:v>1845.549438</c:v>
                </c:pt>
                <c:pt idx="84">
                  <c:v>1844.2958980000001</c:v>
                </c:pt>
                <c:pt idx="85">
                  <c:v>1841.2280270000001</c:v>
                </c:pt>
                <c:pt idx="86">
                  <c:v>1838.7617190000001</c:v>
                </c:pt>
                <c:pt idx="87">
                  <c:v>1837.2314449999999</c:v>
                </c:pt>
                <c:pt idx="88">
                  <c:v>1836.9411620000001</c:v>
                </c:pt>
                <c:pt idx="89">
                  <c:v>1840.979004</c:v>
                </c:pt>
                <c:pt idx="90">
                  <c:v>1840.2376710000001</c:v>
                </c:pt>
                <c:pt idx="91">
                  <c:v>1841.6397710000001</c:v>
                </c:pt>
                <c:pt idx="92">
                  <c:v>1841.5373540000001</c:v>
                </c:pt>
                <c:pt idx="93">
                  <c:v>1840.8585210000001</c:v>
                </c:pt>
                <c:pt idx="94">
                  <c:v>1839.6235349999999</c:v>
                </c:pt>
                <c:pt idx="95">
                  <c:v>1839.1226810000001</c:v>
                </c:pt>
                <c:pt idx="96">
                  <c:v>1838.800293</c:v>
                </c:pt>
                <c:pt idx="97">
                  <c:v>1837.8364260000001</c:v>
                </c:pt>
                <c:pt idx="98">
                  <c:v>1846.637817</c:v>
                </c:pt>
                <c:pt idx="99">
                  <c:v>1847.306885</c:v>
                </c:pt>
                <c:pt idx="100">
                  <c:v>1846.418091</c:v>
                </c:pt>
                <c:pt idx="101">
                  <c:v>1843.169312</c:v>
                </c:pt>
                <c:pt idx="102">
                  <c:v>1842.1292719999999</c:v>
                </c:pt>
                <c:pt idx="103">
                  <c:v>1840.0711670000001</c:v>
                </c:pt>
                <c:pt idx="104">
                  <c:v>1839.3720699999999</c:v>
                </c:pt>
                <c:pt idx="105">
                  <c:v>1839.086914</c:v>
                </c:pt>
                <c:pt idx="106">
                  <c:v>1838.1295170000001</c:v>
                </c:pt>
                <c:pt idx="107">
                  <c:v>1838.280884</c:v>
                </c:pt>
                <c:pt idx="108">
                  <c:v>1837.7344969999999</c:v>
                </c:pt>
                <c:pt idx="109">
                  <c:v>1837.4754640000001</c:v>
                </c:pt>
                <c:pt idx="110">
                  <c:v>1837.026001</c:v>
                </c:pt>
                <c:pt idx="111">
                  <c:v>1837.3251949999999</c:v>
                </c:pt>
                <c:pt idx="112">
                  <c:v>1836.375</c:v>
                </c:pt>
                <c:pt idx="113">
                  <c:v>1836.417236</c:v>
                </c:pt>
                <c:pt idx="114">
                  <c:v>1836.741943</c:v>
                </c:pt>
                <c:pt idx="115">
                  <c:v>1836.669922</c:v>
                </c:pt>
                <c:pt idx="116">
                  <c:v>1836.496948</c:v>
                </c:pt>
                <c:pt idx="117">
                  <c:v>1838.5922849999999</c:v>
                </c:pt>
                <c:pt idx="118">
                  <c:v>1842.712769</c:v>
                </c:pt>
                <c:pt idx="119">
                  <c:v>1841.557129</c:v>
                </c:pt>
                <c:pt idx="120">
                  <c:v>1840.222534</c:v>
                </c:pt>
                <c:pt idx="121">
                  <c:v>1839.6007079999999</c:v>
                </c:pt>
                <c:pt idx="122">
                  <c:v>1839.2666019999999</c:v>
                </c:pt>
                <c:pt idx="123">
                  <c:v>1839.0708010000001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PANI_1stPhase!$I$2:$I$102</c:f>
              <c:numCache>
                <c:formatCode>General</c:formatCode>
                <c:ptCount val="101"/>
                <c:pt idx="0">
                  <c:v>7.5154922944736056</c:v>
                </c:pt>
                <c:pt idx="1">
                  <c:v>7.5203177194121587</c:v>
                </c:pt>
                <c:pt idx="2">
                  <c:v>7.5245381029743053</c:v>
                </c:pt>
                <c:pt idx="3">
                  <c:v>7.5215431936023629</c:v>
                </c:pt>
                <c:pt idx="4">
                  <c:v>7.5193753945467661</c:v>
                </c:pt>
                <c:pt idx="5">
                  <c:v>7.5175496431233055</c:v>
                </c:pt>
                <c:pt idx="6">
                  <c:v>7.5173699098642253</c:v>
                </c:pt>
                <c:pt idx="7">
                  <c:v>7.519871389182355</c:v>
                </c:pt>
                <c:pt idx="8">
                  <c:v>7.5171438208405901</c:v>
                </c:pt>
                <c:pt idx="9">
                  <c:v>7.5167217667466373</c:v>
                </c:pt>
                <c:pt idx="10">
                  <c:v>7.5173842418159538</c:v>
                </c:pt>
                <c:pt idx="11">
                  <c:v>7.5166297384631262</c:v>
                </c:pt>
                <c:pt idx="12">
                  <c:v>7.5167843762114614</c:v>
                </c:pt>
                <c:pt idx="13">
                  <c:v>7.5163029886579604</c:v>
                </c:pt>
                <c:pt idx="14">
                  <c:v>7.519124192280926</c:v>
                </c:pt>
                <c:pt idx="15">
                  <c:v>7.5189344070394784</c:v>
                </c:pt>
                <c:pt idx="16">
                  <c:v>7.518378888904599</c:v>
                </c:pt>
                <c:pt idx="17">
                  <c:v>7.5174845608141299</c:v>
                </c:pt>
                <c:pt idx="18">
                  <c:v>7.5176289170462516</c:v>
                </c:pt>
                <c:pt idx="19">
                  <c:v>7.5175637730514149</c:v>
                </c:pt>
                <c:pt idx="20">
                  <c:v>7.5169174158555094</c:v>
                </c:pt>
                <c:pt idx="21">
                  <c:v>7.5169948813271787</c:v>
                </c:pt>
                <c:pt idx="22">
                  <c:v>7.5201886383472356</c:v>
                </c:pt>
                <c:pt idx="23">
                  <c:v>7.5178110574020076</c:v>
                </c:pt>
                <c:pt idx="24">
                  <c:v>7.5170172499044403</c:v>
                </c:pt>
                <c:pt idx="25">
                  <c:v>7.5173324861244266</c:v>
                </c:pt>
                <c:pt idx="26">
                  <c:v>7.5168992928020835</c:v>
                </c:pt>
                <c:pt idx="27">
                  <c:v>7.5168618519893959</c:v>
                </c:pt>
                <c:pt idx="28">
                  <c:v>7.5163266350940692</c:v>
                </c:pt>
                <c:pt idx="29">
                  <c:v>7.5162782789305034</c:v>
                </c:pt>
                <c:pt idx="30">
                  <c:v>7.515992410851263</c:v>
                </c:pt>
                <c:pt idx="31">
                  <c:v>7.5198122825056748</c:v>
                </c:pt>
                <c:pt idx="32">
                  <c:v>7.5235257605321877</c:v>
                </c:pt>
                <c:pt idx="33">
                  <c:v>7.5245466012458726</c:v>
                </c:pt>
                <c:pt idx="34">
                  <c:v>7.5242142573020372</c:v>
                </c:pt>
                <c:pt idx="35">
                  <c:v>7.5210978065312863</c:v>
                </c:pt>
                <c:pt idx="36">
                  <c:v>7.5189860136837225</c:v>
                </c:pt>
                <c:pt idx="37">
                  <c:v>7.5177409508357194</c:v>
                </c:pt>
                <c:pt idx="38">
                  <c:v>7.5174752723904472</c:v>
                </c:pt>
                <c:pt idx="39">
                  <c:v>7.5175853333065854</c:v>
                </c:pt>
                <c:pt idx="40">
                  <c:v>7.5171670494358223</c:v>
                </c:pt>
                <c:pt idx="41">
                  <c:v>7.516488625106768</c:v>
                </c:pt>
                <c:pt idx="42">
                  <c:v>7.5176705747199035</c:v>
                </c:pt>
                <c:pt idx="43">
                  <c:v>7.5171012120235989</c:v>
                </c:pt>
                <c:pt idx="44">
                  <c:v>7.5162477231287603</c:v>
                </c:pt>
                <c:pt idx="45">
                  <c:v>7.5160045037038561</c:v>
                </c:pt>
                <c:pt idx="46">
                  <c:v>7.5158745989915294</c:v>
                </c:pt>
                <c:pt idx="47">
                  <c:v>7.5149171672202089</c:v>
                </c:pt>
                <c:pt idx="48">
                  <c:v>7.514433149970996</c:v>
                </c:pt>
                <c:pt idx="49">
                  <c:v>7.5142849369816131</c:v>
                </c:pt>
                <c:pt idx="50">
                  <c:v>7.5145317687237743</c:v>
                </c:pt>
                <c:pt idx="51">
                  <c:v>7.5139864483686249</c:v>
                </c:pt>
                <c:pt idx="52">
                  <c:v>7.5135495378690704</c:v>
                </c:pt>
                <c:pt idx="53">
                  <c:v>7.5134530207992301</c:v>
                </c:pt>
                <c:pt idx="54">
                  <c:v>7.5136780138549302</c:v>
                </c:pt>
                <c:pt idx="55">
                  <c:v>7.5155484665143737</c:v>
                </c:pt>
                <c:pt idx="56">
                  <c:v>7.5166522484774037</c:v>
                </c:pt>
                <c:pt idx="57">
                  <c:v>7.5165274083896412</c:v>
                </c:pt>
                <c:pt idx="58">
                  <c:v>7.5180578819193755</c:v>
                </c:pt>
                <c:pt idx="59">
                  <c:v>7.5202236393418653</c:v>
                </c:pt>
                <c:pt idx="60">
                  <c:v>7.5212225398030448</c:v>
                </c:pt>
                <c:pt idx="61">
                  <c:v>7.5295887602307365</c:v>
                </c:pt>
                <c:pt idx="62">
                  <c:v>7.5227277012892335</c:v>
                </c:pt>
                <c:pt idx="63">
                  <c:v>7.5206332401333666</c:v>
                </c:pt>
                <c:pt idx="64">
                  <c:v>7.5182967576614548</c:v>
                </c:pt>
                <c:pt idx="65">
                  <c:v>7.5168949118094295</c:v>
                </c:pt>
                <c:pt idx="66">
                  <c:v>7.5161100765813433</c:v>
                </c:pt>
                <c:pt idx="67">
                  <c:v>7.5154341254491994</c:v>
                </c:pt>
                <c:pt idx="68">
                  <c:v>7.5148513814996072</c:v>
                </c:pt>
                <c:pt idx="69">
                  <c:v>7.5146293132658206</c:v>
                </c:pt>
                <c:pt idx="70">
                  <c:v>7.514434946268131</c:v>
                </c:pt>
                <c:pt idx="71">
                  <c:v>7.5166118761978957</c:v>
                </c:pt>
                <c:pt idx="72">
                  <c:v>7.5173186181989156</c:v>
                </c:pt>
                <c:pt idx="73">
                  <c:v>7.5161730563231961</c:v>
                </c:pt>
                <c:pt idx="74">
                  <c:v>7.5163486867133669</c:v>
                </c:pt>
                <c:pt idx="75">
                  <c:v>7.5166399643670827</c:v>
                </c:pt>
                <c:pt idx="76">
                  <c:v>7.5161085483387362</c:v>
                </c:pt>
                <c:pt idx="77">
                  <c:v>7.5164431320294591</c:v>
                </c:pt>
                <c:pt idx="78">
                  <c:v>7.515673229584646</c:v>
                </c:pt>
                <c:pt idx="79">
                  <c:v>7.5158177810943867</c:v>
                </c:pt>
                <c:pt idx="80">
                  <c:v>7.515530052888316</c:v>
                </c:pt>
                <c:pt idx="81">
                  <c:v>7.5187942145309581</c:v>
                </c:pt>
                <c:pt idx="82">
                  <c:v>7.5184686355520745</c:v>
                </c:pt>
                <c:pt idx="83">
                  <c:v>7.5205323105154767</c:v>
                </c:pt>
                <c:pt idx="84">
                  <c:v>7.5198528565362031</c:v>
                </c:pt>
                <c:pt idx="85">
                  <c:v>7.5181880339649672</c:v>
                </c:pt>
                <c:pt idx="86">
                  <c:v>7.5168476452467994</c:v>
                </c:pt>
                <c:pt idx="87">
                  <c:v>7.5160150680247391</c:v>
                </c:pt>
                <c:pt idx="88">
                  <c:v>7.5158570553064195</c:v>
                </c:pt>
                <c:pt idx="89">
                  <c:v>7.5180527764966696</c:v>
                </c:pt>
                <c:pt idx="90">
                  <c:v>7.5176500112831706</c:v>
                </c:pt>
                <c:pt idx="91">
                  <c:v>7.5184116336293041</c:v>
                </c:pt>
                <c:pt idx="92">
                  <c:v>7.518356020230029</c:v>
                </c:pt>
                <c:pt idx="93">
                  <c:v>7.5179873292849315</c:v>
                </c:pt>
                <c:pt idx="94">
                  <c:v>7.5173162291260063</c:v>
                </c:pt>
                <c:pt idx="95">
                  <c:v>7.5170439330916041</c:v>
                </c:pt>
                <c:pt idx="96">
                  <c:v>7.5168686232751103</c:v>
                </c:pt>
                <c:pt idx="97">
                  <c:v>7.5163443033078421</c:v>
                </c:pt>
                <c:pt idx="98">
                  <c:v>7.5211218683880094</c:v>
                </c:pt>
                <c:pt idx="99">
                  <c:v>7.5214841196187621</c:v>
                </c:pt>
                <c:pt idx="100">
                  <c:v>7.5210028742510495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PANI_1stPhase!$B$2:$B$102</c:f>
              <c:numCache>
                <c:formatCode>General</c:formatCode>
                <c:ptCount val="101"/>
                <c:pt idx="0">
                  <c:v>1836.27124</c:v>
                </c:pt>
                <c:pt idx="1">
                  <c:v>1845.153442</c:v>
                </c:pt>
                <c:pt idx="2">
                  <c:v>1852.9571530000001</c:v>
                </c:pt>
                <c:pt idx="3">
                  <c:v>1847.4160159999999</c:v>
                </c:pt>
                <c:pt idx="4">
                  <c:v>1843.4155270000001</c:v>
                </c:pt>
                <c:pt idx="5">
                  <c:v>1840.0529790000001</c:v>
                </c:pt>
                <c:pt idx="6">
                  <c:v>1839.7222899999999</c:v>
                </c:pt>
                <c:pt idx="7">
                  <c:v>1844.330078</c:v>
                </c:pt>
                <c:pt idx="8">
                  <c:v>1839.3063959999999</c:v>
                </c:pt>
                <c:pt idx="9">
                  <c:v>1838.5302730000001</c:v>
                </c:pt>
                <c:pt idx="10">
                  <c:v>1839.7486570000001</c:v>
                </c:pt>
                <c:pt idx="11">
                  <c:v>1838.3610839999999</c:v>
                </c:pt>
                <c:pt idx="12">
                  <c:v>1838.6453859999999</c:v>
                </c:pt>
                <c:pt idx="13">
                  <c:v>1837.7604980000001</c:v>
                </c:pt>
                <c:pt idx="14">
                  <c:v>1842.9525149999999</c:v>
                </c:pt>
                <c:pt idx="15">
                  <c:v>1842.602783</c:v>
                </c:pt>
                <c:pt idx="16">
                  <c:v>1841.5794679999999</c:v>
                </c:pt>
                <c:pt idx="17">
                  <c:v>1839.9332280000001</c:v>
                </c:pt>
                <c:pt idx="18">
                  <c:v>1840.1988530000001</c:v>
                </c:pt>
                <c:pt idx="19">
                  <c:v>1840.0789789999999</c:v>
                </c:pt>
                <c:pt idx="20">
                  <c:v>1838.8900149999999</c:v>
                </c:pt>
                <c:pt idx="21">
                  <c:v>1839.032471</c:v>
                </c:pt>
                <c:pt idx="22">
                  <c:v>1844.915283</c:v>
                </c:pt>
                <c:pt idx="23">
                  <c:v>1840.534058</c:v>
                </c:pt>
                <c:pt idx="24">
                  <c:v>1839.0736079999999</c:v>
                </c:pt>
                <c:pt idx="25">
                  <c:v>1839.653442</c:v>
                </c:pt>
                <c:pt idx="26">
                  <c:v>1838.856689</c:v>
                </c:pt>
                <c:pt idx="27">
                  <c:v>1838.787842</c:v>
                </c:pt>
                <c:pt idx="28">
                  <c:v>1837.8039550000001</c:v>
                </c:pt>
                <c:pt idx="29">
                  <c:v>1837.7150879999999</c:v>
                </c:pt>
                <c:pt idx="30">
                  <c:v>1837.1898189999999</c:v>
                </c:pt>
                <c:pt idx="31">
                  <c:v>1844.2210689999999</c:v>
                </c:pt>
                <c:pt idx="32">
                  <c:v>1851.082275</c:v>
                </c:pt>
                <c:pt idx="33">
                  <c:v>1852.9729</c:v>
                </c:pt>
                <c:pt idx="34">
                  <c:v>1852.357178</c:v>
                </c:pt>
                <c:pt idx="35">
                  <c:v>1846.593384</c:v>
                </c:pt>
                <c:pt idx="36">
                  <c:v>1842.697876</c:v>
                </c:pt>
                <c:pt idx="37">
                  <c:v>1840.405029</c:v>
                </c:pt>
                <c:pt idx="38">
                  <c:v>1839.916138</c:v>
                </c:pt>
                <c:pt idx="39">
                  <c:v>1840.1186520000001</c:v>
                </c:pt>
                <c:pt idx="40">
                  <c:v>1839.349121</c:v>
                </c:pt>
                <c:pt idx="41">
                  <c:v>1838.1016850000001</c:v>
                </c:pt>
                <c:pt idx="42">
                  <c:v>1840.275513</c:v>
                </c:pt>
                <c:pt idx="43">
                  <c:v>1839.2280270000001</c:v>
                </c:pt>
                <c:pt idx="44">
                  <c:v>1837.658936</c:v>
                </c:pt>
                <c:pt idx="45">
                  <c:v>1837.2120359999999</c:v>
                </c:pt>
                <c:pt idx="46">
                  <c:v>1836.973389</c:v>
                </c:pt>
                <c:pt idx="47">
                  <c:v>1835.2154539999999</c:v>
                </c:pt>
                <c:pt idx="48">
                  <c:v>1834.327393</c:v>
                </c:pt>
                <c:pt idx="49">
                  <c:v>1834.0555420000001</c:v>
                </c:pt>
                <c:pt idx="50">
                  <c:v>1834.5083010000001</c:v>
                </c:pt>
                <c:pt idx="51">
                  <c:v>1833.5081789999999</c:v>
                </c:pt>
                <c:pt idx="52">
                  <c:v>1832.707275</c:v>
                </c:pt>
                <c:pt idx="53">
                  <c:v>1832.5303960000001</c:v>
                </c:pt>
                <c:pt idx="54">
                  <c:v>1832.942749</c:v>
                </c:pt>
                <c:pt idx="55">
                  <c:v>1836.3743899999999</c:v>
                </c:pt>
                <c:pt idx="56">
                  <c:v>1838.402466</c:v>
                </c:pt>
                <c:pt idx="57">
                  <c:v>1838.1729740000001</c:v>
                </c:pt>
                <c:pt idx="58">
                  <c:v>1840.9884030000001</c:v>
                </c:pt>
                <c:pt idx="59">
                  <c:v>1844.9798579999999</c:v>
                </c:pt>
                <c:pt idx="60">
                  <c:v>1846.8237300000001</c:v>
                </c:pt>
                <c:pt idx="61">
                  <c:v>1862.3394780000001</c:v>
                </c:pt>
                <c:pt idx="62">
                  <c:v>1849.605591</c:v>
                </c:pt>
                <c:pt idx="63">
                  <c:v>1845.7357179999999</c:v>
                </c:pt>
                <c:pt idx="64">
                  <c:v>1841.4282229999999</c:v>
                </c:pt>
                <c:pt idx="65">
                  <c:v>1838.8486330000001</c:v>
                </c:pt>
                <c:pt idx="66">
                  <c:v>1837.4060059999999</c:v>
                </c:pt>
                <c:pt idx="67">
                  <c:v>1836.1644289999999</c:v>
                </c:pt>
                <c:pt idx="68">
                  <c:v>1835.0947269999999</c:v>
                </c:pt>
                <c:pt idx="69">
                  <c:v>1834.6872559999999</c:v>
                </c:pt>
                <c:pt idx="70">
                  <c:v>1834.330688</c:v>
                </c:pt>
                <c:pt idx="71">
                  <c:v>1838.3282469999999</c:v>
                </c:pt>
                <c:pt idx="72">
                  <c:v>1839.6279300000001</c:v>
                </c:pt>
                <c:pt idx="73">
                  <c:v>1837.5217290000001</c:v>
                </c:pt>
                <c:pt idx="74">
                  <c:v>1837.844482</c:v>
                </c:pt>
                <c:pt idx="75">
                  <c:v>1838.3798830000001</c:v>
                </c:pt>
                <c:pt idx="76">
                  <c:v>1837.403198</c:v>
                </c:pt>
                <c:pt idx="77">
                  <c:v>1838.0180660000001</c:v>
                </c:pt>
                <c:pt idx="78">
                  <c:v>1836.6035159999999</c:v>
                </c:pt>
                <c:pt idx="79">
                  <c:v>1836.869019</c:v>
                </c:pt>
                <c:pt idx="80">
                  <c:v>1836.3405760000001</c:v>
                </c:pt>
                <c:pt idx="81">
                  <c:v>1842.344482</c:v>
                </c:pt>
                <c:pt idx="82">
                  <c:v>1841.744751</c:v>
                </c:pt>
                <c:pt idx="83">
                  <c:v>1845.549438</c:v>
                </c:pt>
                <c:pt idx="84">
                  <c:v>1844.2958980000001</c:v>
                </c:pt>
                <c:pt idx="85">
                  <c:v>1841.2280270000001</c:v>
                </c:pt>
                <c:pt idx="86">
                  <c:v>1838.7617190000001</c:v>
                </c:pt>
                <c:pt idx="87">
                  <c:v>1837.2314449999999</c:v>
                </c:pt>
                <c:pt idx="88">
                  <c:v>1836.9411620000001</c:v>
                </c:pt>
                <c:pt idx="89">
                  <c:v>1840.979004</c:v>
                </c:pt>
                <c:pt idx="90">
                  <c:v>1840.2376710000001</c:v>
                </c:pt>
                <c:pt idx="91">
                  <c:v>1841.6397710000001</c:v>
                </c:pt>
                <c:pt idx="92">
                  <c:v>1841.5373540000001</c:v>
                </c:pt>
                <c:pt idx="93">
                  <c:v>1840.8585210000001</c:v>
                </c:pt>
                <c:pt idx="94">
                  <c:v>1839.6235349999999</c:v>
                </c:pt>
                <c:pt idx="95">
                  <c:v>1839.1226810000001</c:v>
                </c:pt>
                <c:pt idx="96">
                  <c:v>1838.800293</c:v>
                </c:pt>
                <c:pt idx="97">
                  <c:v>1837.8364260000001</c:v>
                </c:pt>
                <c:pt idx="98">
                  <c:v>1846.637817</c:v>
                </c:pt>
                <c:pt idx="99">
                  <c:v>1847.306885</c:v>
                </c:pt>
                <c:pt idx="100">
                  <c:v>1846.418091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417850452980425"/>
                  <c:y val="3.52744969378827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PANI_1stPhase!$H$2:$H$87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4-47AB-A321-C1CD2C20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7899842005230157"/>
                  <c:y val="-0.304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PANI_1stPhase!$F$2:$F$87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3-4098-8351-18FC60FC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Cu_2ndPhase!$I$2:$I$194</c:f>
              <c:numCache>
                <c:formatCode>General</c:formatCode>
                <c:ptCount val="193"/>
                <c:pt idx="0">
                  <c:v>7.796815919006753</c:v>
                </c:pt>
                <c:pt idx="1">
                  <c:v>7.7911441276214344</c:v>
                </c:pt>
                <c:pt idx="2">
                  <c:v>7.7853407116384252</c:v>
                </c:pt>
                <c:pt idx="3">
                  <c:v>7.7787685077828614</c:v>
                </c:pt>
                <c:pt idx="4">
                  <c:v>7.7723422705631338</c:v>
                </c:pt>
                <c:pt idx="5">
                  <c:v>7.7687154864434085</c:v>
                </c:pt>
                <c:pt idx="6">
                  <c:v>7.7651438672970716</c:v>
                </c:pt>
                <c:pt idx="7">
                  <c:v>7.7621623998704825</c:v>
                </c:pt>
                <c:pt idx="8">
                  <c:v>7.7579921755966286</c:v>
                </c:pt>
                <c:pt idx="9">
                  <c:v>7.7529623670845567</c:v>
                </c:pt>
                <c:pt idx="10">
                  <c:v>7.7487061355444418</c:v>
                </c:pt>
                <c:pt idx="11">
                  <c:v>7.7462806071232899</c:v>
                </c:pt>
                <c:pt idx="12">
                  <c:v>7.7441014021375629</c:v>
                </c:pt>
                <c:pt idx="13">
                  <c:v>7.7405188621964145</c:v>
                </c:pt>
                <c:pt idx="14">
                  <c:v>7.7348387233826923</c:v>
                </c:pt>
                <c:pt idx="15">
                  <c:v>7.7331170981889681</c:v>
                </c:pt>
                <c:pt idx="16">
                  <c:v>7.7307969672107006</c:v>
                </c:pt>
                <c:pt idx="17">
                  <c:v>7.7287944915714055</c:v>
                </c:pt>
                <c:pt idx="18">
                  <c:v>7.7262655264805451</c:v>
                </c:pt>
                <c:pt idx="19">
                  <c:v>7.7235717583914214</c:v>
                </c:pt>
                <c:pt idx="20">
                  <c:v>7.7213735023791186</c:v>
                </c:pt>
                <c:pt idx="21">
                  <c:v>7.7202041982738132</c:v>
                </c:pt>
                <c:pt idx="22">
                  <c:v>7.7186537022486306</c:v>
                </c:pt>
                <c:pt idx="23">
                  <c:v>7.7173731108431705</c:v>
                </c:pt>
                <c:pt idx="24">
                  <c:v>7.7160814132962035</c:v>
                </c:pt>
                <c:pt idx="25">
                  <c:v>7.715260147387192</c:v>
                </c:pt>
                <c:pt idx="26">
                  <c:v>7.7139463100910888</c:v>
                </c:pt>
                <c:pt idx="27">
                  <c:v>7.7136505973461329</c:v>
                </c:pt>
                <c:pt idx="28">
                  <c:v>7.7125193882185723</c:v>
                </c:pt>
                <c:pt idx="29">
                  <c:v>7.7124135891843384</c:v>
                </c:pt>
                <c:pt idx="30">
                  <c:v>7.7114687619981899</c:v>
                </c:pt>
                <c:pt idx="31">
                  <c:v>7.7088380137405617</c:v>
                </c:pt>
                <c:pt idx="32">
                  <c:v>7.7065475659001335</c:v>
                </c:pt>
                <c:pt idx="33">
                  <c:v>7.7046244263115859</c:v>
                </c:pt>
                <c:pt idx="34">
                  <c:v>7.7028639434811099</c:v>
                </c:pt>
                <c:pt idx="35">
                  <c:v>7.7008992386996571</c:v>
                </c:pt>
                <c:pt idx="36">
                  <c:v>7.6976308668225855</c:v>
                </c:pt>
                <c:pt idx="37">
                  <c:v>7.6973159899766266</c:v>
                </c:pt>
                <c:pt idx="38">
                  <c:v>7.6948941878438069</c:v>
                </c:pt>
                <c:pt idx="39">
                  <c:v>7.6926677673416437</c:v>
                </c:pt>
                <c:pt idx="40">
                  <c:v>7.6920234126858924</c:v>
                </c:pt>
                <c:pt idx="41">
                  <c:v>7.6908740402605043</c:v>
                </c:pt>
                <c:pt idx="42">
                  <c:v>7.6896543150199168</c:v>
                </c:pt>
                <c:pt idx="43">
                  <c:v>7.6888571068040621</c:v>
                </c:pt>
                <c:pt idx="44">
                  <c:v>7.6873645726722657</c:v>
                </c:pt>
                <c:pt idx="45">
                  <c:v>7.6866445274246393</c:v>
                </c:pt>
                <c:pt idx="46">
                  <c:v>7.6852764810568308</c:v>
                </c:pt>
                <c:pt idx="47">
                  <c:v>7.6837807241446248</c:v>
                </c:pt>
                <c:pt idx="48">
                  <c:v>7.6820838666512667</c:v>
                </c:pt>
                <c:pt idx="49">
                  <c:v>7.6812914112662289</c:v>
                </c:pt>
                <c:pt idx="50">
                  <c:v>7.6799892193661119</c:v>
                </c:pt>
                <c:pt idx="51">
                  <c:v>7.6798983077571092</c:v>
                </c:pt>
                <c:pt idx="52">
                  <c:v>7.6794031134770506</c:v>
                </c:pt>
                <c:pt idx="53">
                  <c:v>7.6787286952708849</c:v>
                </c:pt>
                <c:pt idx="54">
                  <c:v>7.6776737085947584</c:v>
                </c:pt>
                <c:pt idx="55">
                  <c:v>7.6766902594590718</c:v>
                </c:pt>
                <c:pt idx="56">
                  <c:v>7.6754725877780858</c:v>
                </c:pt>
                <c:pt idx="57">
                  <c:v>7.6744245930186894</c:v>
                </c:pt>
                <c:pt idx="58">
                  <c:v>7.6740961956951139</c:v>
                </c:pt>
                <c:pt idx="59">
                  <c:v>7.6738844665706356</c:v>
                </c:pt>
                <c:pt idx="60">
                  <c:v>7.672833328418216</c:v>
                </c:pt>
                <c:pt idx="61">
                  <c:v>7.6718258882370076</c:v>
                </c:pt>
                <c:pt idx="62">
                  <c:v>7.6699562992371018</c:v>
                </c:pt>
                <c:pt idx="63">
                  <c:v>7.6694897799376394</c:v>
                </c:pt>
                <c:pt idx="64">
                  <c:v>7.6686207725910709</c:v>
                </c:pt>
                <c:pt idx="65">
                  <c:v>7.6681433576862652</c:v>
                </c:pt>
                <c:pt idx="66">
                  <c:v>7.6671355203859335</c:v>
                </c:pt>
                <c:pt idx="67">
                  <c:v>7.6670931338726342</c:v>
                </c:pt>
                <c:pt idx="68">
                  <c:v>7.6660117255862881</c:v>
                </c:pt>
                <c:pt idx="69">
                  <c:v>7.6666057302204722</c:v>
                </c:pt>
                <c:pt idx="70">
                  <c:v>7.6659658596253459</c:v>
                </c:pt>
                <c:pt idx="71">
                  <c:v>7.6649563968816379</c:v>
                </c:pt>
                <c:pt idx="72">
                  <c:v>7.6645568390040664</c:v>
                </c:pt>
                <c:pt idx="73">
                  <c:v>7.6631593653989736</c:v>
                </c:pt>
                <c:pt idx="74">
                  <c:v>7.6629601072627231</c:v>
                </c:pt>
                <c:pt idx="75">
                  <c:v>7.6618602061016023</c:v>
                </c:pt>
                <c:pt idx="76">
                  <c:v>7.6608571647792116</c:v>
                </c:pt>
                <c:pt idx="77">
                  <c:v>7.6609023460167318</c:v>
                </c:pt>
                <c:pt idx="78">
                  <c:v>7.6595781476557079</c:v>
                </c:pt>
                <c:pt idx="79">
                  <c:v>7.6593557228414095</c:v>
                </c:pt>
                <c:pt idx="80">
                  <c:v>7.6590367359621077</c:v>
                </c:pt>
                <c:pt idx="81">
                  <c:v>7.6591856472810846</c:v>
                </c:pt>
                <c:pt idx="82">
                  <c:v>7.6570950546570211</c:v>
                </c:pt>
                <c:pt idx="83">
                  <c:v>7.6559440849264382</c:v>
                </c:pt>
                <c:pt idx="84">
                  <c:v>7.6547065396674476</c:v>
                </c:pt>
                <c:pt idx="85">
                  <c:v>7.6539643184470405</c:v>
                </c:pt>
                <c:pt idx="86">
                  <c:v>7.6526332130804242</c:v>
                </c:pt>
                <c:pt idx="87">
                  <c:v>7.6526554687195949</c:v>
                </c:pt>
                <c:pt idx="88">
                  <c:v>7.6518278520120209</c:v>
                </c:pt>
                <c:pt idx="89">
                  <c:v>7.6513212263418309</c:v>
                </c:pt>
                <c:pt idx="90">
                  <c:v>7.6503481007442611</c:v>
                </c:pt>
                <c:pt idx="91">
                  <c:v>7.6505366450443262</c:v>
                </c:pt>
                <c:pt idx="92">
                  <c:v>7.6502550350524121</c:v>
                </c:pt>
                <c:pt idx="93">
                  <c:v>7.6496965765608449</c:v>
                </c:pt>
                <c:pt idx="94">
                  <c:v>7.6491082591942998</c:v>
                </c:pt>
                <c:pt idx="95">
                  <c:v>7.6484240317698644</c:v>
                </c:pt>
                <c:pt idx="96">
                  <c:v>7.6483669921167454</c:v>
                </c:pt>
                <c:pt idx="97">
                  <c:v>7.6472362282886461</c:v>
                </c:pt>
                <c:pt idx="98">
                  <c:v>7.6467324013353268</c:v>
                </c:pt>
                <c:pt idx="99">
                  <c:v>7.6462213199879177</c:v>
                </c:pt>
                <c:pt idx="100">
                  <c:v>7.6462832655922588</c:v>
                </c:pt>
                <c:pt idx="101">
                  <c:v>7.6455500570229651</c:v>
                </c:pt>
                <c:pt idx="102">
                  <c:v>7.6451358942376419</c:v>
                </c:pt>
                <c:pt idx="103">
                  <c:v>7.645273111084375</c:v>
                </c:pt>
                <c:pt idx="104">
                  <c:v>7.6441469079502085</c:v>
                </c:pt>
                <c:pt idx="105">
                  <c:v>7.6436711126524353</c:v>
                </c:pt>
                <c:pt idx="106">
                  <c:v>7.6431748471735474</c:v>
                </c:pt>
                <c:pt idx="107">
                  <c:v>7.6426346648148193</c:v>
                </c:pt>
                <c:pt idx="108">
                  <c:v>7.6425769419512593</c:v>
                </c:pt>
                <c:pt idx="109">
                  <c:v>7.642437012452298</c:v>
                </c:pt>
                <c:pt idx="110">
                  <c:v>7.6415433440629119</c:v>
                </c:pt>
                <c:pt idx="111">
                  <c:v>7.6419477494500665</c:v>
                </c:pt>
                <c:pt idx="112">
                  <c:v>7.6415775683951663</c:v>
                </c:pt>
                <c:pt idx="113">
                  <c:v>7.6416703900409049</c:v>
                </c:pt>
                <c:pt idx="114">
                  <c:v>7.6413889678731381</c:v>
                </c:pt>
                <c:pt idx="115">
                  <c:v>7.6410265544270306</c:v>
                </c:pt>
                <c:pt idx="116">
                  <c:v>7.6403427577194227</c:v>
                </c:pt>
                <c:pt idx="117">
                  <c:v>7.6402617832807804</c:v>
                </c:pt>
                <c:pt idx="118">
                  <c:v>7.6397866011576712</c:v>
                </c:pt>
                <c:pt idx="119">
                  <c:v>7.6394256030078846</c:v>
                </c:pt>
                <c:pt idx="120">
                  <c:v>7.639313777434916</c:v>
                </c:pt>
                <c:pt idx="121">
                  <c:v>7.6399014259959968</c:v>
                </c:pt>
                <c:pt idx="122">
                  <c:v>7.638153790022173</c:v>
                </c:pt>
                <c:pt idx="123">
                  <c:v>7.6394542620052519</c:v>
                </c:pt>
                <c:pt idx="124">
                  <c:v>7.6390785739266107</c:v>
                </c:pt>
                <c:pt idx="125">
                  <c:v>7.6383732198244507</c:v>
                </c:pt>
                <c:pt idx="126">
                  <c:v>7.6379625431000324</c:v>
                </c:pt>
                <c:pt idx="127">
                  <c:v>7.6371974257148327</c:v>
                </c:pt>
                <c:pt idx="128">
                  <c:v>7.6373630430011108</c:v>
                </c:pt>
                <c:pt idx="129">
                  <c:v>7.6370864101458986</c:v>
                </c:pt>
                <c:pt idx="130">
                  <c:v>7.6370928855285998</c:v>
                </c:pt>
                <c:pt idx="131">
                  <c:v>7.636237789166743</c:v>
                </c:pt>
                <c:pt idx="132">
                  <c:v>7.6360657394538176</c:v>
                </c:pt>
                <c:pt idx="133">
                  <c:v>7.6364505715596289</c:v>
                </c:pt>
                <c:pt idx="134">
                  <c:v>7.6364859129943445</c:v>
                </c:pt>
                <c:pt idx="135">
                  <c:v>7.6353380890561349</c:v>
                </c:pt>
                <c:pt idx="136">
                  <c:v>7.6350373009702599</c:v>
                </c:pt>
                <c:pt idx="137">
                  <c:v>7.6349193205360555</c:v>
                </c:pt>
                <c:pt idx="138">
                  <c:v>7.6356043580214656</c:v>
                </c:pt>
                <c:pt idx="139">
                  <c:v>7.6335843429914414</c:v>
                </c:pt>
                <c:pt idx="140">
                  <c:v>7.6337714672943804</c:v>
                </c:pt>
                <c:pt idx="141">
                  <c:v>7.6346032993598199</c:v>
                </c:pt>
                <c:pt idx="142">
                  <c:v>7.6341761936482166</c:v>
                </c:pt>
                <c:pt idx="143">
                  <c:v>7.6335061272973581</c:v>
                </c:pt>
                <c:pt idx="144">
                  <c:v>7.6342632116120139</c:v>
                </c:pt>
                <c:pt idx="145">
                  <c:v>7.6334667814577832</c:v>
                </c:pt>
                <c:pt idx="146">
                  <c:v>7.6329544298962988</c:v>
                </c:pt>
                <c:pt idx="147">
                  <c:v>7.6327219830672481</c:v>
                </c:pt>
                <c:pt idx="148">
                  <c:v>7.632473396276759</c:v>
                </c:pt>
                <c:pt idx="149">
                  <c:v>7.6327054281652531</c:v>
                </c:pt>
                <c:pt idx="150">
                  <c:v>7.6322790488983356</c:v>
                </c:pt>
                <c:pt idx="151">
                  <c:v>7.6324305791715981</c:v>
                </c:pt>
                <c:pt idx="152">
                  <c:v>7.6310477383163295</c:v>
                </c:pt>
                <c:pt idx="153">
                  <c:v>7.6317405223070658</c:v>
                </c:pt>
                <c:pt idx="154">
                  <c:v>7.6316196658172402</c:v>
                </c:pt>
                <c:pt idx="155">
                  <c:v>7.6310383811405398</c:v>
                </c:pt>
                <c:pt idx="156">
                  <c:v>7.6312317857275804</c:v>
                </c:pt>
                <c:pt idx="157">
                  <c:v>7.6309298781794022</c:v>
                </c:pt>
                <c:pt idx="158">
                  <c:v>7.6304601952782036</c:v>
                </c:pt>
                <c:pt idx="159">
                  <c:v>7.631247535599047</c:v>
                </c:pt>
                <c:pt idx="160">
                  <c:v>7.6303460585460465</c:v>
                </c:pt>
                <c:pt idx="161">
                  <c:v>7.6303150035155918</c:v>
                </c:pt>
                <c:pt idx="162">
                  <c:v>7.6302864372794126</c:v>
                </c:pt>
                <c:pt idx="163">
                  <c:v>7.6305570173930866</c:v>
                </c:pt>
                <c:pt idx="164">
                  <c:v>7.6299538894027057</c:v>
                </c:pt>
                <c:pt idx="165">
                  <c:v>7.6308699360319192</c:v>
                </c:pt>
                <c:pt idx="166">
                  <c:v>7.6309933706740143</c:v>
                </c:pt>
                <c:pt idx="167">
                  <c:v>7.6305557136335898</c:v>
                </c:pt>
                <c:pt idx="168">
                  <c:v>7.6293169388492075</c:v>
                </c:pt>
                <c:pt idx="169">
                  <c:v>7.6296668968447614</c:v>
                </c:pt>
                <c:pt idx="170">
                  <c:v>7.6295775801898964</c:v>
                </c:pt>
                <c:pt idx="171">
                  <c:v>7.6298449131419561</c:v>
                </c:pt>
                <c:pt idx="172">
                  <c:v>7.629259154104731</c:v>
                </c:pt>
                <c:pt idx="173">
                  <c:v>7.6292262859225319</c:v>
                </c:pt>
                <c:pt idx="174">
                  <c:v>7.6292468139606955</c:v>
                </c:pt>
                <c:pt idx="175">
                  <c:v>7.629055398778454</c:v>
                </c:pt>
                <c:pt idx="176">
                  <c:v>7.6292097916427979</c:v>
                </c:pt>
                <c:pt idx="177">
                  <c:v>7.6290333238332826</c:v>
                </c:pt>
                <c:pt idx="178">
                  <c:v>7.6277724589287734</c:v>
                </c:pt>
                <c:pt idx="179">
                  <c:v>7.6285967080783816</c:v>
                </c:pt>
                <c:pt idx="180">
                  <c:v>7.6282024266129378</c:v>
                </c:pt>
                <c:pt idx="181">
                  <c:v>7.628141607931707</c:v>
                </c:pt>
                <c:pt idx="182">
                  <c:v>7.6277119704092033</c:v>
                </c:pt>
                <c:pt idx="183">
                  <c:v>7.6273659641527765</c:v>
                </c:pt>
                <c:pt idx="184">
                  <c:v>7.6274678408205805</c:v>
                </c:pt>
                <c:pt idx="185">
                  <c:v>7.6269276682219909</c:v>
                </c:pt>
                <c:pt idx="186">
                  <c:v>7.6268679611775472</c:v>
                </c:pt>
                <c:pt idx="187">
                  <c:v>7.6270470711300522</c:v>
                </c:pt>
                <c:pt idx="188">
                  <c:v>7.6275059978333068</c:v>
                </c:pt>
                <c:pt idx="189">
                  <c:v>7.6271438672518048</c:v>
                </c:pt>
                <c:pt idx="190">
                  <c:v>7.6283341481680464</c:v>
                </c:pt>
                <c:pt idx="191">
                  <c:v>7.6279472484734629</c:v>
                </c:pt>
                <c:pt idx="192">
                  <c:v>7.623602508783768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  <c:max val="7.8"/>
          <c:min val="7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Cu_2ndPhase!$B$2:$B$197</c:f>
              <c:numCache>
                <c:formatCode>General</c:formatCode>
                <c:ptCount val="196"/>
                <c:pt idx="0">
                  <c:v>2432.8432619999999</c:v>
                </c:pt>
                <c:pt idx="1">
                  <c:v>2419.08374</c:v>
                </c:pt>
                <c:pt idx="2">
                  <c:v>2405.0854490000002</c:v>
                </c:pt>
                <c:pt idx="3">
                  <c:v>2389.3305660000001</c:v>
                </c:pt>
                <c:pt idx="4">
                  <c:v>2374.0253910000001</c:v>
                </c:pt>
                <c:pt idx="5">
                  <c:v>2365.4309079999998</c:v>
                </c:pt>
                <c:pt idx="6">
                  <c:v>2356.9975589999999</c:v>
                </c:pt>
                <c:pt idx="7">
                  <c:v>2349.9807129999999</c:v>
                </c:pt>
                <c:pt idx="8">
                  <c:v>2340.201172</c:v>
                </c:pt>
                <c:pt idx="9">
                  <c:v>2328.459961</c:v>
                </c:pt>
                <c:pt idx="10">
                  <c:v>2318.570557</c:v>
                </c:pt>
                <c:pt idx="11">
                  <c:v>2312.9536130000001</c:v>
                </c:pt>
                <c:pt idx="12">
                  <c:v>2307.9187010000001</c:v>
                </c:pt>
                <c:pt idx="13">
                  <c:v>2299.6652829999998</c:v>
                </c:pt>
                <c:pt idx="14">
                  <c:v>2286.639893</c:v>
                </c:pt>
                <c:pt idx="15">
                  <c:v>2282.7065429999998</c:v>
                </c:pt>
                <c:pt idx="16">
                  <c:v>2277.4165039999998</c:v>
                </c:pt>
                <c:pt idx="17">
                  <c:v>2272.860596</c:v>
                </c:pt>
                <c:pt idx="18">
                  <c:v>2267.1198730000001</c:v>
                </c:pt>
                <c:pt idx="19">
                  <c:v>2261.0209960000002</c:v>
                </c:pt>
                <c:pt idx="20">
                  <c:v>2256.0561520000001</c:v>
                </c:pt>
                <c:pt idx="21">
                  <c:v>2253.4196780000002</c:v>
                </c:pt>
                <c:pt idx="22">
                  <c:v>2249.9284670000002</c:v>
                </c:pt>
                <c:pt idx="23">
                  <c:v>2247.0490719999998</c:v>
                </c:pt>
                <c:pt idx="24">
                  <c:v>2244.1484380000002</c:v>
                </c:pt>
                <c:pt idx="25">
                  <c:v>2242.3061520000001</c:v>
                </c:pt>
                <c:pt idx="26">
                  <c:v>2239.3620609999998</c:v>
                </c:pt>
                <c:pt idx="27">
                  <c:v>2238.6999510000001</c:v>
                </c:pt>
                <c:pt idx="28">
                  <c:v>2236.1689449999999</c:v>
                </c:pt>
                <c:pt idx="29">
                  <c:v>2235.9323730000001</c:v>
                </c:pt>
                <c:pt idx="30">
                  <c:v>2233.8208009999998</c:v>
                </c:pt>
                <c:pt idx="31">
                  <c:v>2227.951904</c:v>
                </c:pt>
                <c:pt idx="32">
                  <c:v>2222.8547359999998</c:v>
                </c:pt>
                <c:pt idx="33">
                  <c:v>2218.5839839999999</c:v>
                </c:pt>
                <c:pt idx="34">
                  <c:v>2214.6816410000001</c:v>
                </c:pt>
                <c:pt idx="35">
                  <c:v>2210.3347170000002</c:v>
                </c:pt>
                <c:pt idx="36">
                  <c:v>2203.1223140000002</c:v>
                </c:pt>
                <c:pt idx="37">
                  <c:v>2202.428711</c:v>
                </c:pt>
                <c:pt idx="38">
                  <c:v>2197.101318</c:v>
                </c:pt>
                <c:pt idx="39">
                  <c:v>2192.2150879999999</c:v>
                </c:pt>
                <c:pt idx="40">
                  <c:v>2190.8029790000001</c:v>
                </c:pt>
                <c:pt idx="41">
                  <c:v>2188.2863769999999</c:v>
                </c:pt>
                <c:pt idx="42">
                  <c:v>2185.6188959999999</c:v>
                </c:pt>
                <c:pt idx="43">
                  <c:v>2183.8771969999998</c:v>
                </c:pt>
                <c:pt idx="44">
                  <c:v>2180.6201169999999</c:v>
                </c:pt>
                <c:pt idx="45">
                  <c:v>2179.0505370000001</c:v>
                </c:pt>
                <c:pt idx="46">
                  <c:v>2176.0715329999998</c:v>
                </c:pt>
                <c:pt idx="47">
                  <c:v>2172.8190920000002</c:v>
                </c:pt>
                <c:pt idx="48">
                  <c:v>2169.1352539999998</c:v>
                </c:pt>
                <c:pt idx="49">
                  <c:v>2167.4169919999999</c:v>
                </c:pt>
                <c:pt idx="50">
                  <c:v>2164.5964359999998</c:v>
                </c:pt>
                <c:pt idx="51">
                  <c:v>2164.3996579999998</c:v>
                </c:pt>
                <c:pt idx="52">
                  <c:v>2163.328125</c:v>
                </c:pt>
                <c:pt idx="53">
                  <c:v>2161.8696289999998</c:v>
                </c:pt>
                <c:pt idx="54">
                  <c:v>2159.5900879999999</c:v>
                </c:pt>
                <c:pt idx="55">
                  <c:v>2157.4672850000002</c:v>
                </c:pt>
                <c:pt idx="56">
                  <c:v>2154.841797</c:v>
                </c:pt>
                <c:pt idx="57">
                  <c:v>2152.5847170000002</c:v>
                </c:pt>
                <c:pt idx="58">
                  <c:v>2151.8779300000001</c:v>
                </c:pt>
                <c:pt idx="59">
                  <c:v>2151.4223630000001</c:v>
                </c:pt>
                <c:pt idx="60">
                  <c:v>2149.1621089999999</c:v>
                </c:pt>
                <c:pt idx="61">
                  <c:v>2146.998047</c:v>
                </c:pt>
                <c:pt idx="62">
                  <c:v>2142.9877929999998</c:v>
                </c:pt>
                <c:pt idx="63">
                  <c:v>2141.9882809999999</c:v>
                </c:pt>
                <c:pt idx="64">
                  <c:v>2140.1276859999998</c:v>
                </c:pt>
                <c:pt idx="65">
                  <c:v>2139.1062010000001</c:v>
                </c:pt>
                <c:pt idx="66">
                  <c:v>2136.9514159999999</c:v>
                </c:pt>
                <c:pt idx="67">
                  <c:v>2136.8608399999998</c:v>
                </c:pt>
                <c:pt idx="68">
                  <c:v>2134.5512699999999</c:v>
                </c:pt>
                <c:pt idx="69">
                  <c:v>2135.8195799999999</c:v>
                </c:pt>
                <c:pt idx="70">
                  <c:v>2134.4533689999998</c:v>
                </c:pt>
                <c:pt idx="71">
                  <c:v>2132.2998050000001</c:v>
                </c:pt>
                <c:pt idx="72">
                  <c:v>2131.4479980000001</c:v>
                </c:pt>
                <c:pt idx="73">
                  <c:v>2128.4714359999998</c:v>
                </c:pt>
                <c:pt idx="74">
                  <c:v>2128.0473630000001</c:v>
                </c:pt>
                <c:pt idx="75">
                  <c:v>2125.7080080000001</c:v>
                </c:pt>
                <c:pt idx="76">
                  <c:v>2123.576904</c:v>
                </c:pt>
                <c:pt idx="77">
                  <c:v>2123.6728520000001</c:v>
                </c:pt>
                <c:pt idx="78">
                  <c:v>2120.8625489999999</c:v>
                </c:pt>
                <c:pt idx="79">
                  <c:v>2120.3908689999998</c:v>
                </c:pt>
                <c:pt idx="80">
                  <c:v>2119.7145999999998</c:v>
                </c:pt>
                <c:pt idx="81">
                  <c:v>2120.0302729999999</c:v>
                </c:pt>
                <c:pt idx="82">
                  <c:v>2115.6027829999998</c:v>
                </c:pt>
                <c:pt idx="83">
                  <c:v>2113.1691890000002</c:v>
                </c:pt>
                <c:pt idx="84">
                  <c:v>2110.555664</c:v>
                </c:pt>
                <c:pt idx="85">
                  <c:v>2108.9897460000002</c:v>
                </c:pt>
                <c:pt idx="86">
                  <c:v>2106.1843260000001</c:v>
                </c:pt>
                <c:pt idx="87">
                  <c:v>2106.2312010000001</c:v>
                </c:pt>
                <c:pt idx="88">
                  <c:v>2104.4887699999999</c:v>
                </c:pt>
                <c:pt idx="89">
                  <c:v>2103.4228520000001</c:v>
                </c:pt>
                <c:pt idx="90">
                  <c:v>2101.376953</c:v>
                </c:pt>
                <c:pt idx="91">
                  <c:v>2101.773193</c:v>
                </c:pt>
                <c:pt idx="92">
                  <c:v>2101.1813959999999</c:v>
                </c:pt>
                <c:pt idx="93">
                  <c:v>2100.0083009999998</c:v>
                </c:pt>
                <c:pt idx="94">
                  <c:v>2098.773193</c:v>
                </c:pt>
                <c:pt idx="95">
                  <c:v>2097.3376459999999</c:v>
                </c:pt>
                <c:pt idx="96">
                  <c:v>2097.218018</c:v>
                </c:pt>
                <c:pt idx="97">
                  <c:v>2094.8479000000002</c:v>
                </c:pt>
                <c:pt idx="98">
                  <c:v>2093.7927249999998</c:v>
                </c:pt>
                <c:pt idx="99">
                  <c:v>2092.7229000000002</c:v>
                </c:pt>
                <c:pt idx="100">
                  <c:v>2092.852539</c:v>
                </c:pt>
                <c:pt idx="101">
                  <c:v>2091.3186040000001</c:v>
                </c:pt>
                <c:pt idx="102">
                  <c:v>2090.4526369999999</c:v>
                </c:pt>
                <c:pt idx="103">
                  <c:v>2090.7395019999999</c:v>
                </c:pt>
                <c:pt idx="104">
                  <c:v>2088.3862300000001</c:v>
                </c:pt>
                <c:pt idx="105">
                  <c:v>2087.3928219999998</c:v>
                </c:pt>
                <c:pt idx="106">
                  <c:v>2086.3571780000002</c:v>
                </c:pt>
                <c:pt idx="107">
                  <c:v>2085.2304690000001</c:v>
                </c:pt>
                <c:pt idx="108">
                  <c:v>2085.110107</c:v>
                </c:pt>
                <c:pt idx="109">
                  <c:v>2084.8183589999999</c:v>
                </c:pt>
                <c:pt idx="110">
                  <c:v>2082.9560550000001</c:v>
                </c:pt>
                <c:pt idx="111">
                  <c:v>2083.7985840000001</c:v>
                </c:pt>
                <c:pt idx="112">
                  <c:v>2083.0273440000001</c:v>
                </c:pt>
                <c:pt idx="113">
                  <c:v>2083.220703</c:v>
                </c:pt>
                <c:pt idx="114">
                  <c:v>2082.6345209999999</c:v>
                </c:pt>
                <c:pt idx="115">
                  <c:v>2081.8798830000001</c:v>
                </c:pt>
                <c:pt idx="116">
                  <c:v>2080.4567870000001</c:v>
                </c:pt>
                <c:pt idx="117">
                  <c:v>2080.2883299999999</c:v>
                </c:pt>
                <c:pt idx="118">
                  <c:v>2079.3000489999999</c:v>
                </c:pt>
                <c:pt idx="119">
                  <c:v>2078.5495609999998</c:v>
                </c:pt>
                <c:pt idx="120">
                  <c:v>2078.3171390000002</c:v>
                </c:pt>
                <c:pt idx="121">
                  <c:v>2079.538818</c:v>
                </c:pt>
                <c:pt idx="122">
                  <c:v>2075.9077149999998</c:v>
                </c:pt>
                <c:pt idx="123">
                  <c:v>2078.6091310000002</c:v>
                </c:pt>
                <c:pt idx="124">
                  <c:v>2077.8283689999998</c:v>
                </c:pt>
                <c:pt idx="125">
                  <c:v>2076.3632809999999</c:v>
                </c:pt>
                <c:pt idx="126">
                  <c:v>2075.5107419999999</c:v>
                </c:pt>
                <c:pt idx="127">
                  <c:v>2073.9233399999998</c:v>
                </c:pt>
                <c:pt idx="128">
                  <c:v>2074.266846</c:v>
                </c:pt>
                <c:pt idx="129">
                  <c:v>2073.693115</c:v>
                </c:pt>
                <c:pt idx="130">
                  <c:v>2073.7065429999998</c:v>
                </c:pt>
                <c:pt idx="131">
                  <c:v>2071.9340820000002</c:v>
                </c:pt>
                <c:pt idx="132">
                  <c:v>2071.5776369999999</c:v>
                </c:pt>
                <c:pt idx="133">
                  <c:v>2072.375</c:v>
                </c:pt>
                <c:pt idx="134">
                  <c:v>2072.4482419999999</c:v>
                </c:pt>
                <c:pt idx="135">
                  <c:v>2070.0708009999998</c:v>
                </c:pt>
                <c:pt idx="136">
                  <c:v>2069.4482419999999</c:v>
                </c:pt>
                <c:pt idx="137">
                  <c:v>2069.2041020000001</c:v>
                </c:pt>
                <c:pt idx="138">
                  <c:v>2070.6220699999999</c:v>
                </c:pt>
                <c:pt idx="139">
                  <c:v>2066.4436040000001</c:v>
                </c:pt>
                <c:pt idx="140">
                  <c:v>2066.8303219999998</c:v>
                </c:pt>
                <c:pt idx="141">
                  <c:v>2068.5502929999998</c:v>
                </c:pt>
                <c:pt idx="142">
                  <c:v>2067.6669919999999</c:v>
                </c:pt>
                <c:pt idx="143">
                  <c:v>2066.281982</c:v>
                </c:pt>
                <c:pt idx="144">
                  <c:v>2067.8469239999999</c:v>
                </c:pt>
                <c:pt idx="145">
                  <c:v>2066.2006839999999</c:v>
                </c:pt>
                <c:pt idx="146">
                  <c:v>2065.1423340000001</c:v>
                </c:pt>
                <c:pt idx="147">
                  <c:v>2064.6623540000001</c:v>
                </c:pt>
                <c:pt idx="148">
                  <c:v>2064.1491700000001</c:v>
                </c:pt>
                <c:pt idx="149">
                  <c:v>2064.6281739999999</c:v>
                </c:pt>
                <c:pt idx="150">
                  <c:v>2063.748047</c:v>
                </c:pt>
                <c:pt idx="151">
                  <c:v>2064.0607909999999</c:v>
                </c:pt>
                <c:pt idx="152">
                  <c:v>2061.2084960000002</c:v>
                </c:pt>
                <c:pt idx="153">
                  <c:v>2062.6369629999999</c:v>
                </c:pt>
                <c:pt idx="154">
                  <c:v>2062.3876949999999</c:v>
                </c:pt>
                <c:pt idx="155">
                  <c:v>2061.1892090000001</c:v>
                </c:pt>
                <c:pt idx="156">
                  <c:v>2061.5878910000001</c:v>
                </c:pt>
                <c:pt idx="157">
                  <c:v>2060.9655760000001</c:v>
                </c:pt>
                <c:pt idx="158">
                  <c:v>2059.9978030000002</c:v>
                </c:pt>
                <c:pt idx="159">
                  <c:v>2061.6203609999998</c:v>
                </c:pt>
                <c:pt idx="160">
                  <c:v>2059.7626949999999</c:v>
                </c:pt>
                <c:pt idx="161">
                  <c:v>2059.6987300000001</c:v>
                </c:pt>
                <c:pt idx="162">
                  <c:v>2059.639893</c:v>
                </c:pt>
                <c:pt idx="163">
                  <c:v>2060.1972660000001</c:v>
                </c:pt>
                <c:pt idx="164">
                  <c:v>2058.955078</c:v>
                </c:pt>
                <c:pt idx="165">
                  <c:v>2060.8420409999999</c:v>
                </c:pt>
                <c:pt idx="166">
                  <c:v>2061.0964359999998</c:v>
                </c:pt>
                <c:pt idx="167">
                  <c:v>2060.1945799999999</c:v>
                </c:pt>
                <c:pt idx="168">
                  <c:v>2057.6440429999998</c:v>
                </c:pt>
                <c:pt idx="169">
                  <c:v>2058.3642580000001</c:v>
                </c:pt>
                <c:pt idx="170">
                  <c:v>2058.1804200000001</c:v>
                </c:pt>
                <c:pt idx="171">
                  <c:v>2058.7307129999999</c:v>
                </c:pt>
                <c:pt idx="172">
                  <c:v>2057.5251459999999</c:v>
                </c:pt>
                <c:pt idx="173">
                  <c:v>2057.4575199999999</c:v>
                </c:pt>
                <c:pt idx="174">
                  <c:v>2057.4997560000002</c:v>
                </c:pt>
                <c:pt idx="175">
                  <c:v>2057.1059570000002</c:v>
                </c:pt>
                <c:pt idx="176">
                  <c:v>2057.4235840000001</c:v>
                </c:pt>
                <c:pt idx="177">
                  <c:v>2057.060547</c:v>
                </c:pt>
                <c:pt idx="178">
                  <c:v>2054.4685060000002</c:v>
                </c:pt>
                <c:pt idx="179">
                  <c:v>2056.1625979999999</c:v>
                </c:pt>
                <c:pt idx="180">
                  <c:v>2055.3520509999998</c:v>
                </c:pt>
                <c:pt idx="181">
                  <c:v>2055.2270509999998</c:v>
                </c:pt>
                <c:pt idx="182">
                  <c:v>2054.3442380000001</c:v>
                </c:pt>
                <c:pt idx="183">
                  <c:v>2053.6335450000001</c:v>
                </c:pt>
                <c:pt idx="184">
                  <c:v>2053.8427729999999</c:v>
                </c:pt>
                <c:pt idx="185">
                  <c:v>2052.733643</c:v>
                </c:pt>
                <c:pt idx="186">
                  <c:v>2052.6110840000001</c:v>
                </c:pt>
                <c:pt idx="187">
                  <c:v>2052.97876</c:v>
                </c:pt>
                <c:pt idx="188">
                  <c:v>2053.921143</c:v>
                </c:pt>
                <c:pt idx="189">
                  <c:v>2053.17749</c:v>
                </c:pt>
                <c:pt idx="190">
                  <c:v>2055.6228030000002</c:v>
                </c:pt>
                <c:pt idx="191">
                  <c:v>2054.8276369999999</c:v>
                </c:pt>
                <c:pt idx="192">
                  <c:v>2045.919312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Cu_2ndPhase!$I$2:$I$102</c:f>
              <c:numCache>
                <c:formatCode>General</c:formatCode>
                <c:ptCount val="101"/>
                <c:pt idx="0">
                  <c:v>7.796815919006753</c:v>
                </c:pt>
                <c:pt idx="1">
                  <c:v>7.7911441276214344</c:v>
                </c:pt>
                <c:pt idx="2">
                  <c:v>7.7853407116384252</c:v>
                </c:pt>
                <c:pt idx="3">
                  <c:v>7.7787685077828614</c:v>
                </c:pt>
                <c:pt idx="4">
                  <c:v>7.7723422705631338</c:v>
                </c:pt>
                <c:pt idx="5">
                  <c:v>7.7687154864434085</c:v>
                </c:pt>
                <c:pt idx="6">
                  <c:v>7.7651438672970716</c:v>
                </c:pt>
                <c:pt idx="7">
                  <c:v>7.7621623998704825</c:v>
                </c:pt>
                <c:pt idx="8">
                  <c:v>7.7579921755966286</c:v>
                </c:pt>
                <c:pt idx="9">
                  <c:v>7.7529623670845567</c:v>
                </c:pt>
                <c:pt idx="10">
                  <c:v>7.7487061355444418</c:v>
                </c:pt>
                <c:pt idx="11">
                  <c:v>7.7462806071232899</c:v>
                </c:pt>
                <c:pt idx="12">
                  <c:v>7.7441014021375629</c:v>
                </c:pt>
                <c:pt idx="13">
                  <c:v>7.7405188621964145</c:v>
                </c:pt>
                <c:pt idx="14">
                  <c:v>7.7348387233826923</c:v>
                </c:pt>
                <c:pt idx="15">
                  <c:v>7.7331170981889681</c:v>
                </c:pt>
                <c:pt idx="16">
                  <c:v>7.7307969672107006</c:v>
                </c:pt>
                <c:pt idx="17">
                  <c:v>7.7287944915714055</c:v>
                </c:pt>
                <c:pt idx="18">
                  <c:v>7.7262655264805451</c:v>
                </c:pt>
                <c:pt idx="19">
                  <c:v>7.7235717583914214</c:v>
                </c:pt>
                <c:pt idx="20">
                  <c:v>7.7213735023791186</c:v>
                </c:pt>
                <c:pt idx="21">
                  <c:v>7.7202041982738132</c:v>
                </c:pt>
                <c:pt idx="22">
                  <c:v>7.7186537022486306</c:v>
                </c:pt>
                <c:pt idx="23">
                  <c:v>7.7173731108431705</c:v>
                </c:pt>
                <c:pt idx="24">
                  <c:v>7.7160814132962035</c:v>
                </c:pt>
                <c:pt idx="25">
                  <c:v>7.715260147387192</c:v>
                </c:pt>
                <c:pt idx="26">
                  <c:v>7.7139463100910888</c:v>
                </c:pt>
                <c:pt idx="27">
                  <c:v>7.7136505973461329</c:v>
                </c:pt>
                <c:pt idx="28">
                  <c:v>7.7125193882185723</c:v>
                </c:pt>
                <c:pt idx="29">
                  <c:v>7.7124135891843384</c:v>
                </c:pt>
                <c:pt idx="30">
                  <c:v>7.7114687619981899</c:v>
                </c:pt>
                <c:pt idx="31">
                  <c:v>7.7088380137405617</c:v>
                </c:pt>
                <c:pt idx="32">
                  <c:v>7.7065475659001335</c:v>
                </c:pt>
                <c:pt idx="33">
                  <c:v>7.7046244263115859</c:v>
                </c:pt>
                <c:pt idx="34">
                  <c:v>7.7028639434811099</c:v>
                </c:pt>
                <c:pt idx="35">
                  <c:v>7.7008992386996571</c:v>
                </c:pt>
                <c:pt idx="36">
                  <c:v>7.6976308668225855</c:v>
                </c:pt>
                <c:pt idx="37">
                  <c:v>7.6973159899766266</c:v>
                </c:pt>
                <c:pt idx="38">
                  <c:v>7.6948941878438069</c:v>
                </c:pt>
                <c:pt idx="39">
                  <c:v>7.6926677673416437</c:v>
                </c:pt>
                <c:pt idx="40">
                  <c:v>7.6920234126858924</c:v>
                </c:pt>
                <c:pt idx="41">
                  <c:v>7.6908740402605043</c:v>
                </c:pt>
                <c:pt idx="42">
                  <c:v>7.6896543150199168</c:v>
                </c:pt>
                <c:pt idx="43">
                  <c:v>7.6888571068040621</c:v>
                </c:pt>
                <c:pt idx="44">
                  <c:v>7.6873645726722657</c:v>
                </c:pt>
                <c:pt idx="45">
                  <c:v>7.6866445274246393</c:v>
                </c:pt>
                <c:pt idx="46">
                  <c:v>7.6852764810568308</c:v>
                </c:pt>
                <c:pt idx="47">
                  <c:v>7.6837807241446248</c:v>
                </c:pt>
                <c:pt idx="48">
                  <c:v>7.6820838666512667</c:v>
                </c:pt>
                <c:pt idx="49">
                  <c:v>7.6812914112662289</c:v>
                </c:pt>
                <c:pt idx="50">
                  <c:v>7.6799892193661119</c:v>
                </c:pt>
                <c:pt idx="51">
                  <c:v>7.6798983077571092</c:v>
                </c:pt>
                <c:pt idx="52">
                  <c:v>7.6794031134770506</c:v>
                </c:pt>
                <c:pt idx="53">
                  <c:v>7.6787286952708849</c:v>
                </c:pt>
                <c:pt idx="54">
                  <c:v>7.6776737085947584</c:v>
                </c:pt>
                <c:pt idx="55">
                  <c:v>7.6766902594590718</c:v>
                </c:pt>
                <c:pt idx="56">
                  <c:v>7.6754725877780858</c:v>
                </c:pt>
                <c:pt idx="57">
                  <c:v>7.6744245930186894</c:v>
                </c:pt>
                <c:pt idx="58">
                  <c:v>7.6740961956951139</c:v>
                </c:pt>
                <c:pt idx="59">
                  <c:v>7.6738844665706356</c:v>
                </c:pt>
                <c:pt idx="60">
                  <c:v>7.672833328418216</c:v>
                </c:pt>
                <c:pt idx="61">
                  <c:v>7.6718258882370076</c:v>
                </c:pt>
                <c:pt idx="62">
                  <c:v>7.6699562992371018</c:v>
                </c:pt>
                <c:pt idx="63">
                  <c:v>7.6694897799376394</c:v>
                </c:pt>
                <c:pt idx="64">
                  <c:v>7.6686207725910709</c:v>
                </c:pt>
                <c:pt idx="65">
                  <c:v>7.6681433576862652</c:v>
                </c:pt>
                <c:pt idx="66">
                  <c:v>7.6671355203859335</c:v>
                </c:pt>
                <c:pt idx="67">
                  <c:v>7.6670931338726342</c:v>
                </c:pt>
                <c:pt idx="68">
                  <c:v>7.6660117255862881</c:v>
                </c:pt>
                <c:pt idx="69">
                  <c:v>7.6666057302204722</c:v>
                </c:pt>
                <c:pt idx="70">
                  <c:v>7.6659658596253459</c:v>
                </c:pt>
                <c:pt idx="71">
                  <c:v>7.6649563968816379</c:v>
                </c:pt>
                <c:pt idx="72">
                  <c:v>7.6645568390040664</c:v>
                </c:pt>
                <c:pt idx="73">
                  <c:v>7.6631593653989736</c:v>
                </c:pt>
                <c:pt idx="74">
                  <c:v>7.6629601072627231</c:v>
                </c:pt>
                <c:pt idx="75">
                  <c:v>7.6618602061016023</c:v>
                </c:pt>
                <c:pt idx="76">
                  <c:v>7.6608571647792116</c:v>
                </c:pt>
                <c:pt idx="77">
                  <c:v>7.6609023460167318</c:v>
                </c:pt>
                <c:pt idx="78">
                  <c:v>7.6595781476557079</c:v>
                </c:pt>
                <c:pt idx="79">
                  <c:v>7.6593557228414095</c:v>
                </c:pt>
                <c:pt idx="80">
                  <c:v>7.6590367359621077</c:v>
                </c:pt>
                <c:pt idx="81">
                  <c:v>7.6591856472810846</c:v>
                </c:pt>
                <c:pt idx="82">
                  <c:v>7.6570950546570211</c:v>
                </c:pt>
                <c:pt idx="83">
                  <c:v>7.6559440849264382</c:v>
                </c:pt>
                <c:pt idx="84">
                  <c:v>7.6547065396674476</c:v>
                </c:pt>
                <c:pt idx="85">
                  <c:v>7.6539643184470405</c:v>
                </c:pt>
                <c:pt idx="86">
                  <c:v>7.6526332130804242</c:v>
                </c:pt>
                <c:pt idx="87">
                  <c:v>7.6526554687195949</c:v>
                </c:pt>
                <c:pt idx="88">
                  <c:v>7.6518278520120209</c:v>
                </c:pt>
                <c:pt idx="89">
                  <c:v>7.6513212263418309</c:v>
                </c:pt>
                <c:pt idx="90">
                  <c:v>7.6503481007442611</c:v>
                </c:pt>
                <c:pt idx="91">
                  <c:v>7.6505366450443262</c:v>
                </c:pt>
                <c:pt idx="92">
                  <c:v>7.6502550350524121</c:v>
                </c:pt>
                <c:pt idx="93">
                  <c:v>7.6496965765608449</c:v>
                </c:pt>
                <c:pt idx="94">
                  <c:v>7.6491082591942998</c:v>
                </c:pt>
                <c:pt idx="95">
                  <c:v>7.6484240317698644</c:v>
                </c:pt>
                <c:pt idx="96">
                  <c:v>7.6483669921167454</c:v>
                </c:pt>
                <c:pt idx="97">
                  <c:v>7.6472362282886461</c:v>
                </c:pt>
                <c:pt idx="98">
                  <c:v>7.6467324013353268</c:v>
                </c:pt>
                <c:pt idx="99">
                  <c:v>7.6462213199879177</c:v>
                </c:pt>
                <c:pt idx="100">
                  <c:v>7.6462832655922588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752448764414579"/>
                  <c:y val="3.3455818022747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Cu_2ndPhase!$B$2:$B$102</c:f>
              <c:numCache>
                <c:formatCode>General</c:formatCode>
                <c:ptCount val="101"/>
                <c:pt idx="0">
                  <c:v>2432.8432619999999</c:v>
                </c:pt>
                <c:pt idx="1">
                  <c:v>2419.08374</c:v>
                </c:pt>
                <c:pt idx="2">
                  <c:v>2405.0854490000002</c:v>
                </c:pt>
                <c:pt idx="3">
                  <c:v>2389.3305660000001</c:v>
                </c:pt>
                <c:pt idx="4">
                  <c:v>2374.0253910000001</c:v>
                </c:pt>
                <c:pt idx="5">
                  <c:v>2365.4309079999998</c:v>
                </c:pt>
                <c:pt idx="6">
                  <c:v>2356.9975589999999</c:v>
                </c:pt>
                <c:pt idx="7">
                  <c:v>2349.9807129999999</c:v>
                </c:pt>
                <c:pt idx="8">
                  <c:v>2340.201172</c:v>
                </c:pt>
                <c:pt idx="9">
                  <c:v>2328.459961</c:v>
                </c:pt>
                <c:pt idx="10">
                  <c:v>2318.570557</c:v>
                </c:pt>
                <c:pt idx="11">
                  <c:v>2312.9536130000001</c:v>
                </c:pt>
                <c:pt idx="12">
                  <c:v>2307.9187010000001</c:v>
                </c:pt>
                <c:pt idx="13">
                  <c:v>2299.6652829999998</c:v>
                </c:pt>
                <c:pt idx="14">
                  <c:v>2286.639893</c:v>
                </c:pt>
                <c:pt idx="15">
                  <c:v>2282.7065429999998</c:v>
                </c:pt>
                <c:pt idx="16">
                  <c:v>2277.4165039999998</c:v>
                </c:pt>
                <c:pt idx="17">
                  <c:v>2272.860596</c:v>
                </c:pt>
                <c:pt idx="18">
                  <c:v>2267.1198730000001</c:v>
                </c:pt>
                <c:pt idx="19">
                  <c:v>2261.0209960000002</c:v>
                </c:pt>
                <c:pt idx="20">
                  <c:v>2256.0561520000001</c:v>
                </c:pt>
                <c:pt idx="21">
                  <c:v>2253.4196780000002</c:v>
                </c:pt>
                <c:pt idx="22">
                  <c:v>2249.9284670000002</c:v>
                </c:pt>
                <c:pt idx="23">
                  <c:v>2247.0490719999998</c:v>
                </c:pt>
                <c:pt idx="24">
                  <c:v>2244.1484380000002</c:v>
                </c:pt>
                <c:pt idx="25">
                  <c:v>2242.3061520000001</c:v>
                </c:pt>
                <c:pt idx="26">
                  <c:v>2239.3620609999998</c:v>
                </c:pt>
                <c:pt idx="27">
                  <c:v>2238.6999510000001</c:v>
                </c:pt>
                <c:pt idx="28">
                  <c:v>2236.1689449999999</c:v>
                </c:pt>
                <c:pt idx="29">
                  <c:v>2235.9323730000001</c:v>
                </c:pt>
                <c:pt idx="30">
                  <c:v>2233.8208009999998</c:v>
                </c:pt>
                <c:pt idx="31">
                  <c:v>2227.951904</c:v>
                </c:pt>
                <c:pt idx="32">
                  <c:v>2222.8547359999998</c:v>
                </c:pt>
                <c:pt idx="33">
                  <c:v>2218.5839839999999</c:v>
                </c:pt>
                <c:pt idx="34">
                  <c:v>2214.6816410000001</c:v>
                </c:pt>
                <c:pt idx="35">
                  <c:v>2210.3347170000002</c:v>
                </c:pt>
                <c:pt idx="36">
                  <c:v>2203.1223140000002</c:v>
                </c:pt>
                <c:pt idx="37">
                  <c:v>2202.428711</c:v>
                </c:pt>
                <c:pt idx="38">
                  <c:v>2197.101318</c:v>
                </c:pt>
                <c:pt idx="39">
                  <c:v>2192.2150879999999</c:v>
                </c:pt>
                <c:pt idx="40">
                  <c:v>2190.8029790000001</c:v>
                </c:pt>
                <c:pt idx="41">
                  <c:v>2188.2863769999999</c:v>
                </c:pt>
                <c:pt idx="42">
                  <c:v>2185.6188959999999</c:v>
                </c:pt>
                <c:pt idx="43">
                  <c:v>2183.8771969999998</c:v>
                </c:pt>
                <c:pt idx="44">
                  <c:v>2180.6201169999999</c:v>
                </c:pt>
                <c:pt idx="45">
                  <c:v>2179.0505370000001</c:v>
                </c:pt>
                <c:pt idx="46">
                  <c:v>2176.0715329999998</c:v>
                </c:pt>
                <c:pt idx="47">
                  <c:v>2172.8190920000002</c:v>
                </c:pt>
                <c:pt idx="48">
                  <c:v>2169.1352539999998</c:v>
                </c:pt>
                <c:pt idx="49">
                  <c:v>2167.4169919999999</c:v>
                </c:pt>
                <c:pt idx="50">
                  <c:v>2164.5964359999998</c:v>
                </c:pt>
                <c:pt idx="51">
                  <c:v>2164.3996579999998</c:v>
                </c:pt>
                <c:pt idx="52">
                  <c:v>2163.328125</c:v>
                </c:pt>
                <c:pt idx="53">
                  <c:v>2161.8696289999998</c:v>
                </c:pt>
                <c:pt idx="54">
                  <c:v>2159.5900879999999</c:v>
                </c:pt>
                <c:pt idx="55">
                  <c:v>2157.4672850000002</c:v>
                </c:pt>
                <c:pt idx="56">
                  <c:v>2154.841797</c:v>
                </c:pt>
                <c:pt idx="57">
                  <c:v>2152.5847170000002</c:v>
                </c:pt>
                <c:pt idx="58">
                  <c:v>2151.8779300000001</c:v>
                </c:pt>
                <c:pt idx="59">
                  <c:v>2151.4223630000001</c:v>
                </c:pt>
                <c:pt idx="60">
                  <c:v>2149.1621089999999</c:v>
                </c:pt>
                <c:pt idx="61">
                  <c:v>2146.998047</c:v>
                </c:pt>
                <c:pt idx="62">
                  <c:v>2142.9877929999998</c:v>
                </c:pt>
                <c:pt idx="63">
                  <c:v>2141.9882809999999</c:v>
                </c:pt>
                <c:pt idx="64">
                  <c:v>2140.1276859999998</c:v>
                </c:pt>
                <c:pt idx="65">
                  <c:v>2139.1062010000001</c:v>
                </c:pt>
                <c:pt idx="66">
                  <c:v>2136.9514159999999</c:v>
                </c:pt>
                <c:pt idx="67">
                  <c:v>2136.8608399999998</c:v>
                </c:pt>
                <c:pt idx="68">
                  <c:v>2134.5512699999999</c:v>
                </c:pt>
                <c:pt idx="69">
                  <c:v>2135.8195799999999</c:v>
                </c:pt>
                <c:pt idx="70">
                  <c:v>2134.4533689999998</c:v>
                </c:pt>
                <c:pt idx="71">
                  <c:v>2132.2998050000001</c:v>
                </c:pt>
                <c:pt idx="72">
                  <c:v>2131.4479980000001</c:v>
                </c:pt>
                <c:pt idx="73">
                  <c:v>2128.4714359999998</c:v>
                </c:pt>
                <c:pt idx="74">
                  <c:v>2128.0473630000001</c:v>
                </c:pt>
                <c:pt idx="75">
                  <c:v>2125.7080080000001</c:v>
                </c:pt>
                <c:pt idx="76">
                  <c:v>2123.576904</c:v>
                </c:pt>
                <c:pt idx="77">
                  <c:v>2123.6728520000001</c:v>
                </c:pt>
                <c:pt idx="78">
                  <c:v>2120.8625489999999</c:v>
                </c:pt>
                <c:pt idx="79">
                  <c:v>2120.3908689999998</c:v>
                </c:pt>
                <c:pt idx="80">
                  <c:v>2119.7145999999998</c:v>
                </c:pt>
                <c:pt idx="81">
                  <c:v>2120.0302729999999</c:v>
                </c:pt>
                <c:pt idx="82">
                  <c:v>2115.6027829999998</c:v>
                </c:pt>
                <c:pt idx="83">
                  <c:v>2113.1691890000002</c:v>
                </c:pt>
                <c:pt idx="84">
                  <c:v>2110.555664</c:v>
                </c:pt>
                <c:pt idx="85">
                  <c:v>2108.9897460000002</c:v>
                </c:pt>
                <c:pt idx="86">
                  <c:v>2106.1843260000001</c:v>
                </c:pt>
                <c:pt idx="87">
                  <c:v>2106.2312010000001</c:v>
                </c:pt>
                <c:pt idx="88">
                  <c:v>2104.4887699999999</c:v>
                </c:pt>
                <c:pt idx="89">
                  <c:v>2103.4228520000001</c:v>
                </c:pt>
                <c:pt idx="90">
                  <c:v>2101.376953</c:v>
                </c:pt>
                <c:pt idx="91">
                  <c:v>2101.773193</c:v>
                </c:pt>
                <c:pt idx="92">
                  <c:v>2101.1813959999999</c:v>
                </c:pt>
                <c:pt idx="93">
                  <c:v>2100.0083009999998</c:v>
                </c:pt>
                <c:pt idx="94">
                  <c:v>2098.773193</c:v>
                </c:pt>
                <c:pt idx="95">
                  <c:v>2097.3376459999999</c:v>
                </c:pt>
                <c:pt idx="96">
                  <c:v>2097.218018</c:v>
                </c:pt>
                <c:pt idx="97">
                  <c:v>2094.8479000000002</c:v>
                </c:pt>
                <c:pt idx="98">
                  <c:v>2093.7927249999998</c:v>
                </c:pt>
                <c:pt idx="99">
                  <c:v>2092.7229000000002</c:v>
                </c:pt>
                <c:pt idx="100">
                  <c:v>2092.852539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146086086534385"/>
                  <c:y val="3.4894648585593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Cu_2ndPhase!$H$2:$H$148</c:f>
              <c:numCache>
                <c:formatCode>General</c:formatCode>
                <c:ptCount val="147"/>
                <c:pt idx="0">
                  <c:v>5.9404648464596761</c:v>
                </c:pt>
                <c:pt idx="1">
                  <c:v>5.9035947836282423</c:v>
                </c:pt>
                <c:pt idx="2">
                  <c:v>5.8646356964662125</c:v>
                </c:pt>
                <c:pt idx="3">
                  <c:v>5.8188919721849786</c:v>
                </c:pt>
                <c:pt idx="4">
                  <c:v>5.7723556923230266</c:v>
                </c:pt>
                <c:pt idx="5">
                  <c:v>5.7452417956407924</c:v>
                </c:pt>
                <c:pt idx="6">
                  <c:v>5.7179019211384556</c:v>
                </c:pt>
                <c:pt idx="7">
                  <c:v>5.6945702824116884</c:v>
                </c:pt>
                <c:pt idx="8">
                  <c:v>5.6611167398242248</c:v>
                </c:pt>
                <c:pt idx="9">
                  <c:v>5.6194158916589947</c:v>
                </c:pt>
                <c:pt idx="10">
                  <c:v>5.5828903996919452</c:v>
                </c:pt>
                <c:pt idx="11">
                  <c:v>5.5615348553776149</c:v>
                </c:pt>
                <c:pt idx="12">
                  <c:v>5.5419966920268449</c:v>
                </c:pt>
                <c:pt idx="13">
                  <c:v>5.5091194867258979</c:v>
                </c:pt>
                <c:pt idx="14">
                  <c:v>5.4549287862699565</c:v>
                </c:pt>
                <c:pt idx="15">
                  <c:v>5.4379700116461169</c:v>
                </c:pt>
                <c:pt idx="16">
                  <c:v>5.4146986379696154</c:v>
                </c:pt>
                <c:pt idx="17">
                  <c:v>5.3942133565502388</c:v>
                </c:pt>
                <c:pt idx="18">
                  <c:v>5.3677883577175551</c:v>
                </c:pt>
                <c:pt idx="19">
                  <c:v>5.3389280555448533</c:v>
                </c:pt>
                <c:pt idx="20">
                  <c:v>5.3148030872217289</c:v>
                </c:pt>
                <c:pt idx="21">
                  <c:v>5.3017514533166024</c:v>
                </c:pt>
                <c:pt idx="22">
                  <c:v>5.2842021489323541</c:v>
                </c:pt>
                <c:pt idx="23">
                  <c:v>5.2694928634428795</c:v>
                </c:pt>
                <c:pt idx="24">
                  <c:v>5.2544530300450862</c:v>
                </c:pt>
                <c:pt idx="25">
                  <c:v>5.2447819394057511</c:v>
                </c:pt>
                <c:pt idx="26">
                  <c:v>5.2291300886653858</c:v>
                </c:pt>
                <c:pt idx="27">
                  <c:v>5.2255760731402461</c:v>
                </c:pt>
                <c:pt idx="28">
                  <c:v>5.2118727289313052</c:v>
                </c:pt>
                <c:pt idx="29">
                  <c:v>5.2105822349839679</c:v>
                </c:pt>
                <c:pt idx="30">
                  <c:v>5.1989892913014399</c:v>
                </c:pt>
                <c:pt idx="31">
                  <c:v>5.1660436056302785</c:v>
                </c:pt>
                <c:pt idx="32">
                  <c:v>5.1365220340143507</c:v>
                </c:pt>
                <c:pt idx="33">
                  <c:v>5.1110976573677158</c:v>
                </c:pt>
                <c:pt idx="34">
                  <c:v>5.0872874048022441</c:v>
                </c:pt>
                <c:pt idx="35">
                  <c:v>5.0600794475426785</c:v>
                </c:pt>
                <c:pt idx="36">
                  <c:v>5.0132361356404687</c:v>
                </c:pt>
                <c:pt idx="37">
                  <c:v>5.0086134582295747</c:v>
                </c:pt>
                <c:pt idx="38">
                  <c:v>4.9723769411924339</c:v>
                </c:pt>
                <c:pt idx="39">
                  <c:v>4.937945655119508</c:v>
                </c:pt>
                <c:pt idx="40">
                  <c:v>4.9277702111549706</c:v>
                </c:pt>
                <c:pt idx="41">
                  <c:v>4.9093752267644675</c:v>
                </c:pt>
                <c:pt idx="42">
                  <c:v>4.8895007684663572</c:v>
                </c:pt>
                <c:pt idx="43">
                  <c:v>4.8763075234945719</c:v>
                </c:pt>
                <c:pt idx="44">
                  <c:v>4.8511582979302457</c:v>
                </c:pt>
                <c:pt idx="45">
                  <c:v>4.838809321458065</c:v>
                </c:pt>
                <c:pt idx="46">
                  <c:v>4.8149435777351668</c:v>
                </c:pt>
                <c:pt idx="47">
                  <c:v>4.7882199109365891</c:v>
                </c:pt>
                <c:pt idx="48">
                  <c:v>4.7570632392933172</c:v>
                </c:pt>
                <c:pt idx="49">
                  <c:v>4.742191960137748</c:v>
                </c:pt>
                <c:pt idx="50">
                  <c:v>4.7172906059221047</c:v>
                </c:pt>
                <c:pt idx="51">
                  <c:v>4.7155299863715854</c:v>
                </c:pt>
                <c:pt idx="52">
                  <c:v>4.7058879457144993</c:v>
                </c:pt>
                <c:pt idx="53">
                  <c:v>4.6926126692047418</c:v>
                </c:pt>
                <c:pt idx="54">
                  <c:v>4.6715046684212691</c:v>
                </c:pt>
                <c:pt idx="55">
                  <c:v>4.6514391269245534</c:v>
                </c:pt>
                <c:pt idx="56">
                  <c:v>4.6260518093899226</c:v>
                </c:pt>
                <c:pt idx="57">
                  <c:v>4.603699475022716</c:v>
                </c:pt>
                <c:pt idx="58">
                  <c:v>4.5965960327679536</c:v>
                </c:pt>
                <c:pt idx="59">
                  <c:v>4.5919905448206242</c:v>
                </c:pt>
                <c:pt idx="60">
                  <c:v>4.568821805335376</c:v>
                </c:pt>
                <c:pt idx="61">
                  <c:v>4.5461244664242209</c:v>
                </c:pt>
                <c:pt idx="62">
                  <c:v>4.5026513289911616</c:v>
                </c:pt>
                <c:pt idx="63">
                  <c:v>4.4915153787090976</c:v>
                </c:pt>
                <c:pt idx="64">
                  <c:v>4.4704495836768015</c:v>
                </c:pt>
                <c:pt idx="65">
                  <c:v>4.4586927364863511</c:v>
                </c:pt>
                <c:pt idx="66">
                  <c:v>4.4334292880815154</c:v>
                </c:pt>
                <c:pt idx="67">
                  <c:v>4.4323532369651506</c:v>
                </c:pt>
                <c:pt idx="68">
                  <c:v>4.4045167014889408</c:v>
                </c:pt>
                <c:pt idx="69">
                  <c:v>4.4198990835580059</c:v>
                </c:pt>
                <c:pt idx="70">
                  <c:v>4.4033194378709322</c:v>
                </c:pt>
                <c:pt idx="71">
                  <c:v>4.3766135729544597</c:v>
                </c:pt>
                <c:pt idx="72">
                  <c:v>4.3658504782761076</c:v>
                </c:pt>
                <c:pt idx="73">
                  <c:v>4.3273032009210581</c:v>
                </c:pt>
                <c:pt idx="74">
                  <c:v>4.3216883866922977</c:v>
                </c:pt>
                <c:pt idx="75">
                  <c:v>4.2901351145876161</c:v>
                </c:pt>
                <c:pt idx="76">
                  <c:v>4.2604975538433605</c:v>
                </c:pt>
                <c:pt idx="77">
                  <c:v>4.2618509702126728</c:v>
                </c:pt>
                <c:pt idx="78">
                  <c:v>4.2214303997313856</c:v>
                </c:pt>
                <c:pt idx="79">
                  <c:v>4.2144831768781215</c:v>
                </c:pt>
                <c:pt idx="80">
                  <c:v>4.204437661518833</c:v>
                </c:pt>
                <c:pt idx="81">
                  <c:v>4.209139330042837</c:v>
                </c:pt>
                <c:pt idx="82">
                  <c:v>4.1410866463797698</c:v>
                </c:pt>
                <c:pt idx="83">
                  <c:v>4.1016099221276727</c:v>
                </c:pt>
                <c:pt idx="84">
                  <c:v>4.057403637708064</c:v>
                </c:pt>
                <c:pt idx="85">
                  <c:v>4.0299494263599289</c:v>
                </c:pt>
                <c:pt idx="86">
                  <c:v>3.9787961404553043</c:v>
                </c:pt>
                <c:pt idx="87">
                  <c:v>3.9796727005908532</c:v>
                </c:pt>
                <c:pt idx="88">
                  <c:v>3.9465614275920906</c:v>
                </c:pt>
                <c:pt idx="89">
                  <c:v>3.9257517731481268</c:v>
                </c:pt>
                <c:pt idx="90">
                  <c:v>3.8845546404992159</c:v>
                </c:pt>
                <c:pt idx="91">
                  <c:v>3.8926671435174476</c:v>
                </c:pt>
                <c:pt idx="92">
                  <c:v>3.8805264766064882</c:v>
                </c:pt>
                <c:pt idx="93">
                  <c:v>3.8560159026927914</c:v>
                </c:pt>
                <c:pt idx="94">
                  <c:v>3.829543446041777</c:v>
                </c:pt>
                <c:pt idx="95">
                  <c:v>3.7978676168961782</c:v>
                </c:pt>
                <c:pt idx="96">
                  <c:v>3.7951821307986431</c:v>
                </c:pt>
                <c:pt idx="97">
                  <c:v>3.7404329396488398</c:v>
                </c:pt>
                <c:pt idx="98">
                  <c:v>3.7150598618270787</c:v>
                </c:pt>
                <c:pt idx="99">
                  <c:v>3.6886599300202914</c:v>
                </c:pt>
                <c:pt idx="100">
                  <c:v>3.6918963736322246</c:v>
                </c:pt>
                <c:pt idx="101">
                  <c:v>3.6529134626031663</c:v>
                </c:pt>
                <c:pt idx="102">
                  <c:v>3.6302158285992969</c:v>
                </c:pt>
                <c:pt idx="103">
                  <c:v>3.6377919806490673</c:v>
                </c:pt>
                <c:pt idx="104">
                  <c:v>3.5738767684498463</c:v>
                </c:pt>
                <c:pt idx="105">
                  <c:v>3.54561923238863</c:v>
                </c:pt>
                <c:pt idx="106">
                  <c:v>3.5152846482212587</c:v>
                </c:pt>
                <c:pt idx="107">
                  <c:v>3.4812028271030049</c:v>
                </c:pt>
                <c:pt idx="108">
                  <c:v>3.4774923676994915</c:v>
                </c:pt>
                <c:pt idx="109">
                  <c:v>3.4684409595824257</c:v>
                </c:pt>
                <c:pt idx="110">
                  <c:v>3.408648718040578</c:v>
                </c:pt>
                <c:pt idx="111">
                  <c:v>3.4361430724792381</c:v>
                </c:pt>
                <c:pt idx="112">
                  <c:v>3.4110045999649832</c:v>
                </c:pt>
                <c:pt idx="113">
                  <c:v>3.4173667171938824</c:v>
                </c:pt>
                <c:pt idx="114">
                  <c:v>3.3979534926052448</c:v>
                </c:pt>
                <c:pt idx="115">
                  <c:v>3.3723932642410395</c:v>
                </c:pt>
                <c:pt idx="116">
                  <c:v>3.3223383925617189</c:v>
                </c:pt>
                <c:pt idx="117">
                  <c:v>3.3162438857819652</c:v>
                </c:pt>
                <c:pt idx="118">
                  <c:v>3.279721372866883</c:v>
                </c:pt>
                <c:pt idx="119">
                  <c:v>3.2510673138864998</c:v>
                </c:pt>
                <c:pt idx="120">
                  <c:v>3.2420241822954767</c:v>
                </c:pt>
                <c:pt idx="121">
                  <c:v>3.2886681953373178</c:v>
                </c:pt>
                <c:pt idx="122">
                  <c:v>3.1431187706488499</c:v>
                </c:pt>
                <c:pt idx="123">
                  <c:v>3.2533719717371259</c:v>
                </c:pt>
                <c:pt idx="124">
                  <c:v>3.2227359250859355</c:v>
                </c:pt>
                <c:pt idx="125">
                  <c:v>3.1625848417602307</c:v>
                </c:pt>
                <c:pt idx="126">
                  <c:v>3.1258417807006715</c:v>
                </c:pt>
                <c:pt idx="127">
                  <c:v>3.0536077080509485</c:v>
                </c:pt>
                <c:pt idx="128">
                  <c:v>3.0696872268580688</c:v>
                </c:pt>
                <c:pt idx="129">
                  <c:v>3.0426843208497671</c:v>
                </c:pt>
                <c:pt idx="130">
                  <c:v>3.0433247207467091</c:v>
                </c:pt>
                <c:pt idx="131">
                  <c:v>2.955035375375541</c:v>
                </c:pt>
                <c:pt idx="132">
                  <c:v>2.9362984081306767</c:v>
                </c:pt>
                <c:pt idx="133">
                  <c:v>2.9777373314100593</c:v>
                </c:pt>
                <c:pt idx="134">
                  <c:v>2.9814589932045772</c:v>
                </c:pt>
                <c:pt idx="135">
                  <c:v>2.8529652780259807</c:v>
                </c:pt>
                <c:pt idx="136">
                  <c:v>2.8163999645038795</c:v>
                </c:pt>
                <c:pt idx="137">
                  <c:v>2.8016875886299686</c:v>
                </c:pt>
                <c:pt idx="138">
                  <c:v>2.8842636971712143</c:v>
                </c:pt>
                <c:pt idx="139">
                  <c:v>2.6182658192496371</c:v>
                </c:pt>
                <c:pt idx="140">
                  <c:v>2.6460784806890678</c:v>
                </c:pt>
                <c:pt idx="141">
                  <c:v>2.761187284665326</c:v>
                </c:pt>
                <c:pt idx="142">
                  <c:v>2.7037283419754772</c:v>
                </c:pt>
                <c:pt idx="143">
                  <c:v>2.6064088349002175</c:v>
                </c:pt>
                <c:pt idx="144">
                  <c:v>2.715703771005523</c:v>
                </c:pt>
                <c:pt idx="145">
                  <c:v>2.6003910455948747</c:v>
                </c:pt>
                <c:pt idx="146">
                  <c:v>2.5185552972638989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C-4BBA-947A-39DC50DC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7967332966883001"/>
                  <c:y val="-0.318665427238261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Cu_2ndPhase!$F$2:$F$148</c:f>
              <c:numCache>
                <c:formatCode>General</c:formatCode>
                <c:ptCount val="147"/>
                <c:pt idx="0">
                  <c:v>380.11158199999988</c:v>
                </c:pt>
                <c:pt idx="1">
                  <c:v>366.35206000000005</c:v>
                </c:pt>
                <c:pt idx="2">
                  <c:v>352.35376900000017</c:v>
                </c:pt>
                <c:pt idx="3">
                  <c:v>336.59888600000011</c:v>
                </c:pt>
                <c:pt idx="4">
                  <c:v>321.29371100000014</c:v>
                </c:pt>
                <c:pt idx="5">
                  <c:v>312.69922799999983</c:v>
                </c:pt>
                <c:pt idx="6">
                  <c:v>304.26587899999993</c:v>
                </c:pt>
                <c:pt idx="7">
                  <c:v>297.24903299999994</c:v>
                </c:pt>
                <c:pt idx="8">
                  <c:v>287.46949200000006</c:v>
                </c:pt>
                <c:pt idx="9">
                  <c:v>275.72828100000004</c:v>
                </c:pt>
                <c:pt idx="10">
                  <c:v>265.83887700000002</c:v>
                </c:pt>
                <c:pt idx="11">
                  <c:v>260.22193300000015</c:v>
                </c:pt>
                <c:pt idx="12">
                  <c:v>255.18702100000007</c:v>
                </c:pt>
                <c:pt idx="13">
                  <c:v>246.93360299999983</c:v>
                </c:pt>
                <c:pt idx="14">
                  <c:v>233.90821300000005</c:v>
                </c:pt>
                <c:pt idx="15">
                  <c:v>229.9748629999998</c:v>
                </c:pt>
                <c:pt idx="16">
                  <c:v>224.68482399999982</c:v>
                </c:pt>
                <c:pt idx="17">
                  <c:v>220.128916</c:v>
                </c:pt>
                <c:pt idx="18">
                  <c:v>214.38819300000011</c:v>
                </c:pt>
                <c:pt idx="19">
                  <c:v>208.28931600000021</c:v>
                </c:pt>
                <c:pt idx="20">
                  <c:v>203.32447200000013</c:v>
                </c:pt>
                <c:pt idx="21">
                  <c:v>200.68799800000022</c:v>
                </c:pt>
                <c:pt idx="22">
                  <c:v>197.1967870000002</c:v>
                </c:pt>
                <c:pt idx="23">
                  <c:v>194.31739199999981</c:v>
                </c:pt>
                <c:pt idx="24">
                  <c:v>191.41675800000019</c:v>
                </c:pt>
                <c:pt idx="25">
                  <c:v>189.57447200000013</c:v>
                </c:pt>
                <c:pt idx="26">
                  <c:v>186.63038099999983</c:v>
                </c:pt>
                <c:pt idx="27">
                  <c:v>185.96827100000007</c:v>
                </c:pt>
                <c:pt idx="28">
                  <c:v>183.43726499999991</c:v>
                </c:pt>
                <c:pt idx="29">
                  <c:v>183.20069300000011</c:v>
                </c:pt>
                <c:pt idx="30">
                  <c:v>181.08912099999986</c:v>
                </c:pt>
                <c:pt idx="31">
                  <c:v>175.22022400000003</c:v>
                </c:pt>
                <c:pt idx="32">
                  <c:v>170.12305599999979</c:v>
                </c:pt>
                <c:pt idx="33">
                  <c:v>165.85230399999989</c:v>
                </c:pt>
                <c:pt idx="34">
                  <c:v>161.94996100000014</c:v>
                </c:pt>
                <c:pt idx="35">
                  <c:v>157.6030370000002</c:v>
                </c:pt>
                <c:pt idx="36">
                  <c:v>150.3906340000002</c:v>
                </c:pt>
                <c:pt idx="37">
                  <c:v>149.69703100000004</c:v>
                </c:pt>
                <c:pt idx="38">
                  <c:v>144.36963800000001</c:v>
                </c:pt>
                <c:pt idx="39">
                  <c:v>139.48340799999994</c:v>
                </c:pt>
                <c:pt idx="40">
                  <c:v>138.07129900000007</c:v>
                </c:pt>
                <c:pt idx="41">
                  <c:v>135.55469699999992</c:v>
                </c:pt>
                <c:pt idx="42">
                  <c:v>132.88721599999997</c:v>
                </c:pt>
                <c:pt idx="43">
                  <c:v>131.14551699999981</c:v>
                </c:pt>
                <c:pt idx="44">
                  <c:v>127.88843699999995</c:v>
                </c:pt>
                <c:pt idx="45">
                  <c:v>126.31885700000009</c:v>
                </c:pt>
                <c:pt idx="46">
                  <c:v>123.33985299999983</c:v>
                </c:pt>
                <c:pt idx="47">
                  <c:v>120.0874120000002</c:v>
                </c:pt>
                <c:pt idx="48">
                  <c:v>116.40357399999982</c:v>
                </c:pt>
                <c:pt idx="49">
                  <c:v>114.68531199999995</c:v>
                </c:pt>
                <c:pt idx="50">
                  <c:v>111.86475599999983</c:v>
                </c:pt>
                <c:pt idx="51">
                  <c:v>111.66797799999983</c:v>
                </c:pt>
                <c:pt idx="52">
                  <c:v>110.59644500000002</c:v>
                </c:pt>
                <c:pt idx="53">
                  <c:v>109.13794899999982</c:v>
                </c:pt>
                <c:pt idx="54">
                  <c:v>106.85840799999994</c:v>
                </c:pt>
                <c:pt idx="55">
                  <c:v>104.73560500000019</c:v>
                </c:pt>
                <c:pt idx="56">
                  <c:v>102.11011700000006</c:v>
                </c:pt>
                <c:pt idx="57">
                  <c:v>99.853037000000199</c:v>
                </c:pt>
                <c:pt idx="58">
                  <c:v>99.146250000000123</c:v>
                </c:pt>
                <c:pt idx="59">
                  <c:v>98.690683000000149</c:v>
                </c:pt>
                <c:pt idx="60">
                  <c:v>96.43042899999989</c:v>
                </c:pt>
                <c:pt idx="61">
                  <c:v>94.266367000000059</c:v>
                </c:pt>
                <c:pt idx="62">
                  <c:v>90.2561129999998</c:v>
                </c:pt>
                <c:pt idx="63">
                  <c:v>89.256600999999932</c:v>
                </c:pt>
                <c:pt idx="64">
                  <c:v>87.396005999999829</c:v>
                </c:pt>
                <c:pt idx="65">
                  <c:v>86.374521000000072</c:v>
                </c:pt>
                <c:pt idx="66">
                  <c:v>84.219735999999898</c:v>
                </c:pt>
                <c:pt idx="67">
                  <c:v>84.129159999999843</c:v>
                </c:pt>
                <c:pt idx="68">
                  <c:v>81.819589999999948</c:v>
                </c:pt>
                <c:pt idx="69">
                  <c:v>83.087899999999877</c:v>
                </c:pt>
                <c:pt idx="70">
                  <c:v>81.721688999999856</c:v>
                </c:pt>
                <c:pt idx="71">
                  <c:v>79.568125000000123</c:v>
                </c:pt>
                <c:pt idx="72">
                  <c:v>78.716318000000115</c:v>
                </c:pt>
                <c:pt idx="73">
                  <c:v>75.739755999999829</c:v>
                </c:pt>
                <c:pt idx="74">
                  <c:v>75.315683000000149</c:v>
                </c:pt>
                <c:pt idx="75">
                  <c:v>72.97632800000008</c:v>
                </c:pt>
                <c:pt idx="76">
                  <c:v>70.84522400000003</c:v>
                </c:pt>
                <c:pt idx="77">
                  <c:v>70.941172000000165</c:v>
                </c:pt>
                <c:pt idx="78">
                  <c:v>68.130868999999961</c:v>
                </c:pt>
                <c:pt idx="79">
                  <c:v>67.659188999999856</c:v>
                </c:pt>
                <c:pt idx="80">
                  <c:v>66.982919999999808</c:v>
                </c:pt>
                <c:pt idx="81">
                  <c:v>67.298592999999869</c:v>
                </c:pt>
                <c:pt idx="82">
                  <c:v>62.871102999999835</c:v>
                </c:pt>
                <c:pt idx="83">
                  <c:v>60.437509000000205</c:v>
                </c:pt>
                <c:pt idx="84">
                  <c:v>57.823983999999996</c:v>
                </c:pt>
                <c:pt idx="85">
                  <c:v>56.258066000000213</c:v>
                </c:pt>
                <c:pt idx="86">
                  <c:v>53.452646000000072</c:v>
                </c:pt>
                <c:pt idx="87">
                  <c:v>53.499521000000072</c:v>
                </c:pt>
                <c:pt idx="88">
                  <c:v>51.757089999999948</c:v>
                </c:pt>
                <c:pt idx="89">
                  <c:v>50.691172000000165</c:v>
                </c:pt>
                <c:pt idx="90">
                  <c:v>48.645272999999975</c:v>
                </c:pt>
                <c:pt idx="91">
                  <c:v>49.041513000000009</c:v>
                </c:pt>
                <c:pt idx="92">
                  <c:v>48.449715999999967</c:v>
                </c:pt>
                <c:pt idx="93">
                  <c:v>47.276620999999864</c:v>
                </c:pt>
                <c:pt idx="94">
                  <c:v>46.041513000000009</c:v>
                </c:pt>
                <c:pt idx="95">
                  <c:v>44.605965999999967</c:v>
                </c:pt>
                <c:pt idx="96">
                  <c:v>44.486338000000046</c:v>
                </c:pt>
                <c:pt idx="97">
                  <c:v>42.116220000000226</c:v>
                </c:pt>
                <c:pt idx="98">
                  <c:v>41.061044999999808</c:v>
                </c:pt>
                <c:pt idx="99">
                  <c:v>39.991220000000226</c:v>
                </c:pt>
                <c:pt idx="100">
                  <c:v>40.120858999999996</c:v>
                </c:pt>
                <c:pt idx="101">
                  <c:v>38.586924000000067</c:v>
                </c:pt>
                <c:pt idx="102">
                  <c:v>37.720956999999885</c:v>
                </c:pt>
                <c:pt idx="103">
                  <c:v>38.007821999999919</c:v>
                </c:pt>
                <c:pt idx="104">
                  <c:v>35.654550000000086</c:v>
                </c:pt>
                <c:pt idx="105">
                  <c:v>34.661141999999813</c:v>
                </c:pt>
                <c:pt idx="106">
                  <c:v>33.625498000000221</c:v>
                </c:pt>
                <c:pt idx="107">
                  <c:v>32.498789000000102</c:v>
                </c:pt>
                <c:pt idx="108">
                  <c:v>32.378426999999988</c:v>
                </c:pt>
                <c:pt idx="109">
                  <c:v>32.08667899999989</c:v>
                </c:pt>
                <c:pt idx="110">
                  <c:v>30.224375000000123</c:v>
                </c:pt>
                <c:pt idx="111">
                  <c:v>31.066904000000136</c:v>
                </c:pt>
                <c:pt idx="112">
                  <c:v>30.295664000000102</c:v>
                </c:pt>
                <c:pt idx="113">
                  <c:v>30.489022999999975</c:v>
                </c:pt>
                <c:pt idx="114">
                  <c:v>29.902840999999967</c:v>
                </c:pt>
                <c:pt idx="115">
                  <c:v>29.14820300000008</c:v>
                </c:pt>
                <c:pt idx="116">
                  <c:v>27.725107000000094</c:v>
                </c:pt>
                <c:pt idx="117">
                  <c:v>27.556649999999877</c:v>
                </c:pt>
                <c:pt idx="118">
                  <c:v>26.568368999999961</c:v>
                </c:pt>
                <c:pt idx="119">
                  <c:v>25.817880999999829</c:v>
                </c:pt>
                <c:pt idx="120">
                  <c:v>25.585459000000242</c:v>
                </c:pt>
                <c:pt idx="121">
                  <c:v>26.807138000000009</c:v>
                </c:pt>
                <c:pt idx="122">
                  <c:v>23.176034999999843</c:v>
                </c:pt>
                <c:pt idx="123">
                  <c:v>25.877451000000178</c:v>
                </c:pt>
                <c:pt idx="124">
                  <c:v>25.096688999999856</c:v>
                </c:pt>
                <c:pt idx="125">
                  <c:v>23.631600999999932</c:v>
                </c:pt>
                <c:pt idx="126">
                  <c:v>22.779061999999954</c:v>
                </c:pt>
                <c:pt idx="127">
                  <c:v>21.191659999999843</c:v>
                </c:pt>
                <c:pt idx="128">
                  <c:v>21.535166000000004</c:v>
                </c:pt>
                <c:pt idx="129">
                  <c:v>20.961435000000051</c:v>
                </c:pt>
                <c:pt idx="130">
                  <c:v>20.9748629999998</c:v>
                </c:pt>
                <c:pt idx="131">
                  <c:v>19.202402000000234</c:v>
                </c:pt>
                <c:pt idx="132">
                  <c:v>18.845956999999885</c:v>
                </c:pt>
                <c:pt idx="133">
                  <c:v>19.643320000000017</c:v>
                </c:pt>
                <c:pt idx="134">
                  <c:v>19.716561999999954</c:v>
                </c:pt>
                <c:pt idx="135">
                  <c:v>17.339120999999864</c:v>
                </c:pt>
                <c:pt idx="136">
                  <c:v>16.716561999999954</c:v>
                </c:pt>
                <c:pt idx="137">
                  <c:v>16.472422000000165</c:v>
                </c:pt>
                <c:pt idx="138">
                  <c:v>17.890389999999911</c:v>
                </c:pt>
                <c:pt idx="139">
                  <c:v>13.711924000000067</c:v>
                </c:pt>
                <c:pt idx="140">
                  <c:v>14.098641999999813</c:v>
                </c:pt>
                <c:pt idx="141">
                  <c:v>15.8186129999998</c:v>
                </c:pt>
                <c:pt idx="142">
                  <c:v>14.935311999999954</c:v>
                </c:pt>
                <c:pt idx="143">
                  <c:v>13.550301999999988</c:v>
                </c:pt>
                <c:pt idx="144">
                  <c:v>15.115243999999961</c:v>
                </c:pt>
                <c:pt idx="145">
                  <c:v>13.469003999999927</c:v>
                </c:pt>
                <c:pt idx="146">
                  <c:v>12.410654000000136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E-47EC-95EF-E098E836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PANI_2ndPhase!$I$2:$I$194</c:f>
              <c:numCache>
                <c:formatCode>General</c:formatCode>
                <c:ptCount val="193"/>
                <c:pt idx="0">
                  <c:v>7.5954050765839778</c:v>
                </c:pt>
                <c:pt idx="1">
                  <c:v>7.5751782941340018</c:v>
                </c:pt>
                <c:pt idx="2">
                  <c:v>7.5694242010424553</c:v>
                </c:pt>
                <c:pt idx="3">
                  <c:v>7.5658459402859801</c:v>
                </c:pt>
                <c:pt idx="4">
                  <c:v>7.5627192937902938</c:v>
                </c:pt>
                <c:pt idx="5">
                  <c:v>7.5600837077249032</c:v>
                </c:pt>
                <c:pt idx="6">
                  <c:v>7.5580551633990414</c:v>
                </c:pt>
                <c:pt idx="7">
                  <c:v>7.5564254806760474</c:v>
                </c:pt>
                <c:pt idx="8">
                  <c:v>7.555012663086881</c:v>
                </c:pt>
                <c:pt idx="9">
                  <c:v>7.5540960901499608</c:v>
                </c:pt>
                <c:pt idx="10">
                  <c:v>7.5527395398886723</c:v>
                </c:pt>
                <c:pt idx="11">
                  <c:v>7.5519895917948743</c:v>
                </c:pt>
                <c:pt idx="12">
                  <c:v>7.5512278559463821</c:v>
                </c:pt>
                <c:pt idx="13">
                  <c:v>7.5503895321679222</c:v>
                </c:pt>
                <c:pt idx="14">
                  <c:v>7.5506298588063343</c:v>
                </c:pt>
                <c:pt idx="15">
                  <c:v>7.5527934656734752</c:v>
                </c:pt>
                <c:pt idx="16">
                  <c:v>7.5557420217384452</c:v>
                </c:pt>
                <c:pt idx="17">
                  <c:v>7.5524020209731351</c:v>
                </c:pt>
                <c:pt idx="18">
                  <c:v>7.5501363056652409</c:v>
                </c:pt>
                <c:pt idx="19">
                  <c:v>7.5487649172986329</c:v>
                </c:pt>
                <c:pt idx="20">
                  <c:v>7.5481134566136738</c:v>
                </c:pt>
                <c:pt idx="21">
                  <c:v>7.551191742218581</c:v>
                </c:pt>
                <c:pt idx="22">
                  <c:v>7.5511615290875937</c:v>
                </c:pt>
                <c:pt idx="23">
                  <c:v>7.5503864508844316</c:v>
                </c:pt>
                <c:pt idx="24">
                  <c:v>7.548306919706139</c:v>
                </c:pt>
                <c:pt idx="25">
                  <c:v>7.5470959871349779</c:v>
                </c:pt>
                <c:pt idx="26">
                  <c:v>7.5461807643727017</c:v>
                </c:pt>
                <c:pt idx="27">
                  <c:v>7.5461074613397425</c:v>
                </c:pt>
                <c:pt idx="28">
                  <c:v>7.5453408430247952</c:v>
                </c:pt>
                <c:pt idx="29">
                  <c:v>7.5452186303205897</c:v>
                </c:pt>
                <c:pt idx="30">
                  <c:v>7.544666098833404</c:v>
                </c:pt>
                <c:pt idx="31">
                  <c:v>7.5443574908003264</c:v>
                </c:pt>
                <c:pt idx="32">
                  <c:v>7.5438847397454394</c:v>
                </c:pt>
                <c:pt idx="33">
                  <c:v>7.543641493973297</c:v>
                </c:pt>
                <c:pt idx="34">
                  <c:v>7.5434200403945528</c:v>
                </c:pt>
                <c:pt idx="35">
                  <c:v>7.5431770046706337</c:v>
                </c:pt>
                <c:pt idx="36">
                  <c:v>7.5429524726673183</c:v>
                </c:pt>
                <c:pt idx="37">
                  <c:v>7.5457337068365327</c:v>
                </c:pt>
                <c:pt idx="38">
                  <c:v>7.5457322232020632</c:v>
                </c:pt>
                <c:pt idx="39">
                  <c:v>7.5450448994601702</c:v>
                </c:pt>
                <c:pt idx="40">
                  <c:v>7.544763007266778</c:v>
                </c:pt>
                <c:pt idx="41">
                  <c:v>7.5440808309836038</c:v>
                </c:pt>
                <c:pt idx="42">
                  <c:v>7.5435795101080716</c:v>
                </c:pt>
                <c:pt idx="43">
                  <c:v>7.5429760795386516</c:v>
                </c:pt>
                <c:pt idx="44">
                  <c:v>7.5442846995225139</c:v>
                </c:pt>
                <c:pt idx="45">
                  <c:v>7.5439773308419804</c:v>
                </c:pt>
                <c:pt idx="46">
                  <c:v>7.5431005065575834</c:v>
                </c:pt>
                <c:pt idx="47">
                  <c:v>7.542627484579703</c:v>
                </c:pt>
                <c:pt idx="48">
                  <c:v>7.5420663982971758</c:v>
                </c:pt>
                <c:pt idx="49">
                  <c:v>7.5420123443489429</c:v>
                </c:pt>
                <c:pt idx="50">
                  <c:v>7.5412370067634171</c:v>
                </c:pt>
                <c:pt idx="51">
                  <c:v>7.5413988329568982</c:v>
                </c:pt>
                <c:pt idx="52">
                  <c:v>7.5408855362894665</c:v>
                </c:pt>
                <c:pt idx="53">
                  <c:v>7.5408658339157508</c:v>
                </c:pt>
                <c:pt idx="54">
                  <c:v>7.5407522126295792</c:v>
                </c:pt>
                <c:pt idx="55">
                  <c:v>7.5408463254808584</c:v>
                </c:pt>
                <c:pt idx="56">
                  <c:v>7.5407045045029317</c:v>
                </c:pt>
                <c:pt idx="57">
                  <c:v>7.5405407500361772</c:v>
                </c:pt>
                <c:pt idx="58">
                  <c:v>7.5404318898590086</c:v>
                </c:pt>
                <c:pt idx="59">
                  <c:v>7.5402876109903891</c:v>
                </c:pt>
                <c:pt idx="60">
                  <c:v>7.5401740536215138</c:v>
                </c:pt>
                <c:pt idx="61">
                  <c:v>7.5404128271141699</c:v>
                </c:pt>
                <c:pt idx="62">
                  <c:v>7.5404303988688541</c:v>
                </c:pt>
                <c:pt idx="63">
                  <c:v>7.5403805357332763</c:v>
                </c:pt>
                <c:pt idx="64">
                  <c:v>7.5406203619012935</c:v>
                </c:pt>
                <c:pt idx="65">
                  <c:v>7.5415666570286346</c:v>
                </c:pt>
                <c:pt idx="66">
                  <c:v>7.5423911806986963</c:v>
                </c:pt>
                <c:pt idx="67">
                  <c:v>7.5429732985175244</c:v>
                </c:pt>
                <c:pt idx="68">
                  <c:v>7.543135555433004</c:v>
                </c:pt>
                <c:pt idx="69">
                  <c:v>7.5436685747366248</c:v>
                </c:pt>
                <c:pt idx="70">
                  <c:v>7.5440099582854252</c:v>
                </c:pt>
                <c:pt idx="71">
                  <c:v>7.5442839894356881</c:v>
                </c:pt>
                <c:pt idx="72">
                  <c:v>7.5433854537686722</c:v>
                </c:pt>
                <c:pt idx="73">
                  <c:v>7.5425857539058239</c:v>
                </c:pt>
                <c:pt idx="74">
                  <c:v>7.5417655993967045</c:v>
                </c:pt>
                <c:pt idx="75">
                  <c:v>7.5414405489836085</c:v>
                </c:pt>
                <c:pt idx="76">
                  <c:v>7.5410238322150533</c:v>
                </c:pt>
                <c:pt idx="77">
                  <c:v>7.540864343041525</c:v>
                </c:pt>
                <c:pt idx="78">
                  <c:v>7.540687585954875</c:v>
                </c:pt>
                <c:pt idx="79">
                  <c:v>7.5404803243176035</c:v>
                </c:pt>
                <c:pt idx="80">
                  <c:v>7.541106450893416</c:v>
                </c:pt>
                <c:pt idx="81">
                  <c:v>7.5418669980911623</c:v>
                </c:pt>
                <c:pt idx="82">
                  <c:v>7.5420711237953384</c:v>
                </c:pt>
                <c:pt idx="83">
                  <c:v>7.5428579754931402</c:v>
                </c:pt>
                <c:pt idx="84">
                  <c:v>7.5429211040608823</c:v>
                </c:pt>
                <c:pt idx="85">
                  <c:v>7.5429364976052762</c:v>
                </c:pt>
                <c:pt idx="86">
                  <c:v>7.5432538205614224</c:v>
                </c:pt>
                <c:pt idx="87">
                  <c:v>7.5422893818385512</c:v>
                </c:pt>
                <c:pt idx="88">
                  <c:v>7.5418265304442622</c:v>
                </c:pt>
                <c:pt idx="89">
                  <c:v>7.5417300489126138</c:v>
                </c:pt>
                <c:pt idx="90">
                  <c:v>7.5413612618909234</c:v>
                </c:pt>
                <c:pt idx="91">
                  <c:v>7.5411849158621074</c:v>
                </c:pt>
                <c:pt idx="92">
                  <c:v>7.5416664567727931</c:v>
                </c:pt>
                <c:pt idx="93">
                  <c:v>7.5412977110405111</c:v>
                </c:pt>
                <c:pt idx="94">
                  <c:v>7.5412984232510221</c:v>
                </c:pt>
                <c:pt idx="95">
                  <c:v>7.5412183478697932</c:v>
                </c:pt>
                <c:pt idx="96">
                  <c:v>7.5407384708366747</c:v>
                </c:pt>
                <c:pt idx="97">
                  <c:v>7.5411076170822655</c:v>
                </c:pt>
                <c:pt idx="98">
                  <c:v>7.5410283035869359</c:v>
                </c:pt>
                <c:pt idx="99">
                  <c:v>7.5407730838210529</c:v>
                </c:pt>
                <c:pt idx="100">
                  <c:v>7.540816186821016</c:v>
                </c:pt>
                <c:pt idx="101">
                  <c:v>7.5412413471513258</c:v>
                </c:pt>
                <c:pt idx="102">
                  <c:v>7.5413100844319034</c:v>
                </c:pt>
                <c:pt idx="103">
                  <c:v>7.5413068455529508</c:v>
                </c:pt>
                <c:pt idx="104">
                  <c:v>7.5411332113205738</c:v>
                </c:pt>
                <c:pt idx="105">
                  <c:v>7.542516780920697</c:v>
                </c:pt>
                <c:pt idx="106">
                  <c:v>7.5429606866035561</c:v>
                </c:pt>
                <c:pt idx="107">
                  <c:v>7.5420553934369865</c:v>
                </c:pt>
                <c:pt idx="108">
                  <c:v>7.542426125096755</c:v>
                </c:pt>
                <c:pt idx="109">
                  <c:v>7.5417717505944308</c:v>
                </c:pt>
                <c:pt idx="110">
                  <c:v>7.5417297900387936</c:v>
                </c:pt>
                <c:pt idx="111">
                  <c:v>7.5421932689279938</c:v>
                </c:pt>
                <c:pt idx="112">
                  <c:v>7.5420281400836418</c:v>
                </c:pt>
                <c:pt idx="113">
                  <c:v>7.5423355909422929</c:v>
                </c:pt>
                <c:pt idx="114">
                  <c:v>7.5425204690845407</c:v>
                </c:pt>
                <c:pt idx="115">
                  <c:v>7.5422978604802076</c:v>
                </c:pt>
                <c:pt idx="116">
                  <c:v>7.5423196054922412</c:v>
                </c:pt>
                <c:pt idx="117">
                  <c:v>7.5423464628321222</c:v>
                </c:pt>
                <c:pt idx="118">
                  <c:v>7.5423672366294712</c:v>
                </c:pt>
                <c:pt idx="119">
                  <c:v>7.5423625125303859</c:v>
                </c:pt>
                <c:pt idx="120">
                  <c:v>7.5425593556456683</c:v>
                </c:pt>
                <c:pt idx="121">
                  <c:v>7.5425106337740422</c:v>
                </c:pt>
                <c:pt idx="122">
                  <c:v>7.5425248685723405</c:v>
                </c:pt>
                <c:pt idx="123">
                  <c:v>7.5428077807193006</c:v>
                </c:pt>
                <c:pt idx="124">
                  <c:v>7.5427599766061055</c:v>
                </c:pt>
                <c:pt idx="125">
                  <c:v>7.5425984993437902</c:v>
                </c:pt>
                <c:pt idx="126">
                  <c:v>7.5428444570759448</c:v>
                </c:pt>
                <c:pt idx="127">
                  <c:v>7.5425763072196883</c:v>
                </c:pt>
                <c:pt idx="128">
                  <c:v>7.5427247852561736</c:v>
                </c:pt>
                <c:pt idx="129">
                  <c:v>7.5428573290380276</c:v>
                </c:pt>
                <c:pt idx="130">
                  <c:v>7.5429172234493915</c:v>
                </c:pt>
                <c:pt idx="131">
                  <c:v>7.5430119089318746</c:v>
                </c:pt>
                <c:pt idx="132">
                  <c:v>7.5431877386979647</c:v>
                </c:pt>
                <c:pt idx="133">
                  <c:v>7.5435098298639813</c:v>
                </c:pt>
                <c:pt idx="134">
                  <c:v>7.5439976828276363</c:v>
                </c:pt>
                <c:pt idx="135">
                  <c:v>7.543612474046963</c:v>
                </c:pt>
                <c:pt idx="136">
                  <c:v>7.5443386958626766</c:v>
                </c:pt>
                <c:pt idx="137">
                  <c:v>7.5439217640857565</c:v>
                </c:pt>
                <c:pt idx="138">
                  <c:v>7.543931585527206</c:v>
                </c:pt>
                <c:pt idx="139">
                  <c:v>7.5436919704050629</c:v>
                </c:pt>
                <c:pt idx="140">
                  <c:v>7.54417954086035</c:v>
                </c:pt>
                <c:pt idx="141">
                  <c:v>7.5444857496893611</c:v>
                </c:pt>
                <c:pt idx="142">
                  <c:v>7.5444589497443904</c:v>
                </c:pt>
                <c:pt idx="143">
                  <c:v>7.5448377003261919</c:v>
                </c:pt>
                <c:pt idx="144">
                  <c:v>7.5451308006540323</c:v>
                </c:pt>
                <c:pt idx="145">
                  <c:v>7.545162358009784</c:v>
                </c:pt>
                <c:pt idx="146">
                  <c:v>7.5452147580860549</c:v>
                </c:pt>
                <c:pt idx="147">
                  <c:v>7.5450855601162177</c:v>
                </c:pt>
                <c:pt idx="148">
                  <c:v>7.5448819193136352</c:v>
                </c:pt>
                <c:pt idx="149">
                  <c:v>7.5448739146891146</c:v>
                </c:pt>
                <c:pt idx="150">
                  <c:v>7.5450405755498329</c:v>
                </c:pt>
                <c:pt idx="151">
                  <c:v>7.5454952974241207</c:v>
                </c:pt>
                <c:pt idx="152">
                  <c:v>7.5455281337995039</c:v>
                </c:pt>
                <c:pt idx="153">
                  <c:v>7.545860306430165</c:v>
                </c:pt>
                <c:pt idx="154">
                  <c:v>7.5456051561141937</c:v>
                </c:pt>
                <c:pt idx="155">
                  <c:v>7.5456807532492443</c:v>
                </c:pt>
                <c:pt idx="156">
                  <c:v>7.5457973631434756</c:v>
                </c:pt>
                <c:pt idx="157">
                  <c:v>7.5459721238679336</c:v>
                </c:pt>
                <c:pt idx="158">
                  <c:v>7.5465373387652654</c:v>
                </c:pt>
                <c:pt idx="159">
                  <c:v>7.5464589706031164</c:v>
                </c:pt>
                <c:pt idx="160">
                  <c:v>7.5468085518323935</c:v>
                </c:pt>
                <c:pt idx="161">
                  <c:v>7.5468414095027647</c:v>
                </c:pt>
                <c:pt idx="162">
                  <c:v>7.5469158825755231</c:v>
                </c:pt>
                <c:pt idx="163">
                  <c:v>7.547124584296097</c:v>
                </c:pt>
                <c:pt idx="164">
                  <c:v>7.5469825560033499</c:v>
                </c:pt>
                <c:pt idx="165">
                  <c:v>7.5472117235867602</c:v>
                </c:pt>
                <c:pt idx="166">
                  <c:v>7.5471402994859025</c:v>
                </c:pt>
                <c:pt idx="167">
                  <c:v>7.5477108413195486</c:v>
                </c:pt>
                <c:pt idx="168">
                  <c:v>7.5479853400955292</c:v>
                </c:pt>
                <c:pt idx="169">
                  <c:v>7.5479398426106297</c:v>
                </c:pt>
                <c:pt idx="170">
                  <c:v>7.5477035031651694</c:v>
                </c:pt>
                <c:pt idx="171">
                  <c:v>7.547951297440461</c:v>
                </c:pt>
                <c:pt idx="172">
                  <c:v>7.5480870109496001</c:v>
                </c:pt>
                <c:pt idx="173">
                  <c:v>7.5484389185777694</c:v>
                </c:pt>
                <c:pt idx="174">
                  <c:v>7.5483722778931899</c:v>
                </c:pt>
                <c:pt idx="175">
                  <c:v>7.5484050842241599</c:v>
                </c:pt>
                <c:pt idx="176">
                  <c:v>7.548363400564579</c:v>
                </c:pt>
                <c:pt idx="177">
                  <c:v>7.54845763608356</c:v>
                </c:pt>
                <c:pt idx="178">
                  <c:v>7.5487660751171415</c:v>
                </c:pt>
                <c:pt idx="179">
                  <c:v>7.5490977523000042</c:v>
                </c:pt>
                <c:pt idx="180">
                  <c:v>7.5491991174122353</c:v>
                </c:pt>
                <c:pt idx="181">
                  <c:v>7.5494596497671367</c:v>
                </c:pt>
                <c:pt idx="182">
                  <c:v>7.5498667646045234</c:v>
                </c:pt>
                <c:pt idx="183">
                  <c:v>7.5500686222195466</c:v>
                </c:pt>
                <c:pt idx="184">
                  <c:v>7.5501483776480791</c:v>
                </c:pt>
                <c:pt idx="185">
                  <c:v>7.5503732905048029</c:v>
                </c:pt>
                <c:pt idx="186">
                  <c:v>7.5503164728481957</c:v>
                </c:pt>
                <c:pt idx="187">
                  <c:v>7.55139320438869</c:v>
                </c:pt>
                <c:pt idx="188">
                  <c:v>7.5513918578448447</c:v>
                </c:pt>
                <c:pt idx="189">
                  <c:v>7.5514958763004447</c:v>
                </c:pt>
                <c:pt idx="190">
                  <c:v>7.5518756247933778</c:v>
                </c:pt>
                <c:pt idx="191">
                  <c:v>7.5521128383475027</c:v>
                </c:pt>
                <c:pt idx="192">
                  <c:v>7.5522365185316342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</c:numCache>
            </c:numRef>
          </c:xVal>
          <c:yVal>
            <c:numRef>
              <c:f>PANI_2ndPhase!$B$2:$B$197</c:f>
              <c:numCache>
                <c:formatCode>General</c:formatCode>
                <c:ptCount val="196"/>
                <c:pt idx="0">
                  <c:v>1989.0354</c:v>
                </c:pt>
                <c:pt idx="1">
                  <c:v>1949.207764</c:v>
                </c:pt>
                <c:pt idx="2">
                  <c:v>1938.024048</c:v>
                </c:pt>
                <c:pt idx="3">
                  <c:v>1931.1016850000001</c:v>
                </c:pt>
                <c:pt idx="4">
                  <c:v>1925.0732419999999</c:v>
                </c:pt>
                <c:pt idx="5">
                  <c:v>1920.006226</c:v>
                </c:pt>
                <c:pt idx="6">
                  <c:v>1916.115356</c:v>
                </c:pt>
                <c:pt idx="7">
                  <c:v>1912.9952390000001</c:v>
                </c:pt>
                <c:pt idx="8">
                  <c:v>1910.2944339999999</c:v>
                </c:pt>
                <c:pt idx="9">
                  <c:v>1908.544312</c:v>
                </c:pt>
                <c:pt idx="10">
                  <c:v>1905.9570309999999</c:v>
                </c:pt>
                <c:pt idx="11">
                  <c:v>1904.528198</c:v>
                </c:pt>
                <c:pt idx="12">
                  <c:v>1903.0780030000001</c:v>
                </c:pt>
                <c:pt idx="13">
                  <c:v>1901.4832759999999</c:v>
                </c:pt>
                <c:pt idx="14">
                  <c:v>1901.940308</c:v>
                </c:pt>
                <c:pt idx="15">
                  <c:v>1906.059814</c:v>
                </c:pt>
                <c:pt idx="16">
                  <c:v>1911.688232</c:v>
                </c:pt>
                <c:pt idx="17">
                  <c:v>1905.3138429999999</c:v>
                </c:pt>
                <c:pt idx="18">
                  <c:v>1901.001831</c:v>
                </c:pt>
                <c:pt idx="19">
                  <c:v>1898.396606</c:v>
                </c:pt>
                <c:pt idx="20">
                  <c:v>1897.1602780000001</c:v>
                </c:pt>
                <c:pt idx="21">
                  <c:v>1903.0092770000001</c:v>
                </c:pt>
                <c:pt idx="22">
                  <c:v>1902.9517820000001</c:v>
                </c:pt>
                <c:pt idx="23">
                  <c:v>1901.4774170000001</c:v>
                </c:pt>
                <c:pt idx="24">
                  <c:v>1897.5273440000001</c:v>
                </c:pt>
                <c:pt idx="25">
                  <c:v>1895.230957</c:v>
                </c:pt>
                <c:pt idx="26">
                  <c:v>1893.497192</c:v>
                </c:pt>
                <c:pt idx="27">
                  <c:v>1893.3583980000001</c:v>
                </c:pt>
                <c:pt idx="28">
                  <c:v>1891.907471</c:v>
                </c:pt>
                <c:pt idx="29">
                  <c:v>1891.6762699999999</c:v>
                </c:pt>
                <c:pt idx="30">
                  <c:v>1890.6313479999999</c:v>
                </c:pt>
                <c:pt idx="31">
                  <c:v>1890.0479740000001</c:v>
                </c:pt>
                <c:pt idx="32">
                  <c:v>1889.154663</c:v>
                </c:pt>
                <c:pt idx="33">
                  <c:v>1888.6951899999999</c:v>
                </c:pt>
                <c:pt idx="34">
                  <c:v>1888.2769780000001</c:v>
                </c:pt>
                <c:pt idx="35">
                  <c:v>1887.818115</c:v>
                </c:pt>
                <c:pt idx="36">
                  <c:v>1887.3942870000001</c:v>
                </c:pt>
                <c:pt idx="37">
                  <c:v>1892.650879</c:v>
                </c:pt>
                <c:pt idx="38">
                  <c:v>1892.6480710000001</c:v>
                </c:pt>
                <c:pt idx="39">
                  <c:v>1891.3476559999999</c:v>
                </c:pt>
                <c:pt idx="40">
                  <c:v>1890.8145750000001</c:v>
                </c:pt>
                <c:pt idx="41">
                  <c:v>1889.5251459999999</c:v>
                </c:pt>
                <c:pt idx="42">
                  <c:v>1888.578125</c:v>
                </c:pt>
                <c:pt idx="43">
                  <c:v>1887.4388429999999</c:v>
                </c:pt>
                <c:pt idx="44">
                  <c:v>1889.9104</c:v>
                </c:pt>
                <c:pt idx="45">
                  <c:v>1889.3295900000001</c:v>
                </c:pt>
                <c:pt idx="46">
                  <c:v>1887.673706</c:v>
                </c:pt>
                <c:pt idx="47">
                  <c:v>1886.7810059999999</c:v>
                </c:pt>
                <c:pt idx="48">
                  <c:v>1885.7226559999999</c:v>
                </c:pt>
                <c:pt idx="49">
                  <c:v>1885.6207280000001</c:v>
                </c:pt>
                <c:pt idx="50">
                  <c:v>1884.159302</c:v>
                </c:pt>
                <c:pt idx="51">
                  <c:v>1884.4642329999999</c:v>
                </c:pt>
                <c:pt idx="52">
                  <c:v>1883.497192</c:v>
                </c:pt>
                <c:pt idx="53">
                  <c:v>1883.4600829999999</c:v>
                </c:pt>
                <c:pt idx="54">
                  <c:v>1883.2460940000001</c:v>
                </c:pt>
                <c:pt idx="55">
                  <c:v>1883.4233400000001</c:v>
                </c:pt>
                <c:pt idx="56">
                  <c:v>1883.15625</c:v>
                </c:pt>
                <c:pt idx="57">
                  <c:v>1882.8479</c:v>
                </c:pt>
                <c:pt idx="58">
                  <c:v>1882.6429439999999</c:v>
                </c:pt>
                <c:pt idx="59">
                  <c:v>1882.3713379999999</c:v>
                </c:pt>
                <c:pt idx="60">
                  <c:v>1882.1575929999999</c:v>
                </c:pt>
                <c:pt idx="61">
                  <c:v>1882.6070560000001</c:v>
                </c:pt>
                <c:pt idx="62">
                  <c:v>1882.6401370000001</c:v>
                </c:pt>
                <c:pt idx="63">
                  <c:v>1882.5462649999999</c:v>
                </c:pt>
                <c:pt idx="64">
                  <c:v>1882.997803</c:v>
                </c:pt>
                <c:pt idx="65">
                  <c:v>1884.780518</c:v>
                </c:pt>
                <c:pt idx="66">
                  <c:v>1886.3352050000001</c:v>
                </c:pt>
                <c:pt idx="67">
                  <c:v>1887.4335940000001</c:v>
                </c:pt>
                <c:pt idx="68">
                  <c:v>1887.7398679999999</c:v>
                </c:pt>
                <c:pt idx="69">
                  <c:v>1888.7463379999999</c:v>
                </c:pt>
                <c:pt idx="70">
                  <c:v>1889.3912350000001</c:v>
                </c:pt>
                <c:pt idx="71">
                  <c:v>1889.909058</c:v>
                </c:pt>
                <c:pt idx="72">
                  <c:v>1888.2116699999999</c:v>
                </c:pt>
                <c:pt idx="73">
                  <c:v>1886.7022710000001</c:v>
                </c:pt>
                <c:pt idx="74">
                  <c:v>1885.155518</c:v>
                </c:pt>
                <c:pt idx="75">
                  <c:v>1884.5428469999999</c:v>
                </c:pt>
                <c:pt idx="76">
                  <c:v>1883.7576899999999</c:v>
                </c:pt>
                <c:pt idx="77">
                  <c:v>1883.457275</c:v>
                </c:pt>
                <c:pt idx="78">
                  <c:v>1883.1243899999999</c:v>
                </c:pt>
                <c:pt idx="79">
                  <c:v>1882.7341309999999</c:v>
                </c:pt>
                <c:pt idx="80">
                  <c:v>1883.9133300000001</c:v>
                </c:pt>
                <c:pt idx="81">
                  <c:v>1885.3466800000001</c:v>
                </c:pt>
                <c:pt idx="82">
                  <c:v>1885.731567</c:v>
                </c:pt>
                <c:pt idx="83">
                  <c:v>1887.215942</c:v>
                </c:pt>
                <c:pt idx="84">
                  <c:v>1887.3350829999999</c:v>
                </c:pt>
                <c:pt idx="85">
                  <c:v>1887.3641359999999</c:v>
                </c:pt>
                <c:pt idx="86">
                  <c:v>1887.963135</c:v>
                </c:pt>
                <c:pt idx="87">
                  <c:v>1886.143188</c:v>
                </c:pt>
                <c:pt idx="88">
                  <c:v>1885.2703859999999</c:v>
                </c:pt>
                <c:pt idx="89">
                  <c:v>1885.088501</c:v>
                </c:pt>
                <c:pt idx="90">
                  <c:v>1884.393433</c:v>
                </c:pt>
                <c:pt idx="91">
                  <c:v>1884.0611570000001</c:v>
                </c:pt>
                <c:pt idx="92">
                  <c:v>1884.9686280000001</c:v>
                </c:pt>
                <c:pt idx="93">
                  <c:v>1884.273682</c:v>
                </c:pt>
                <c:pt idx="94">
                  <c:v>1884.275024</c:v>
                </c:pt>
                <c:pt idx="95">
                  <c:v>1884.1241460000001</c:v>
                </c:pt>
                <c:pt idx="96">
                  <c:v>1883.2202150000001</c:v>
                </c:pt>
                <c:pt idx="97">
                  <c:v>1883.9155270000001</c:v>
                </c:pt>
                <c:pt idx="98">
                  <c:v>1883.7661129999999</c:v>
                </c:pt>
                <c:pt idx="99">
                  <c:v>1883.2854</c:v>
                </c:pt>
                <c:pt idx="100">
                  <c:v>1883.366577</c:v>
                </c:pt>
                <c:pt idx="101">
                  <c:v>1884.1674800000001</c:v>
                </c:pt>
                <c:pt idx="102">
                  <c:v>1884.2969969999999</c:v>
                </c:pt>
                <c:pt idx="103">
                  <c:v>1884.290894</c:v>
                </c:pt>
                <c:pt idx="104">
                  <c:v>1883.963745</c:v>
                </c:pt>
                <c:pt idx="105">
                  <c:v>1886.572144</c:v>
                </c:pt>
                <c:pt idx="106">
                  <c:v>1887.4097899999999</c:v>
                </c:pt>
                <c:pt idx="107">
                  <c:v>1885.701904</c:v>
                </c:pt>
                <c:pt idx="108">
                  <c:v>1886.4011230000001</c:v>
                </c:pt>
                <c:pt idx="109">
                  <c:v>1885.1671140000001</c:v>
                </c:pt>
                <c:pt idx="110">
                  <c:v>1885.088013</c:v>
                </c:pt>
                <c:pt idx="111">
                  <c:v>1885.961914</c:v>
                </c:pt>
                <c:pt idx="112">
                  <c:v>1885.650513</c:v>
                </c:pt>
                <c:pt idx="113">
                  <c:v>1886.2303469999999</c:v>
                </c:pt>
                <c:pt idx="114">
                  <c:v>1886.5791019999999</c:v>
                </c:pt>
                <c:pt idx="115">
                  <c:v>1886.1591800000001</c:v>
                </c:pt>
                <c:pt idx="116">
                  <c:v>1886.2001949999999</c:v>
                </c:pt>
                <c:pt idx="117">
                  <c:v>1886.2508539999999</c:v>
                </c:pt>
                <c:pt idx="118">
                  <c:v>1886.290039</c:v>
                </c:pt>
                <c:pt idx="119">
                  <c:v>1886.2811280000001</c:v>
                </c:pt>
                <c:pt idx="120">
                  <c:v>1886.652466</c:v>
                </c:pt>
                <c:pt idx="121">
                  <c:v>1886.560547</c:v>
                </c:pt>
                <c:pt idx="122">
                  <c:v>1886.5874020000001</c:v>
                </c:pt>
                <c:pt idx="123">
                  <c:v>1887.121216</c:v>
                </c:pt>
                <c:pt idx="124">
                  <c:v>1887.0310059999999</c:v>
                </c:pt>
                <c:pt idx="125">
                  <c:v>1886.726318</c:v>
                </c:pt>
                <c:pt idx="126">
                  <c:v>1887.1904300000001</c:v>
                </c:pt>
                <c:pt idx="127">
                  <c:v>1886.684448</c:v>
                </c:pt>
                <c:pt idx="128">
                  <c:v>1886.9646</c:v>
                </c:pt>
                <c:pt idx="129">
                  <c:v>1887.2147219999999</c:v>
                </c:pt>
                <c:pt idx="130">
                  <c:v>1887.327759</c:v>
                </c:pt>
                <c:pt idx="131">
                  <c:v>1887.50647</c:v>
                </c:pt>
                <c:pt idx="132">
                  <c:v>1887.838379</c:v>
                </c:pt>
                <c:pt idx="133">
                  <c:v>1888.446533</c:v>
                </c:pt>
                <c:pt idx="134">
                  <c:v>1889.3680420000001</c:v>
                </c:pt>
                <c:pt idx="135">
                  <c:v>1888.6403809999999</c:v>
                </c:pt>
                <c:pt idx="136">
                  <c:v>1890.0124510000001</c:v>
                </c:pt>
                <c:pt idx="137">
                  <c:v>1889.2246090000001</c:v>
                </c:pt>
                <c:pt idx="138">
                  <c:v>1889.243164</c:v>
                </c:pt>
                <c:pt idx="139">
                  <c:v>1888.7905270000001</c:v>
                </c:pt>
                <c:pt idx="140">
                  <c:v>1889.7116699999999</c:v>
                </c:pt>
                <c:pt idx="141">
                  <c:v>1890.290405</c:v>
                </c:pt>
                <c:pt idx="142">
                  <c:v>1890.239746</c:v>
                </c:pt>
                <c:pt idx="143">
                  <c:v>1890.955811</c:v>
                </c:pt>
                <c:pt idx="144">
                  <c:v>1891.5101320000001</c:v>
                </c:pt>
                <c:pt idx="145">
                  <c:v>1891.5698239999999</c:v>
                </c:pt>
                <c:pt idx="146">
                  <c:v>1891.6689449999999</c:v>
                </c:pt>
                <c:pt idx="147">
                  <c:v>1891.424561</c:v>
                </c:pt>
                <c:pt idx="148">
                  <c:v>1891.0394289999999</c:v>
                </c:pt>
                <c:pt idx="149">
                  <c:v>1891.0242920000001</c:v>
                </c:pt>
                <c:pt idx="150">
                  <c:v>1891.3394780000001</c:v>
                </c:pt>
                <c:pt idx="151">
                  <c:v>1892.199707</c:v>
                </c:pt>
                <c:pt idx="152">
                  <c:v>1892.261841</c:v>
                </c:pt>
                <c:pt idx="153">
                  <c:v>1892.8905030000001</c:v>
                </c:pt>
                <c:pt idx="154">
                  <c:v>1892.4075929999999</c:v>
                </c:pt>
                <c:pt idx="155">
                  <c:v>1892.550659</c:v>
                </c:pt>
                <c:pt idx="156">
                  <c:v>1892.771362</c:v>
                </c:pt>
                <c:pt idx="157">
                  <c:v>1893.102173</c:v>
                </c:pt>
                <c:pt idx="158">
                  <c:v>1894.1724850000001</c:v>
                </c:pt>
                <c:pt idx="159">
                  <c:v>1894.024048</c:v>
                </c:pt>
                <c:pt idx="160">
                  <c:v>1894.686279</c:v>
                </c:pt>
                <c:pt idx="161">
                  <c:v>1894.7485349999999</c:v>
                </c:pt>
                <c:pt idx="162">
                  <c:v>1894.8896480000001</c:v>
                </c:pt>
                <c:pt idx="163">
                  <c:v>1895.2851559999999</c:v>
                </c:pt>
                <c:pt idx="164">
                  <c:v>1895.015991</c:v>
                </c:pt>
                <c:pt idx="165">
                  <c:v>1895.450317</c:v>
                </c:pt>
                <c:pt idx="166">
                  <c:v>1895.3149410000001</c:v>
                </c:pt>
                <c:pt idx="167">
                  <c:v>1896.396606</c:v>
                </c:pt>
                <c:pt idx="168">
                  <c:v>1896.917236</c:v>
                </c:pt>
                <c:pt idx="169">
                  <c:v>1896.830933</c:v>
                </c:pt>
                <c:pt idx="170">
                  <c:v>1896.3826899999999</c:v>
                </c:pt>
                <c:pt idx="171">
                  <c:v>1896.8526609999999</c:v>
                </c:pt>
                <c:pt idx="172">
                  <c:v>1897.110107</c:v>
                </c:pt>
                <c:pt idx="173">
                  <c:v>1897.777832</c:v>
                </c:pt>
                <c:pt idx="174">
                  <c:v>1897.6513669999999</c:v>
                </c:pt>
                <c:pt idx="175">
                  <c:v>1897.7136230000001</c:v>
                </c:pt>
                <c:pt idx="176">
                  <c:v>1897.6345209999999</c:v>
                </c:pt>
                <c:pt idx="177">
                  <c:v>1897.8133539999999</c:v>
                </c:pt>
                <c:pt idx="178">
                  <c:v>1898.3988039999999</c:v>
                </c:pt>
                <c:pt idx="179">
                  <c:v>1899.028564</c:v>
                </c:pt>
                <c:pt idx="180">
                  <c:v>1899.2210689999999</c:v>
                </c:pt>
                <c:pt idx="181">
                  <c:v>1899.715942</c:v>
                </c:pt>
                <c:pt idx="182">
                  <c:v>1900.4895019999999</c:v>
                </c:pt>
                <c:pt idx="183">
                  <c:v>1900.873169</c:v>
                </c:pt>
                <c:pt idx="184">
                  <c:v>1901.02478</c:v>
                </c:pt>
                <c:pt idx="185">
                  <c:v>1901.452393</c:v>
                </c:pt>
                <c:pt idx="186">
                  <c:v>1901.3443600000001</c:v>
                </c:pt>
                <c:pt idx="187">
                  <c:v>1903.3927000000001</c:v>
                </c:pt>
                <c:pt idx="188">
                  <c:v>1903.3901370000001</c:v>
                </c:pt>
                <c:pt idx="189">
                  <c:v>1903.588135</c:v>
                </c:pt>
                <c:pt idx="190">
                  <c:v>1904.3111570000001</c:v>
                </c:pt>
                <c:pt idx="191">
                  <c:v>1904.762939</c:v>
                </c:pt>
                <c:pt idx="192">
                  <c:v>1904.9985349999999</c:v>
                </c:pt>
                <c:pt idx="193">
                  <c:v>1905.4724120000001</c:v>
                </c:pt>
                <c:pt idx="194">
                  <c:v>1906.3740230000001</c:v>
                </c:pt>
                <c:pt idx="195">
                  <c:v>1910.6967770000001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PANI_2ndPhase!$I$2:$I$102</c:f>
              <c:numCache>
                <c:formatCode>General</c:formatCode>
                <c:ptCount val="101"/>
                <c:pt idx="0">
                  <c:v>7.5954050765839778</c:v>
                </c:pt>
                <c:pt idx="1">
                  <c:v>7.5751782941340018</c:v>
                </c:pt>
                <c:pt idx="2">
                  <c:v>7.5694242010424553</c:v>
                </c:pt>
                <c:pt idx="3">
                  <c:v>7.5658459402859801</c:v>
                </c:pt>
                <c:pt idx="4">
                  <c:v>7.5627192937902938</c:v>
                </c:pt>
                <c:pt idx="5">
                  <c:v>7.5600837077249032</c:v>
                </c:pt>
                <c:pt idx="6">
                  <c:v>7.5580551633990414</c:v>
                </c:pt>
                <c:pt idx="7">
                  <c:v>7.5564254806760474</c:v>
                </c:pt>
                <c:pt idx="8">
                  <c:v>7.555012663086881</c:v>
                </c:pt>
                <c:pt idx="9">
                  <c:v>7.5540960901499608</c:v>
                </c:pt>
                <c:pt idx="10">
                  <c:v>7.5527395398886723</c:v>
                </c:pt>
                <c:pt idx="11">
                  <c:v>7.5519895917948743</c:v>
                </c:pt>
                <c:pt idx="12">
                  <c:v>7.5512278559463821</c:v>
                </c:pt>
                <c:pt idx="13">
                  <c:v>7.5503895321679222</c:v>
                </c:pt>
                <c:pt idx="14">
                  <c:v>7.5506298588063343</c:v>
                </c:pt>
                <c:pt idx="15">
                  <c:v>7.5527934656734752</c:v>
                </c:pt>
                <c:pt idx="16">
                  <c:v>7.5557420217384452</c:v>
                </c:pt>
                <c:pt idx="17">
                  <c:v>7.5524020209731351</c:v>
                </c:pt>
                <c:pt idx="18">
                  <c:v>7.5501363056652409</c:v>
                </c:pt>
                <c:pt idx="19">
                  <c:v>7.5487649172986329</c:v>
                </c:pt>
                <c:pt idx="20">
                  <c:v>7.5481134566136738</c:v>
                </c:pt>
                <c:pt idx="21">
                  <c:v>7.551191742218581</c:v>
                </c:pt>
                <c:pt idx="22">
                  <c:v>7.5511615290875937</c:v>
                </c:pt>
                <c:pt idx="23">
                  <c:v>7.5503864508844316</c:v>
                </c:pt>
                <c:pt idx="24">
                  <c:v>7.548306919706139</c:v>
                </c:pt>
                <c:pt idx="25">
                  <c:v>7.5470959871349779</c:v>
                </c:pt>
                <c:pt idx="26">
                  <c:v>7.5461807643727017</c:v>
                </c:pt>
                <c:pt idx="27">
                  <c:v>7.5461074613397425</c:v>
                </c:pt>
                <c:pt idx="28">
                  <c:v>7.5453408430247952</c:v>
                </c:pt>
                <c:pt idx="29">
                  <c:v>7.5452186303205897</c:v>
                </c:pt>
                <c:pt idx="30">
                  <c:v>7.544666098833404</c:v>
                </c:pt>
                <c:pt idx="31">
                  <c:v>7.5443574908003264</c:v>
                </c:pt>
                <c:pt idx="32">
                  <c:v>7.5438847397454394</c:v>
                </c:pt>
                <c:pt idx="33">
                  <c:v>7.543641493973297</c:v>
                </c:pt>
                <c:pt idx="34">
                  <c:v>7.5434200403945528</c:v>
                </c:pt>
                <c:pt idx="35">
                  <c:v>7.5431770046706337</c:v>
                </c:pt>
                <c:pt idx="36">
                  <c:v>7.5429524726673183</c:v>
                </c:pt>
                <c:pt idx="37">
                  <c:v>7.5457337068365327</c:v>
                </c:pt>
                <c:pt idx="38">
                  <c:v>7.5457322232020632</c:v>
                </c:pt>
                <c:pt idx="39">
                  <c:v>7.5450448994601702</c:v>
                </c:pt>
                <c:pt idx="40">
                  <c:v>7.544763007266778</c:v>
                </c:pt>
                <c:pt idx="41">
                  <c:v>7.5440808309836038</c:v>
                </c:pt>
                <c:pt idx="42">
                  <c:v>7.5435795101080716</c:v>
                </c:pt>
                <c:pt idx="43">
                  <c:v>7.5429760795386516</c:v>
                </c:pt>
                <c:pt idx="44">
                  <c:v>7.5442846995225139</c:v>
                </c:pt>
                <c:pt idx="45">
                  <c:v>7.5439773308419804</c:v>
                </c:pt>
                <c:pt idx="46">
                  <c:v>7.5431005065575834</c:v>
                </c:pt>
                <c:pt idx="47">
                  <c:v>7.542627484579703</c:v>
                </c:pt>
                <c:pt idx="48">
                  <c:v>7.5420663982971758</c:v>
                </c:pt>
                <c:pt idx="49">
                  <c:v>7.5420123443489429</c:v>
                </c:pt>
                <c:pt idx="50">
                  <c:v>7.5412370067634171</c:v>
                </c:pt>
                <c:pt idx="51">
                  <c:v>7.5413988329568982</c:v>
                </c:pt>
                <c:pt idx="52">
                  <c:v>7.5408855362894665</c:v>
                </c:pt>
                <c:pt idx="53">
                  <c:v>7.5408658339157508</c:v>
                </c:pt>
                <c:pt idx="54">
                  <c:v>7.5407522126295792</c:v>
                </c:pt>
                <c:pt idx="55">
                  <c:v>7.5408463254808584</c:v>
                </c:pt>
                <c:pt idx="56">
                  <c:v>7.5407045045029317</c:v>
                </c:pt>
                <c:pt idx="57">
                  <c:v>7.5405407500361772</c:v>
                </c:pt>
                <c:pt idx="58">
                  <c:v>7.5404318898590086</c:v>
                </c:pt>
                <c:pt idx="59">
                  <c:v>7.5402876109903891</c:v>
                </c:pt>
                <c:pt idx="60">
                  <c:v>7.5401740536215138</c:v>
                </c:pt>
                <c:pt idx="61">
                  <c:v>7.5404128271141699</c:v>
                </c:pt>
                <c:pt idx="62">
                  <c:v>7.5404303988688541</c:v>
                </c:pt>
                <c:pt idx="63">
                  <c:v>7.5403805357332763</c:v>
                </c:pt>
                <c:pt idx="64">
                  <c:v>7.5406203619012935</c:v>
                </c:pt>
                <c:pt idx="65">
                  <c:v>7.5415666570286346</c:v>
                </c:pt>
                <c:pt idx="66">
                  <c:v>7.5423911806986963</c:v>
                </c:pt>
                <c:pt idx="67">
                  <c:v>7.5429732985175244</c:v>
                </c:pt>
                <c:pt idx="68">
                  <c:v>7.543135555433004</c:v>
                </c:pt>
                <c:pt idx="69">
                  <c:v>7.5436685747366248</c:v>
                </c:pt>
                <c:pt idx="70">
                  <c:v>7.5440099582854252</c:v>
                </c:pt>
                <c:pt idx="71">
                  <c:v>7.5442839894356881</c:v>
                </c:pt>
                <c:pt idx="72">
                  <c:v>7.5433854537686722</c:v>
                </c:pt>
                <c:pt idx="73">
                  <c:v>7.5425857539058239</c:v>
                </c:pt>
                <c:pt idx="74">
                  <c:v>7.5417655993967045</c:v>
                </c:pt>
                <c:pt idx="75">
                  <c:v>7.5414405489836085</c:v>
                </c:pt>
                <c:pt idx="76">
                  <c:v>7.5410238322150533</c:v>
                </c:pt>
                <c:pt idx="77">
                  <c:v>7.540864343041525</c:v>
                </c:pt>
                <c:pt idx="78">
                  <c:v>7.540687585954875</c:v>
                </c:pt>
                <c:pt idx="79">
                  <c:v>7.5404803243176035</c:v>
                </c:pt>
                <c:pt idx="80">
                  <c:v>7.541106450893416</c:v>
                </c:pt>
                <c:pt idx="81">
                  <c:v>7.5418669980911623</c:v>
                </c:pt>
                <c:pt idx="82">
                  <c:v>7.5420711237953384</c:v>
                </c:pt>
                <c:pt idx="83">
                  <c:v>7.5428579754931402</c:v>
                </c:pt>
                <c:pt idx="84">
                  <c:v>7.5429211040608823</c:v>
                </c:pt>
                <c:pt idx="85">
                  <c:v>7.5429364976052762</c:v>
                </c:pt>
                <c:pt idx="86">
                  <c:v>7.5432538205614224</c:v>
                </c:pt>
                <c:pt idx="87">
                  <c:v>7.5422893818385512</c:v>
                </c:pt>
                <c:pt idx="88">
                  <c:v>7.5418265304442622</c:v>
                </c:pt>
                <c:pt idx="89">
                  <c:v>7.5417300489126138</c:v>
                </c:pt>
                <c:pt idx="90">
                  <c:v>7.5413612618909234</c:v>
                </c:pt>
                <c:pt idx="91">
                  <c:v>7.5411849158621074</c:v>
                </c:pt>
                <c:pt idx="92">
                  <c:v>7.5416664567727931</c:v>
                </c:pt>
                <c:pt idx="93">
                  <c:v>7.5412977110405111</c:v>
                </c:pt>
                <c:pt idx="94">
                  <c:v>7.5412984232510221</c:v>
                </c:pt>
                <c:pt idx="95">
                  <c:v>7.5412183478697932</c:v>
                </c:pt>
                <c:pt idx="96">
                  <c:v>7.5407384708366747</c:v>
                </c:pt>
                <c:pt idx="97">
                  <c:v>7.5411076170822655</c:v>
                </c:pt>
                <c:pt idx="98">
                  <c:v>7.5410283035869359</c:v>
                </c:pt>
                <c:pt idx="99">
                  <c:v>7.5407730838210529</c:v>
                </c:pt>
                <c:pt idx="100">
                  <c:v>7.540816186821016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PANI_2ndPhase!$B$2:$B$102</c:f>
              <c:numCache>
                <c:formatCode>General</c:formatCode>
                <c:ptCount val="101"/>
                <c:pt idx="0">
                  <c:v>1989.0354</c:v>
                </c:pt>
                <c:pt idx="1">
                  <c:v>1949.207764</c:v>
                </c:pt>
                <c:pt idx="2">
                  <c:v>1938.024048</c:v>
                </c:pt>
                <c:pt idx="3">
                  <c:v>1931.1016850000001</c:v>
                </c:pt>
                <c:pt idx="4">
                  <c:v>1925.0732419999999</c:v>
                </c:pt>
                <c:pt idx="5">
                  <c:v>1920.006226</c:v>
                </c:pt>
                <c:pt idx="6">
                  <c:v>1916.115356</c:v>
                </c:pt>
                <c:pt idx="7">
                  <c:v>1912.9952390000001</c:v>
                </c:pt>
                <c:pt idx="8">
                  <c:v>1910.2944339999999</c:v>
                </c:pt>
                <c:pt idx="9">
                  <c:v>1908.544312</c:v>
                </c:pt>
                <c:pt idx="10">
                  <c:v>1905.9570309999999</c:v>
                </c:pt>
                <c:pt idx="11">
                  <c:v>1904.528198</c:v>
                </c:pt>
                <c:pt idx="12">
                  <c:v>1903.0780030000001</c:v>
                </c:pt>
                <c:pt idx="13">
                  <c:v>1901.4832759999999</c:v>
                </c:pt>
                <c:pt idx="14">
                  <c:v>1901.940308</c:v>
                </c:pt>
                <c:pt idx="15">
                  <c:v>1906.059814</c:v>
                </c:pt>
                <c:pt idx="16">
                  <c:v>1911.688232</c:v>
                </c:pt>
                <c:pt idx="17">
                  <c:v>1905.3138429999999</c:v>
                </c:pt>
                <c:pt idx="18">
                  <c:v>1901.001831</c:v>
                </c:pt>
                <c:pt idx="19">
                  <c:v>1898.396606</c:v>
                </c:pt>
                <c:pt idx="20">
                  <c:v>1897.1602780000001</c:v>
                </c:pt>
                <c:pt idx="21">
                  <c:v>1903.0092770000001</c:v>
                </c:pt>
                <c:pt idx="22">
                  <c:v>1902.9517820000001</c:v>
                </c:pt>
                <c:pt idx="23">
                  <c:v>1901.4774170000001</c:v>
                </c:pt>
                <c:pt idx="24">
                  <c:v>1897.5273440000001</c:v>
                </c:pt>
                <c:pt idx="25">
                  <c:v>1895.230957</c:v>
                </c:pt>
                <c:pt idx="26">
                  <c:v>1893.497192</c:v>
                </c:pt>
                <c:pt idx="27">
                  <c:v>1893.3583980000001</c:v>
                </c:pt>
                <c:pt idx="28">
                  <c:v>1891.907471</c:v>
                </c:pt>
                <c:pt idx="29">
                  <c:v>1891.6762699999999</c:v>
                </c:pt>
                <c:pt idx="30">
                  <c:v>1890.6313479999999</c:v>
                </c:pt>
                <c:pt idx="31">
                  <c:v>1890.0479740000001</c:v>
                </c:pt>
                <c:pt idx="32">
                  <c:v>1889.154663</c:v>
                </c:pt>
                <c:pt idx="33">
                  <c:v>1888.6951899999999</c:v>
                </c:pt>
                <c:pt idx="34">
                  <c:v>1888.2769780000001</c:v>
                </c:pt>
                <c:pt idx="35">
                  <c:v>1887.818115</c:v>
                </c:pt>
                <c:pt idx="36">
                  <c:v>1887.3942870000001</c:v>
                </c:pt>
                <c:pt idx="37">
                  <c:v>1892.650879</c:v>
                </c:pt>
                <c:pt idx="38">
                  <c:v>1892.6480710000001</c:v>
                </c:pt>
                <c:pt idx="39">
                  <c:v>1891.3476559999999</c:v>
                </c:pt>
                <c:pt idx="40">
                  <c:v>1890.8145750000001</c:v>
                </c:pt>
                <c:pt idx="41">
                  <c:v>1889.5251459999999</c:v>
                </c:pt>
                <c:pt idx="42">
                  <c:v>1888.578125</c:v>
                </c:pt>
                <c:pt idx="43">
                  <c:v>1887.4388429999999</c:v>
                </c:pt>
                <c:pt idx="44">
                  <c:v>1889.9104</c:v>
                </c:pt>
                <c:pt idx="45">
                  <c:v>1889.3295900000001</c:v>
                </c:pt>
                <c:pt idx="46">
                  <c:v>1887.673706</c:v>
                </c:pt>
                <c:pt idx="47">
                  <c:v>1886.7810059999999</c:v>
                </c:pt>
                <c:pt idx="48">
                  <c:v>1885.7226559999999</c:v>
                </c:pt>
                <c:pt idx="49">
                  <c:v>1885.6207280000001</c:v>
                </c:pt>
                <c:pt idx="50">
                  <c:v>1884.159302</c:v>
                </c:pt>
                <c:pt idx="51">
                  <c:v>1884.4642329999999</c:v>
                </c:pt>
                <c:pt idx="52">
                  <c:v>1883.497192</c:v>
                </c:pt>
                <c:pt idx="53">
                  <c:v>1883.4600829999999</c:v>
                </c:pt>
                <c:pt idx="54">
                  <c:v>1883.2460940000001</c:v>
                </c:pt>
                <c:pt idx="55">
                  <c:v>1883.4233400000001</c:v>
                </c:pt>
                <c:pt idx="56">
                  <c:v>1883.15625</c:v>
                </c:pt>
                <c:pt idx="57">
                  <c:v>1882.8479</c:v>
                </c:pt>
                <c:pt idx="58">
                  <c:v>1882.6429439999999</c:v>
                </c:pt>
                <c:pt idx="59">
                  <c:v>1882.3713379999999</c:v>
                </c:pt>
                <c:pt idx="60">
                  <c:v>1882.1575929999999</c:v>
                </c:pt>
                <c:pt idx="61">
                  <c:v>1882.6070560000001</c:v>
                </c:pt>
                <c:pt idx="62">
                  <c:v>1882.6401370000001</c:v>
                </c:pt>
                <c:pt idx="63">
                  <c:v>1882.5462649999999</c:v>
                </c:pt>
                <c:pt idx="64">
                  <c:v>1882.997803</c:v>
                </c:pt>
                <c:pt idx="65">
                  <c:v>1884.780518</c:v>
                </c:pt>
                <c:pt idx="66">
                  <c:v>1886.3352050000001</c:v>
                </c:pt>
                <c:pt idx="67">
                  <c:v>1887.4335940000001</c:v>
                </c:pt>
                <c:pt idx="68">
                  <c:v>1887.7398679999999</c:v>
                </c:pt>
                <c:pt idx="69">
                  <c:v>1888.7463379999999</c:v>
                </c:pt>
                <c:pt idx="70">
                  <c:v>1889.3912350000001</c:v>
                </c:pt>
                <c:pt idx="71">
                  <c:v>1889.909058</c:v>
                </c:pt>
                <c:pt idx="72">
                  <c:v>1888.2116699999999</c:v>
                </c:pt>
                <c:pt idx="73">
                  <c:v>1886.7022710000001</c:v>
                </c:pt>
                <c:pt idx="74">
                  <c:v>1885.155518</c:v>
                </c:pt>
                <c:pt idx="75">
                  <c:v>1884.5428469999999</c:v>
                </c:pt>
                <c:pt idx="76">
                  <c:v>1883.7576899999999</c:v>
                </c:pt>
                <c:pt idx="77">
                  <c:v>1883.457275</c:v>
                </c:pt>
                <c:pt idx="78">
                  <c:v>1883.1243899999999</c:v>
                </c:pt>
                <c:pt idx="79">
                  <c:v>1882.7341309999999</c:v>
                </c:pt>
                <c:pt idx="80">
                  <c:v>1883.9133300000001</c:v>
                </c:pt>
                <c:pt idx="81">
                  <c:v>1885.3466800000001</c:v>
                </c:pt>
                <c:pt idx="82">
                  <c:v>1885.731567</c:v>
                </c:pt>
                <c:pt idx="83">
                  <c:v>1887.215942</c:v>
                </c:pt>
                <c:pt idx="84">
                  <c:v>1887.3350829999999</c:v>
                </c:pt>
                <c:pt idx="85">
                  <c:v>1887.3641359999999</c:v>
                </c:pt>
                <c:pt idx="86">
                  <c:v>1887.963135</c:v>
                </c:pt>
                <c:pt idx="87">
                  <c:v>1886.143188</c:v>
                </c:pt>
                <c:pt idx="88">
                  <c:v>1885.2703859999999</c:v>
                </c:pt>
                <c:pt idx="89">
                  <c:v>1885.088501</c:v>
                </c:pt>
                <c:pt idx="90">
                  <c:v>1884.393433</c:v>
                </c:pt>
                <c:pt idx="91">
                  <c:v>1884.0611570000001</c:v>
                </c:pt>
                <c:pt idx="92">
                  <c:v>1884.9686280000001</c:v>
                </c:pt>
                <c:pt idx="93">
                  <c:v>1884.273682</c:v>
                </c:pt>
                <c:pt idx="94">
                  <c:v>1884.275024</c:v>
                </c:pt>
                <c:pt idx="95">
                  <c:v>1884.1241460000001</c:v>
                </c:pt>
                <c:pt idx="96">
                  <c:v>1883.2202150000001</c:v>
                </c:pt>
                <c:pt idx="97">
                  <c:v>1883.9155270000001</c:v>
                </c:pt>
                <c:pt idx="98">
                  <c:v>1883.7661129999999</c:v>
                </c:pt>
                <c:pt idx="99">
                  <c:v>1883.2854</c:v>
                </c:pt>
                <c:pt idx="100">
                  <c:v>1883.366577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661428623939572"/>
                  <c:y val="-0.13601159230096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PANI_2ndPhase!$H$2:$H$38</c:f>
              <c:numCache>
                <c:formatCode>General</c:formatCode>
                <c:ptCount val="37"/>
                <c:pt idx="0">
                  <c:v>4.5984586136896572</c:v>
                </c:pt>
                <c:pt idx="1">
                  <c:v>4.0860343612868917</c:v>
                </c:pt>
                <c:pt idx="2">
                  <c:v>3.8778401314264284</c:v>
                </c:pt>
                <c:pt idx="3">
                  <c:v>3.7232174730239365</c:v>
                </c:pt>
                <c:pt idx="4">
                  <c:v>3.5658338076809293</c:v>
                </c:pt>
                <c:pt idx="5">
                  <c:v>3.4112109448395485</c:v>
                </c:pt>
                <c:pt idx="6">
                  <c:v>3.2737823317345045</c:v>
                </c:pt>
                <c:pt idx="7">
                  <c:v>3.1480639714648375</c:v>
                </c:pt>
                <c:pt idx="8">
                  <c:v>3.0248115433625005</c:v>
                </c:pt>
                <c:pt idx="9">
                  <c:v>2.9359823753053225</c:v>
                </c:pt>
                <c:pt idx="10">
                  <c:v>2.7882603409120437</c:v>
                </c:pt>
                <c:pt idx="11">
                  <c:v>2.6962399336388096</c:v>
                </c:pt>
                <c:pt idx="12">
                  <c:v>2.5932895683810329</c:v>
                </c:pt>
                <c:pt idx="13">
                  <c:v>2.4663153984795629</c:v>
                </c:pt>
                <c:pt idx="14">
                  <c:v>2.50438226283653</c:v>
                </c:pt>
                <c:pt idx="15">
                  <c:v>2.7945644767796716</c:v>
                </c:pt>
                <c:pt idx="16">
                  <c:v>3.0903113679987078</c:v>
                </c:pt>
                <c:pt idx="17">
                  <c:v>2.7478818173597679</c:v>
                </c:pt>
                <c:pt idx="18">
                  <c:v>2.4245833211198944</c:v>
                </c:pt>
                <c:pt idx="19">
                  <c:v>2.1624371161171556</c:v>
                </c:pt>
                <c:pt idx="20">
                  <c:v>2.009014785528592</c:v>
                </c:pt>
                <c:pt idx="21">
                  <c:v>2.5881374241560082</c:v>
                </c:pt>
                <c:pt idx="22">
                  <c:v>2.5838067417762112</c:v>
                </c:pt>
                <c:pt idx="23">
                  <c:v>2.4658178626473042</c:v>
                </c:pt>
                <c:pt idx="24">
                  <c:v>2.0570724588522697</c:v>
                </c:pt>
                <c:pt idx="25">
                  <c:v>1.7095813025284801</c:v>
                </c:pt>
                <c:pt idx="26">
                  <c:v>1.333126152283481</c:v>
                </c:pt>
                <c:pt idx="27">
                  <c:v>1.2958465408623325</c:v>
                </c:pt>
                <c:pt idx="28">
                  <c:v>0.78989314731050964</c:v>
                </c:pt>
                <c:pt idx="29">
                  <c:v>0.67902797199901643</c:v>
                </c:pt>
                <c:pt idx="30">
                  <c:v>-7.5760721807832165E-2</c:v>
                </c:pt>
                <c:pt idx="31">
                  <c:v>-1.0680908431200939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2-4E1C-BBA6-F96606434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PANI_2ndPhase!$G$2:$G$197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</c:numCache>
            </c:numRef>
          </c:xVal>
          <c:yVal>
            <c:numRef>
              <c:f>PANI_2ndPhase!$F$2:$F$38</c:f>
              <c:numCache>
                <c:formatCode>General</c:formatCode>
                <c:ptCount val="37"/>
                <c:pt idx="0">
                  <c:v>99.331089999999961</c:v>
                </c:pt>
                <c:pt idx="1">
                  <c:v>59.503453999999977</c:v>
                </c:pt>
                <c:pt idx="2">
                  <c:v>48.319737999999973</c:v>
                </c:pt>
                <c:pt idx="3">
                  <c:v>41.397375000000068</c:v>
                </c:pt>
                <c:pt idx="4">
                  <c:v>35.368931999999916</c:v>
                </c:pt>
                <c:pt idx="5">
                  <c:v>30.301915999999949</c:v>
                </c:pt>
                <c:pt idx="6">
                  <c:v>26.411045999999999</c:v>
                </c:pt>
                <c:pt idx="7">
                  <c:v>23.290929000000062</c:v>
                </c:pt>
                <c:pt idx="8">
                  <c:v>20.590123999999889</c:v>
                </c:pt>
                <c:pt idx="9">
                  <c:v>18.84000199999997</c:v>
                </c:pt>
                <c:pt idx="10">
                  <c:v>16.252720999999895</c:v>
                </c:pt>
                <c:pt idx="11">
                  <c:v>14.823887999999954</c:v>
                </c:pt>
                <c:pt idx="12">
                  <c:v>13.37369300000006</c:v>
                </c:pt>
                <c:pt idx="13">
                  <c:v>11.778965999999912</c:v>
                </c:pt>
                <c:pt idx="14">
                  <c:v>12.235997999999938</c:v>
                </c:pt>
                <c:pt idx="15">
                  <c:v>16.355503999999939</c:v>
                </c:pt>
                <c:pt idx="16">
                  <c:v>21.98392199999995</c:v>
                </c:pt>
                <c:pt idx="17">
                  <c:v>15.609532999999885</c:v>
                </c:pt>
                <c:pt idx="18">
                  <c:v>11.297521000000017</c:v>
                </c:pt>
                <c:pt idx="19">
                  <c:v>8.6922959999999989</c:v>
                </c:pt>
                <c:pt idx="20">
                  <c:v>7.4559680000000412</c:v>
                </c:pt>
                <c:pt idx="21">
                  <c:v>13.30496700000009</c:v>
                </c:pt>
                <c:pt idx="22">
                  <c:v>13.247472000000073</c:v>
                </c:pt>
                <c:pt idx="23">
                  <c:v>11.773107000000039</c:v>
                </c:pt>
                <c:pt idx="24">
                  <c:v>7.8230340000000638</c:v>
                </c:pt>
                <c:pt idx="25">
                  <c:v>5.5266469999999686</c:v>
                </c:pt>
                <c:pt idx="26">
                  <c:v>3.7928820000000201</c:v>
                </c:pt>
                <c:pt idx="27">
                  <c:v>3.6540880000000584</c:v>
                </c:pt>
                <c:pt idx="28">
                  <c:v>2.203160999999966</c:v>
                </c:pt>
                <c:pt idx="29">
                  <c:v>1.9719599999999105</c:v>
                </c:pt>
                <c:pt idx="30">
                  <c:v>0.92703799999986813</c:v>
                </c:pt>
                <c:pt idx="31">
                  <c:v>0.3436640000000466</c:v>
                </c:pt>
                <c:pt idx="32">
                  <c:v>-0.54964699999999311</c:v>
                </c:pt>
                <c:pt idx="33">
                  <c:v>-1.0091200000001095</c:v>
                </c:pt>
                <c:pt idx="34">
                  <c:v>-1.4273319999999217</c:v>
                </c:pt>
                <c:pt idx="35">
                  <c:v>-1.8861949999999865</c:v>
                </c:pt>
                <c:pt idx="36">
                  <c:v>-2.3100229999999442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4-4409-8E3B-96CCCD98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Cu_3rdPhase!$I$2:$I$194</c:f>
              <c:numCache>
                <c:formatCode>General</c:formatCode>
                <c:ptCount val="193"/>
                <c:pt idx="0">
                  <c:v>7.6086011419899879</c:v>
                </c:pt>
                <c:pt idx="1">
                  <c:v>7.6048733252093559</c:v>
                </c:pt>
                <c:pt idx="2">
                  <c:v>7.6018747042589796</c:v>
                </c:pt>
                <c:pt idx="3">
                  <c:v>7.5993291400237561</c:v>
                </c:pt>
                <c:pt idx="4">
                  <c:v>7.5969388653704915</c:v>
                </c:pt>
                <c:pt idx="5">
                  <c:v>7.595736428552744</c:v>
                </c:pt>
                <c:pt idx="6">
                  <c:v>7.5941932354482855</c:v>
                </c:pt>
                <c:pt idx="7">
                  <c:v>7.5932970123091756</c:v>
                </c:pt>
                <c:pt idx="8">
                  <c:v>7.5923956147214833</c:v>
                </c:pt>
                <c:pt idx="9">
                  <c:v>7.5916408923267724</c:v>
                </c:pt>
                <c:pt idx="10">
                  <c:v>7.5907912102172315</c:v>
                </c:pt>
                <c:pt idx="11">
                  <c:v>7.5900568090248512</c:v>
                </c:pt>
                <c:pt idx="12">
                  <c:v>7.5895361662771261</c:v>
                </c:pt>
                <c:pt idx="13">
                  <c:v>7.5885861406102419</c:v>
                </c:pt>
                <c:pt idx="14">
                  <c:v>7.5878245786289664</c:v>
                </c:pt>
                <c:pt idx="15">
                  <c:v>7.5874320120717789</c:v>
                </c:pt>
                <c:pt idx="16">
                  <c:v>7.5867749982442509</c:v>
                </c:pt>
                <c:pt idx="17">
                  <c:v>7.5860530040916849</c:v>
                </c:pt>
                <c:pt idx="18">
                  <c:v>7.5847128471398433</c:v>
                </c:pt>
                <c:pt idx="19">
                  <c:v>7.5850701457798291</c:v>
                </c:pt>
                <c:pt idx="20">
                  <c:v>7.5850552634037989</c:v>
                </c:pt>
                <c:pt idx="21">
                  <c:v>7.5843998499429608</c:v>
                </c:pt>
                <c:pt idx="22">
                  <c:v>7.5830772324508375</c:v>
                </c:pt>
                <c:pt idx="23">
                  <c:v>7.5832376469008906</c:v>
                </c:pt>
                <c:pt idx="24">
                  <c:v>7.5831870156025181</c:v>
                </c:pt>
                <c:pt idx="25">
                  <c:v>7.58238265677456</c:v>
                </c:pt>
                <c:pt idx="26">
                  <c:v>7.5823196079169923</c:v>
                </c:pt>
                <c:pt idx="27">
                  <c:v>7.5815952598113965</c:v>
                </c:pt>
                <c:pt idx="28">
                  <c:v>7.5816591010859264</c:v>
                </c:pt>
                <c:pt idx="29">
                  <c:v>7.5813451464639092</c:v>
                </c:pt>
                <c:pt idx="30">
                  <c:v>7.5811226740050275</c:v>
                </c:pt>
                <c:pt idx="31">
                  <c:v>7.5809352081761041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Cu_3rdPhase!$B$2:$B$197</c:f>
              <c:numCache>
                <c:formatCode>General</c:formatCode>
                <c:ptCount val="196"/>
                <c:pt idx="0">
                  <c:v>2015.4567870000001</c:v>
                </c:pt>
                <c:pt idx="1">
                  <c:v>2007.9575199999999</c:v>
                </c:pt>
                <c:pt idx="2">
                  <c:v>2001.9454350000001</c:v>
                </c:pt>
                <c:pt idx="3">
                  <c:v>1996.8558350000001</c:v>
                </c:pt>
                <c:pt idx="4">
                  <c:v>1992.088501</c:v>
                </c:pt>
                <c:pt idx="5">
                  <c:v>1989.6945800000001</c:v>
                </c:pt>
                <c:pt idx="6">
                  <c:v>1986.6264650000001</c:v>
                </c:pt>
                <c:pt idx="7">
                  <c:v>1984.846802</c:v>
                </c:pt>
                <c:pt idx="8">
                  <c:v>1983.0584719999999</c:v>
                </c:pt>
                <c:pt idx="9">
                  <c:v>1981.5623780000001</c:v>
                </c:pt>
                <c:pt idx="10">
                  <c:v>1979.8793949999999</c:v>
                </c:pt>
                <c:pt idx="11">
                  <c:v>1978.4259030000001</c:v>
                </c:pt>
                <c:pt idx="12">
                  <c:v>1977.3961179999999</c:v>
                </c:pt>
                <c:pt idx="13">
                  <c:v>1975.518433</c:v>
                </c:pt>
                <c:pt idx="14">
                  <c:v>1974.0145259999999</c:v>
                </c:pt>
                <c:pt idx="15">
                  <c:v>1973.239746</c:v>
                </c:pt>
                <c:pt idx="16">
                  <c:v>1971.943726</c:v>
                </c:pt>
                <c:pt idx="17">
                  <c:v>1970.5205080000001</c:v>
                </c:pt>
                <c:pt idx="18">
                  <c:v>1967.88147</c:v>
                </c:pt>
                <c:pt idx="19">
                  <c:v>1968.584717</c:v>
                </c:pt>
                <c:pt idx="20">
                  <c:v>1968.5554199999999</c:v>
                </c:pt>
                <c:pt idx="21">
                  <c:v>1967.265625</c:v>
                </c:pt>
                <c:pt idx="22">
                  <c:v>1964.665405</c:v>
                </c:pt>
                <c:pt idx="23">
                  <c:v>1964.980591</c:v>
                </c:pt>
                <c:pt idx="24">
                  <c:v>1964.8811040000001</c:v>
                </c:pt>
                <c:pt idx="25">
                  <c:v>1963.3012699999999</c:v>
                </c:pt>
                <c:pt idx="26">
                  <c:v>1963.17749</c:v>
                </c:pt>
                <c:pt idx="27">
                  <c:v>1961.755981</c:v>
                </c:pt>
                <c:pt idx="28">
                  <c:v>1961.881226</c:v>
                </c:pt>
                <c:pt idx="29">
                  <c:v>1961.2653809999999</c:v>
                </c:pt>
                <c:pt idx="30">
                  <c:v>1960.8291019999999</c:v>
                </c:pt>
                <c:pt idx="31">
                  <c:v>1960.461548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70326811938481"/>
                  <c:y val="5.60691892680081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Cu_3rdPhase!$H$2:$H$23</c:f>
              <c:numCache>
                <c:formatCode>General</c:formatCode>
                <c:ptCount val="22"/>
                <c:pt idx="0">
                  <c:v>3.9260731778592919</c:v>
                </c:pt>
                <c:pt idx="1">
                  <c:v>3.7660302920523248</c:v>
                </c:pt>
                <c:pt idx="2">
                  <c:v>3.6162043203414673</c:v>
                </c:pt>
                <c:pt idx="3">
                  <c:v>3.4690589690440365</c:v>
                </c:pt>
                <c:pt idx="4">
                  <c:v>3.308320874738842</c:v>
                </c:pt>
                <c:pt idx="5">
                  <c:v>3.2166838241891322</c:v>
                </c:pt>
                <c:pt idx="6">
                  <c:v>3.0854424845792496</c:v>
                </c:pt>
                <c:pt idx="7">
                  <c:v>3.0005945335857933</c:v>
                </c:pt>
                <c:pt idx="8">
                  <c:v>2.9074010441240161</c:v>
                </c:pt>
                <c:pt idx="9">
                  <c:v>2.8221558464023779</c:v>
                </c:pt>
                <c:pt idx="10">
                  <c:v>2.7166844848269687</c:v>
                </c:pt>
                <c:pt idx="11">
                  <c:v>2.6156851002922585</c:v>
                </c:pt>
                <c:pt idx="12">
                  <c:v>2.5374040606029609</c:v>
                </c:pt>
                <c:pt idx="13">
                  <c:v>2.3766821293736817</c:v>
                </c:pt>
                <c:pt idx="14">
                  <c:v>2.226266093704925</c:v>
                </c:pt>
                <c:pt idx="15">
                  <c:v>2.1389391757428888</c:v>
                </c:pt>
                <c:pt idx="16">
                  <c:v>1.973303779599801</c:v>
                </c:pt>
                <c:pt idx="17">
                  <c:v>1.752877951874716</c:v>
                </c:pt>
                <c:pt idx="18">
                  <c:v>1.1417196697020513</c:v>
                </c:pt>
                <c:pt idx="19">
                  <c:v>1.3442729496699628</c:v>
                </c:pt>
                <c:pt idx="20">
                  <c:v>1.3366050428324994</c:v>
                </c:pt>
                <c:pt idx="21">
                  <c:v>0.92279155565647597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6-4977-BD42-2EBC65D6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590063884474325"/>
                  <c:y val="-0.32329505686789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Cu_3rdPhase!$F$2:$F$23</c:f>
              <c:numCache>
                <c:formatCode>General</c:formatCode>
                <c:ptCount val="22"/>
                <c:pt idx="0">
                  <c:v>50.707467000000065</c:v>
                </c:pt>
                <c:pt idx="1">
                  <c:v>43.20819999999992</c:v>
                </c:pt>
                <c:pt idx="2">
                  <c:v>37.196115000000077</c:v>
                </c:pt>
                <c:pt idx="3">
                  <c:v>32.106515000000059</c:v>
                </c:pt>
                <c:pt idx="4">
                  <c:v>27.33918099999994</c:v>
                </c:pt>
                <c:pt idx="5">
                  <c:v>24.945260000000076</c:v>
                </c:pt>
                <c:pt idx="6">
                  <c:v>21.877145000000041</c:v>
                </c:pt>
                <c:pt idx="7">
                  <c:v>20.097482000000014</c:v>
                </c:pt>
                <c:pt idx="8">
                  <c:v>18.309151999999926</c:v>
                </c:pt>
                <c:pt idx="9">
                  <c:v>16.813058000000069</c:v>
                </c:pt>
                <c:pt idx="10">
                  <c:v>15.13007499999992</c:v>
                </c:pt>
                <c:pt idx="11">
                  <c:v>13.676583000000051</c:v>
                </c:pt>
                <c:pt idx="12">
                  <c:v>12.646797999999876</c:v>
                </c:pt>
                <c:pt idx="13">
                  <c:v>10.769112999999948</c:v>
                </c:pt>
                <c:pt idx="14">
                  <c:v>9.265205999999921</c:v>
                </c:pt>
                <c:pt idx="15">
                  <c:v>8.4904259999999567</c:v>
                </c:pt>
                <c:pt idx="16">
                  <c:v>7.1944059999999581</c:v>
                </c:pt>
                <c:pt idx="17">
                  <c:v>5.7711880000000519</c:v>
                </c:pt>
                <c:pt idx="18">
                  <c:v>3.1321500000000242</c:v>
                </c:pt>
                <c:pt idx="19">
                  <c:v>3.8353969999999435</c:v>
                </c:pt>
                <c:pt idx="20">
                  <c:v>3.8060999999999012</c:v>
                </c:pt>
                <c:pt idx="21">
                  <c:v>2.5163049999999885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C-4506-8F12-21EA4355F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PANI_3rdPhase!$I$2:$I$194</c:f>
              <c:numCache>
                <c:formatCode>General</c:formatCode>
                <c:ptCount val="193"/>
                <c:pt idx="0">
                  <c:v>7.7451707283767099</c:v>
                </c:pt>
                <c:pt idx="1">
                  <c:v>7.6789361265981819</c:v>
                </c:pt>
                <c:pt idx="2">
                  <c:v>7.6453922116086979</c:v>
                </c:pt>
                <c:pt idx="3">
                  <c:v>7.637232505470438</c:v>
                </c:pt>
                <c:pt idx="4">
                  <c:v>7.6321387355907957</c:v>
                </c:pt>
                <c:pt idx="5">
                  <c:v>7.6284688209093705</c:v>
                </c:pt>
                <c:pt idx="6">
                  <c:v>7.6254154638087224</c:v>
                </c:pt>
                <c:pt idx="7">
                  <c:v>7.6228551008615772</c:v>
                </c:pt>
                <c:pt idx="8">
                  <c:v>7.6201913019322225</c:v>
                </c:pt>
                <c:pt idx="9">
                  <c:v>7.6183477895164042</c:v>
                </c:pt>
                <c:pt idx="10">
                  <c:v>7.6164574258348878</c:v>
                </c:pt>
                <c:pt idx="11">
                  <c:v>7.6148884869959659</c:v>
                </c:pt>
                <c:pt idx="12">
                  <c:v>7.6138244690959471</c:v>
                </c:pt>
                <c:pt idx="13">
                  <c:v>7.6126415139324566</c:v>
                </c:pt>
                <c:pt idx="14">
                  <c:v>7.6115766105524436</c:v>
                </c:pt>
                <c:pt idx="15">
                  <c:v>7.6106653163874531</c:v>
                </c:pt>
                <c:pt idx="16">
                  <c:v>7.6093753133247315</c:v>
                </c:pt>
                <c:pt idx="17">
                  <c:v>7.6092364704972946</c:v>
                </c:pt>
                <c:pt idx="18">
                  <c:v>7.6084055518135081</c:v>
                </c:pt>
                <c:pt idx="19">
                  <c:v>7.6074700789379897</c:v>
                </c:pt>
                <c:pt idx="20">
                  <c:v>7.6068642059633715</c:v>
                </c:pt>
                <c:pt idx="21">
                  <c:v>7.606462595795926</c:v>
                </c:pt>
                <c:pt idx="22">
                  <c:v>7.6059402246675161</c:v>
                </c:pt>
                <c:pt idx="23">
                  <c:v>7.6055525197345979</c:v>
                </c:pt>
                <c:pt idx="24">
                  <c:v>7.6048502233581692</c:v>
                </c:pt>
                <c:pt idx="25">
                  <c:v>7.6044533984893521</c:v>
                </c:pt>
                <c:pt idx="26">
                  <c:v>7.6040363378118192</c:v>
                </c:pt>
                <c:pt idx="27">
                  <c:v>7.6036691975901034</c:v>
                </c:pt>
                <c:pt idx="28">
                  <c:v>7.6034219878632516</c:v>
                </c:pt>
                <c:pt idx="29">
                  <c:v>7.6030062629948798</c:v>
                </c:pt>
                <c:pt idx="30">
                  <c:v>7.6029933506050655</c:v>
                </c:pt>
                <c:pt idx="31">
                  <c:v>7.6027296467184176</c:v>
                </c:pt>
                <c:pt idx="32">
                  <c:v>7.602210624521045</c:v>
                </c:pt>
                <c:pt idx="33">
                  <c:v>7.6019748213565679</c:v>
                </c:pt>
                <c:pt idx="34">
                  <c:v>7.6019259226250195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PANI_3rdPhase!$B$2:$B$197</c:f>
              <c:numCache>
                <c:formatCode>General</c:formatCode>
                <c:ptCount val="196"/>
                <c:pt idx="0">
                  <c:v>2310.3879390000002</c:v>
                </c:pt>
                <c:pt idx="1">
                  <c:v>2162.318115</c:v>
                </c:pt>
                <c:pt idx="2">
                  <c:v>2090.9885250000002</c:v>
                </c:pt>
                <c:pt idx="3">
                  <c:v>2073.9960940000001</c:v>
                </c:pt>
                <c:pt idx="4">
                  <c:v>2063.4584960000002</c:v>
                </c:pt>
                <c:pt idx="5">
                  <c:v>2055.8996579999998</c:v>
                </c:pt>
                <c:pt idx="6">
                  <c:v>2049.631836</c:v>
                </c:pt>
                <c:pt idx="7">
                  <c:v>2044.3907469999999</c:v>
                </c:pt>
                <c:pt idx="8">
                  <c:v>2038.9521480000001</c:v>
                </c:pt>
                <c:pt idx="9">
                  <c:v>2035.1967770000001</c:v>
                </c:pt>
                <c:pt idx="10">
                  <c:v>2031.353149</c:v>
                </c:pt>
                <c:pt idx="11">
                  <c:v>2028.1685789999999</c:v>
                </c:pt>
                <c:pt idx="12">
                  <c:v>2026.0117190000001</c:v>
                </c:pt>
                <c:pt idx="13">
                  <c:v>2023.6164550000001</c:v>
                </c:pt>
                <c:pt idx="14">
                  <c:v>2021.4626459999999</c:v>
                </c:pt>
                <c:pt idx="15">
                  <c:v>2019.6213379999999</c:v>
                </c:pt>
                <c:pt idx="16">
                  <c:v>2017.0177000000001</c:v>
                </c:pt>
                <c:pt idx="17">
                  <c:v>2016.7376710000001</c:v>
                </c:pt>
                <c:pt idx="18">
                  <c:v>2015.0626219999999</c:v>
                </c:pt>
                <c:pt idx="19">
                  <c:v>2013.178467</c:v>
                </c:pt>
                <c:pt idx="20">
                  <c:v>2011.959106</c:v>
                </c:pt>
                <c:pt idx="21">
                  <c:v>2011.151245</c:v>
                </c:pt>
                <c:pt idx="22">
                  <c:v>2010.100952</c:v>
                </c:pt>
                <c:pt idx="23">
                  <c:v>2009.3217770000001</c:v>
                </c:pt>
                <c:pt idx="24">
                  <c:v>2007.9111330000001</c:v>
                </c:pt>
                <c:pt idx="25">
                  <c:v>2007.1145019999999</c:v>
                </c:pt>
                <c:pt idx="26">
                  <c:v>2006.2775879999999</c:v>
                </c:pt>
                <c:pt idx="27">
                  <c:v>2005.541138</c:v>
                </c:pt>
                <c:pt idx="28">
                  <c:v>2005.0454099999999</c:v>
                </c:pt>
                <c:pt idx="29">
                  <c:v>2004.2120359999999</c:v>
                </c:pt>
                <c:pt idx="30">
                  <c:v>2004.1861570000001</c:v>
                </c:pt>
                <c:pt idx="31">
                  <c:v>2003.6577150000001</c:v>
                </c:pt>
                <c:pt idx="32">
                  <c:v>2002.6180420000001</c:v>
                </c:pt>
                <c:pt idx="33">
                  <c:v>2002.145874</c:v>
                </c:pt>
                <c:pt idx="34">
                  <c:v>2002.0479740000001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340265450943767"/>
                  <c:y val="-1.8758019830854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PANI_3rdPhase!$H$5:$H$21</c:f>
              <c:numCache>
                <c:formatCode>General</c:formatCode>
                <c:ptCount val="17"/>
                <c:pt idx="0">
                  <c:v>4.1912234200982832</c:v>
                </c:pt>
                <c:pt idx="1">
                  <c:v>4.0175717913620153</c:v>
                </c:pt>
                <c:pt idx="2">
                  <c:v>3.8713505413943139</c:v>
                </c:pt>
                <c:pt idx="3">
                  <c:v>3.7314444726847973</c:v>
                </c:pt>
                <c:pt idx="4">
                  <c:v>3.5972647800092044</c:v>
                </c:pt>
                <c:pt idx="5">
                  <c:v>3.4359101286743634</c:v>
                </c:pt>
                <c:pt idx="6">
                  <c:v>3.3070440890723534</c:v>
                </c:pt>
                <c:pt idx="7">
                  <c:v>3.1553253594427813</c:v>
                </c:pt>
                <c:pt idx="8">
                  <c:v>3.0094428032180258</c:v>
                </c:pt>
                <c:pt idx="9">
                  <c:v>2.8969743019404128</c:v>
                </c:pt>
                <c:pt idx="10">
                  <c:v>2.7551866176321296</c:v>
                </c:pt>
                <c:pt idx="11">
                  <c:v>2.6078737066385722</c:v>
                </c:pt>
                <c:pt idx="12">
                  <c:v>2.462052300722108</c:v>
                </c:pt>
                <c:pt idx="13">
                  <c:v>2.2110420087669787</c:v>
                </c:pt>
                <c:pt idx="14">
                  <c:v>2.1798739214995839</c:v>
                </c:pt>
                <c:pt idx="15">
                  <c:v>1.96992545915739</c:v>
                </c:pt>
                <c:pt idx="16">
                  <c:v>1.665059356852546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A-42E7-94F0-D1564AF4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PANI_3rdPhase!$F$2:$F$26</c:f>
              <c:numCache>
                <c:formatCode>General</c:formatCode>
                <c:ptCount val="25"/>
                <c:pt idx="0">
                  <c:v>302.49545900000021</c:v>
                </c:pt>
                <c:pt idx="1">
                  <c:v>154.42563500000006</c:v>
                </c:pt>
                <c:pt idx="2">
                  <c:v>83.096045000000231</c:v>
                </c:pt>
                <c:pt idx="3">
                  <c:v>66.103614000000107</c:v>
                </c:pt>
                <c:pt idx="4">
                  <c:v>55.566016000000218</c:v>
                </c:pt>
                <c:pt idx="5">
                  <c:v>48.00717799999984</c:v>
                </c:pt>
                <c:pt idx="6">
                  <c:v>41.739356000000043</c:v>
                </c:pt>
                <c:pt idx="7">
                  <c:v>36.498266999999942</c:v>
                </c:pt>
                <c:pt idx="8">
                  <c:v>31.059668000000102</c:v>
                </c:pt>
                <c:pt idx="9">
                  <c:v>27.304297000000133</c:v>
                </c:pt>
                <c:pt idx="10">
                  <c:v>23.460669000000053</c:v>
                </c:pt>
                <c:pt idx="11">
                  <c:v>20.276098999999931</c:v>
                </c:pt>
                <c:pt idx="12">
                  <c:v>18.119239000000107</c:v>
                </c:pt>
                <c:pt idx="13">
                  <c:v>15.72397500000011</c:v>
                </c:pt>
                <c:pt idx="14">
                  <c:v>13.570165999999972</c:v>
                </c:pt>
                <c:pt idx="15">
                  <c:v>11.728857999999946</c:v>
                </c:pt>
                <c:pt idx="16">
                  <c:v>9.1252200000001267</c:v>
                </c:pt>
                <c:pt idx="17">
                  <c:v>8.8451910000001135</c:v>
                </c:pt>
                <c:pt idx="18">
                  <c:v>7.1701419999999416</c:v>
                </c:pt>
                <c:pt idx="19">
                  <c:v>5.2859869999999773</c:v>
                </c:pt>
                <c:pt idx="20">
                  <c:v>4.066626000000042</c:v>
                </c:pt>
                <c:pt idx="21">
                  <c:v>3.2587650000000394</c:v>
                </c:pt>
                <c:pt idx="22">
                  <c:v>2.2084720000000289</c:v>
                </c:pt>
                <c:pt idx="23">
                  <c:v>1.4292970000001333</c:v>
                </c:pt>
                <c:pt idx="24">
                  <c:v>1.865300000008574E-2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D-49B1-B5BC-976EC21E5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552450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77010</xdr:rowOff>
    </xdr:from>
    <xdr:to>
      <xdr:col>15</xdr:col>
      <xdr:colOff>561975</xdr:colOff>
      <xdr:row>34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552450</xdr:colOff>
      <xdr:row>6</xdr:row>
      <xdr:rowOff>0</xdr:rowOff>
    </xdr:from>
    <xdr:to>
      <xdr:col>21</xdr:col>
      <xdr:colOff>198905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552682</xdr:colOff>
      <xdr:row>20</xdr:row>
      <xdr:rowOff>76432</xdr:rowOff>
    </xdr:from>
    <xdr:to>
      <xdr:col>21</xdr:col>
      <xdr:colOff>199137</xdr:colOff>
      <xdr:row>34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15</xdr:col>
      <xdr:colOff>710790</xdr:colOff>
      <xdr:row>53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53</xdr:row>
      <xdr:rowOff>79156</xdr:rowOff>
    </xdr:from>
    <xdr:to>
      <xdr:col>15</xdr:col>
      <xdr:colOff>713746</xdr:colOff>
      <xdr:row>67</xdr:row>
      <xdr:rowOff>155356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866</xdr:colOff>
      <xdr:row>20</xdr:row>
      <xdr:rowOff>77066</xdr:rowOff>
    </xdr:from>
    <xdr:to>
      <xdr:col>16</xdr:col>
      <xdr:colOff>250758</xdr:colOff>
      <xdr:row>34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250069</xdr:colOff>
      <xdr:row>6</xdr:row>
      <xdr:rowOff>0</xdr:rowOff>
    </xdr:from>
    <xdr:to>
      <xdr:col>22</xdr:col>
      <xdr:colOff>253431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249568</xdr:colOff>
      <xdr:row>20</xdr:row>
      <xdr:rowOff>75698</xdr:rowOff>
    </xdr:from>
    <xdr:to>
      <xdr:col>22</xdr:col>
      <xdr:colOff>252930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16</xdr:col>
      <xdr:colOff>251349</xdr:colOff>
      <xdr:row>52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52</xdr:row>
      <xdr:rowOff>79156</xdr:rowOff>
    </xdr:from>
    <xdr:to>
      <xdr:col>16</xdr:col>
      <xdr:colOff>254305</xdr:colOff>
      <xdr:row>66</xdr:row>
      <xdr:rowOff>155356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552450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760639</xdr:colOff>
      <xdr:row>20</xdr:row>
      <xdr:rowOff>69396</xdr:rowOff>
    </xdr:from>
    <xdr:to>
      <xdr:col>15</xdr:col>
      <xdr:colOff>551089</xdr:colOff>
      <xdr:row>34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549729</xdr:colOff>
      <xdr:row>5</xdr:row>
      <xdr:rowOff>185057</xdr:rowOff>
    </xdr:from>
    <xdr:to>
      <xdr:col>21</xdr:col>
      <xdr:colOff>194823</xdr:colOff>
      <xdr:row>20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548368</xdr:colOff>
      <xdr:row>20</xdr:row>
      <xdr:rowOff>69396</xdr:rowOff>
    </xdr:from>
    <xdr:to>
      <xdr:col>21</xdr:col>
      <xdr:colOff>193462</xdr:colOff>
      <xdr:row>34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15</xdr:col>
      <xdr:colOff>719594</xdr:colOff>
      <xdr:row>51</xdr:row>
      <xdr:rowOff>76200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51</xdr:row>
      <xdr:rowOff>79156</xdr:rowOff>
    </xdr:from>
    <xdr:to>
      <xdr:col>15</xdr:col>
      <xdr:colOff>722550</xdr:colOff>
      <xdr:row>65</xdr:row>
      <xdr:rowOff>155356</xdr:rowOff>
    </xdr:to>
    <xdr:graphicFrame macro="">
      <xdr:nvGraphicFramePr>
        <xdr:cNvPr id="11" name="Graphique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761499</xdr:colOff>
      <xdr:row>20</xdr:row>
      <xdr:rowOff>75698</xdr:rowOff>
    </xdr:from>
    <xdr:to>
      <xdr:col>16</xdr:col>
      <xdr:colOff>249391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250069</xdr:colOff>
      <xdr:row>6</xdr:row>
      <xdr:rowOff>0</xdr:rowOff>
    </xdr:from>
    <xdr:to>
      <xdr:col>22</xdr:col>
      <xdr:colOff>253431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249568</xdr:colOff>
      <xdr:row>20</xdr:row>
      <xdr:rowOff>75698</xdr:rowOff>
    </xdr:from>
    <xdr:to>
      <xdr:col>22</xdr:col>
      <xdr:colOff>252930</xdr:colOff>
      <xdr:row>34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16</xdr:col>
      <xdr:colOff>243344</xdr:colOff>
      <xdr:row>52</xdr:row>
      <xdr:rowOff>76200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52</xdr:row>
      <xdr:rowOff>79156</xdr:rowOff>
    </xdr:from>
    <xdr:to>
      <xdr:col>16</xdr:col>
      <xdr:colOff>246300</xdr:colOff>
      <xdr:row>66</xdr:row>
      <xdr:rowOff>155356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4329</xdr:colOff>
      <xdr:row>6</xdr:row>
      <xdr:rowOff>4330</xdr:rowOff>
    </xdr:from>
    <xdr:to>
      <xdr:col>15</xdr:col>
      <xdr:colOff>556779</xdr:colOff>
      <xdr:row>20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757670</xdr:colOff>
      <xdr:row>20</xdr:row>
      <xdr:rowOff>71871</xdr:rowOff>
    </xdr:from>
    <xdr:to>
      <xdr:col>15</xdr:col>
      <xdr:colOff>548120</xdr:colOff>
      <xdr:row>34</xdr:row>
      <xdr:rowOff>148071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37</xdr:row>
      <xdr:rowOff>0</xdr:rowOff>
    </xdr:from>
    <xdr:to>
      <xdr:col>15</xdr:col>
      <xdr:colOff>719593</xdr:colOff>
      <xdr:row>51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2955</xdr:colOff>
      <xdr:row>51</xdr:row>
      <xdr:rowOff>79156</xdr:rowOff>
    </xdr:from>
    <xdr:to>
      <xdr:col>15</xdr:col>
      <xdr:colOff>722549</xdr:colOff>
      <xdr:row>65</xdr:row>
      <xdr:rowOff>155356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2956</xdr:colOff>
      <xdr:row>20</xdr:row>
      <xdr:rowOff>79156</xdr:rowOff>
    </xdr:from>
    <xdr:to>
      <xdr:col>16</xdr:col>
      <xdr:colOff>252848</xdr:colOff>
      <xdr:row>34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37</xdr:row>
      <xdr:rowOff>0</xdr:rowOff>
    </xdr:from>
    <xdr:to>
      <xdr:col>16</xdr:col>
      <xdr:colOff>249891</xdr:colOff>
      <xdr:row>51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2955</xdr:colOff>
      <xdr:row>51</xdr:row>
      <xdr:rowOff>79156</xdr:rowOff>
    </xdr:from>
    <xdr:to>
      <xdr:col>16</xdr:col>
      <xdr:colOff>252847</xdr:colOff>
      <xdr:row>65</xdr:row>
      <xdr:rowOff>155356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9"/>
  <sheetViews>
    <sheetView zoomScale="85" zoomScaleNormal="85" workbookViewId="0">
      <selection activeCell="R4" sqref="R4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7" max="7" width="8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6.7109375" customWidth="1"/>
    <col min="18" max="18" width="9.42578125" bestFit="1" customWidth="1"/>
    <col min="26" max="26" width="23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2122.9262699999999</v>
      </c>
      <c r="C2">
        <v>-18.802696000000001</v>
      </c>
      <c r="D2" t="s">
        <v>28</v>
      </c>
      <c r="E2">
        <f t="shared" ref="E2:E65" si="0">B2-$P$3</f>
        <v>644.92626999999993</v>
      </c>
      <c r="F2">
        <f>E2-$R$3</f>
        <v>231.14098999999993</v>
      </c>
      <c r="G2">
        <v>50</v>
      </c>
      <c r="H2">
        <f>LN(F2)</f>
        <v>5.4430278706565787</v>
      </c>
      <c r="I2">
        <f>LN(B2)</f>
        <v>7.6605507319433315</v>
      </c>
      <c r="L2" s="1" t="s">
        <v>0</v>
      </c>
      <c r="M2" s="1" t="s">
        <v>1</v>
      </c>
      <c r="P2" t="s">
        <v>14</v>
      </c>
      <c r="R2" t="s">
        <v>15</v>
      </c>
    </row>
    <row r="3" spans="1:18" x14ac:dyDescent="0.25">
      <c r="A3">
        <v>1000</v>
      </c>
      <c r="B3">
        <v>2119.203125</v>
      </c>
      <c r="C3">
        <v>-18.649439000000001</v>
      </c>
      <c r="D3" t="s">
        <v>29</v>
      </c>
      <c r="E3">
        <f t="shared" si="0"/>
        <v>641.203125</v>
      </c>
      <c r="F3">
        <f t="shared" ref="F3:F66" si="1">E3-$R$3</f>
        <v>227.417845</v>
      </c>
      <c r="G3">
        <v>60</v>
      </c>
      <c r="H3">
        <f t="shared" ref="H3:H66" si="2">LN(F3)</f>
        <v>5.4267890522920377</v>
      </c>
      <c r="I3">
        <f t="shared" ref="I3:I66" si="3">LN(B3)</f>
        <v>7.6587954125698339</v>
      </c>
      <c r="K3" t="s">
        <v>2</v>
      </c>
      <c r="L3">
        <f>1/(0.00008)</f>
        <v>12499.999999999998</v>
      </c>
      <c r="M3">
        <f>1/(0.00009)</f>
        <v>11111.111111111111</v>
      </c>
      <c r="N3" s="3" t="s">
        <v>3</v>
      </c>
      <c r="P3">
        <v>1478</v>
      </c>
      <c r="R3" s="4">
        <v>413.78528</v>
      </c>
    </row>
    <row r="4" spans="1:18" x14ac:dyDescent="0.25">
      <c r="A4">
        <v>1000</v>
      </c>
      <c r="B4">
        <v>2115.4089359999998</v>
      </c>
      <c r="C4">
        <v>-18.522385</v>
      </c>
      <c r="D4" t="s">
        <v>30</v>
      </c>
      <c r="E4">
        <f t="shared" si="0"/>
        <v>637.40893599999981</v>
      </c>
      <c r="F4">
        <f t="shared" si="1"/>
        <v>223.62365599999981</v>
      </c>
      <c r="G4">
        <v>70</v>
      </c>
      <c r="H4">
        <f t="shared" si="2"/>
        <v>5.4099645317493348</v>
      </c>
      <c r="I4">
        <f t="shared" si="3"/>
        <v>7.6570034231452171</v>
      </c>
      <c r="L4">
        <f>L3/60</f>
        <v>208.33333333333331</v>
      </c>
      <c r="M4">
        <f>M3/60</f>
        <v>185.18518518518519</v>
      </c>
      <c r="N4" s="3" t="s">
        <v>4</v>
      </c>
    </row>
    <row r="5" spans="1:18" x14ac:dyDescent="0.25">
      <c r="A5">
        <v>1000</v>
      </c>
      <c r="B5">
        <v>2112.3813479999999</v>
      </c>
      <c r="C5">
        <v>-18.460611</v>
      </c>
      <c r="D5" t="s">
        <v>31</v>
      </c>
      <c r="E5">
        <f t="shared" si="0"/>
        <v>634.38134799999989</v>
      </c>
      <c r="F5">
        <f t="shared" si="1"/>
        <v>220.59606799999989</v>
      </c>
      <c r="G5">
        <v>80</v>
      </c>
      <c r="H5">
        <f t="shared" si="2"/>
        <v>5.3963332825445027</v>
      </c>
      <c r="I5">
        <f t="shared" si="3"/>
        <v>7.6555711910267057</v>
      </c>
      <c r="L5">
        <f>L4/60</f>
        <v>3.4722222222222219</v>
      </c>
      <c r="M5">
        <f>M4/60</f>
        <v>3.0864197530864197</v>
      </c>
      <c r="N5" s="3" t="s">
        <v>5</v>
      </c>
    </row>
    <row r="6" spans="1:18" x14ac:dyDescent="0.25">
      <c r="A6">
        <v>1000</v>
      </c>
      <c r="B6">
        <v>2109.8793949999999</v>
      </c>
      <c r="C6">
        <v>-18.377174</v>
      </c>
      <c r="D6" t="s">
        <v>32</v>
      </c>
      <c r="E6">
        <f t="shared" si="0"/>
        <v>631.87939499999993</v>
      </c>
      <c r="F6">
        <f t="shared" si="1"/>
        <v>218.09411499999993</v>
      </c>
      <c r="G6">
        <v>90</v>
      </c>
      <c r="H6">
        <f t="shared" si="2"/>
        <v>5.3849266898082293</v>
      </c>
      <c r="I6">
        <f t="shared" si="3"/>
        <v>7.6543860660687146</v>
      </c>
    </row>
    <row r="7" spans="1:18" x14ac:dyDescent="0.25">
      <c r="A7">
        <v>1000</v>
      </c>
      <c r="B7">
        <v>2105.8591310000002</v>
      </c>
      <c r="C7">
        <v>-18.246378</v>
      </c>
      <c r="D7" t="s">
        <v>33</v>
      </c>
      <c r="E7">
        <f t="shared" si="0"/>
        <v>627.85913100000016</v>
      </c>
      <c r="F7">
        <f t="shared" si="1"/>
        <v>214.07385100000016</v>
      </c>
      <c r="G7">
        <v>100</v>
      </c>
      <c r="H7">
        <f t="shared" si="2"/>
        <v>5.3663210536200294</v>
      </c>
      <c r="I7">
        <f t="shared" si="3"/>
        <v>7.6524788010930047</v>
      </c>
    </row>
    <row r="8" spans="1:18" x14ac:dyDescent="0.25">
      <c r="A8">
        <v>1000</v>
      </c>
      <c r="B8">
        <v>2104.2700199999999</v>
      </c>
      <c r="C8">
        <v>-18.232140999999999</v>
      </c>
      <c r="D8" t="s">
        <v>34</v>
      </c>
      <c r="E8">
        <f t="shared" si="0"/>
        <v>626.27001999999993</v>
      </c>
      <c r="F8">
        <f t="shared" si="1"/>
        <v>212.48473999999993</v>
      </c>
      <c r="G8">
        <v>110</v>
      </c>
      <c r="H8">
        <f t="shared" si="2"/>
        <v>5.3588701740211775</v>
      </c>
      <c r="I8">
        <f t="shared" si="3"/>
        <v>7.6517239021250774</v>
      </c>
    </row>
    <row r="9" spans="1:18" x14ac:dyDescent="0.25">
      <c r="A9">
        <v>1000</v>
      </c>
      <c r="B9">
        <v>2102.056885</v>
      </c>
      <c r="C9">
        <v>-18.150808000000001</v>
      </c>
      <c r="D9" t="s">
        <v>35</v>
      </c>
      <c r="E9">
        <f t="shared" si="0"/>
        <v>624.05688499999997</v>
      </c>
      <c r="F9">
        <f t="shared" si="1"/>
        <v>210.27160499999997</v>
      </c>
      <c r="G9">
        <v>120</v>
      </c>
      <c r="H9">
        <f t="shared" si="2"/>
        <v>5.3484000521944415</v>
      </c>
      <c r="I9">
        <f t="shared" si="3"/>
        <v>7.6506716133923165</v>
      </c>
    </row>
    <row r="10" spans="1:18" x14ac:dyDescent="0.25">
      <c r="A10">
        <v>1000</v>
      </c>
      <c r="B10">
        <v>2098.9270019999999</v>
      </c>
      <c r="C10">
        <v>-18.056334</v>
      </c>
      <c r="D10" t="s">
        <v>36</v>
      </c>
      <c r="E10">
        <f t="shared" si="0"/>
        <v>620.9270019999999</v>
      </c>
      <c r="F10">
        <f t="shared" si="1"/>
        <v>207.1417219999999</v>
      </c>
      <c r="G10">
        <v>130</v>
      </c>
      <c r="H10">
        <f t="shared" si="2"/>
        <v>5.3334032063442907</v>
      </c>
      <c r="I10">
        <f t="shared" si="3"/>
        <v>7.64918154170278</v>
      </c>
    </row>
    <row r="11" spans="1:18" x14ac:dyDescent="0.25">
      <c r="A11">
        <v>1000</v>
      </c>
      <c r="B11">
        <v>2095.6994629999999</v>
      </c>
      <c r="C11">
        <v>-17.969017000000001</v>
      </c>
      <c r="D11" t="s">
        <v>37</v>
      </c>
      <c r="E11">
        <f t="shared" si="0"/>
        <v>617.69946299999992</v>
      </c>
      <c r="F11">
        <f t="shared" si="1"/>
        <v>203.91418299999992</v>
      </c>
      <c r="G11">
        <v>140</v>
      </c>
      <c r="H11">
        <f t="shared" si="2"/>
        <v>5.3176992337684821</v>
      </c>
      <c r="I11">
        <f t="shared" si="3"/>
        <v>7.6476426491868992</v>
      </c>
    </row>
    <row r="12" spans="1:18" x14ac:dyDescent="0.25">
      <c r="A12">
        <v>1000</v>
      </c>
      <c r="B12">
        <v>2092.4433589999999</v>
      </c>
      <c r="C12">
        <v>-17.842358000000001</v>
      </c>
      <c r="D12" t="s">
        <v>38</v>
      </c>
      <c r="E12">
        <f t="shared" si="0"/>
        <v>614.44335899999987</v>
      </c>
      <c r="F12">
        <f t="shared" si="1"/>
        <v>200.65807899999987</v>
      </c>
      <c r="G12">
        <v>150</v>
      </c>
      <c r="H12">
        <f t="shared" si="2"/>
        <v>5.3016023600438862</v>
      </c>
      <c r="I12">
        <f t="shared" si="3"/>
        <v>7.646087733419014</v>
      </c>
    </row>
    <row r="13" spans="1:18" x14ac:dyDescent="0.25">
      <c r="A13">
        <v>1000</v>
      </c>
      <c r="B13">
        <v>2088.4584960000002</v>
      </c>
      <c r="C13">
        <v>-17.718596000000002</v>
      </c>
      <c r="D13" t="s">
        <v>39</v>
      </c>
      <c r="E13">
        <f t="shared" si="0"/>
        <v>610.4584960000002</v>
      </c>
      <c r="F13">
        <f t="shared" si="1"/>
        <v>196.6732160000002</v>
      </c>
      <c r="G13">
        <v>160</v>
      </c>
      <c r="H13">
        <f t="shared" si="2"/>
        <v>5.2815435493720821</v>
      </c>
      <c r="I13">
        <f t="shared" si="3"/>
        <v>7.6441815111039038</v>
      </c>
    </row>
    <row r="14" spans="1:18" x14ac:dyDescent="0.25">
      <c r="A14">
        <v>1000</v>
      </c>
      <c r="B14">
        <v>2084.6674800000001</v>
      </c>
      <c r="C14">
        <v>-17.596485000000001</v>
      </c>
      <c r="D14" t="s">
        <v>40</v>
      </c>
      <c r="E14">
        <f t="shared" si="0"/>
        <v>606.66748000000007</v>
      </c>
      <c r="F14">
        <f t="shared" si="1"/>
        <v>192.88220000000007</v>
      </c>
      <c r="G14">
        <v>170</v>
      </c>
      <c r="H14">
        <f t="shared" si="2"/>
        <v>5.2620796398634457</v>
      </c>
      <c r="I14">
        <f t="shared" si="3"/>
        <v>7.6423646394999043</v>
      </c>
    </row>
    <row r="15" spans="1:18" x14ac:dyDescent="0.25">
      <c r="A15">
        <v>1000</v>
      </c>
      <c r="B15">
        <v>2080.9260250000002</v>
      </c>
      <c r="C15">
        <v>-17.463514</v>
      </c>
      <c r="D15" t="s">
        <v>41</v>
      </c>
      <c r="E15">
        <f t="shared" si="0"/>
        <v>602.92602500000021</v>
      </c>
      <c r="F15">
        <f t="shared" si="1"/>
        <v>189.14074500000021</v>
      </c>
      <c r="G15">
        <v>180</v>
      </c>
      <c r="H15">
        <f t="shared" si="2"/>
        <v>5.2424914204608619</v>
      </c>
      <c r="I15">
        <f t="shared" si="3"/>
        <v>7.6405682779482449</v>
      </c>
    </row>
    <row r="16" spans="1:18" x14ac:dyDescent="0.25">
      <c r="A16">
        <v>1000</v>
      </c>
      <c r="B16">
        <v>2077.6218260000001</v>
      </c>
      <c r="C16">
        <v>-17.404173</v>
      </c>
      <c r="D16" t="s">
        <v>42</v>
      </c>
      <c r="E16">
        <f t="shared" si="0"/>
        <v>599.62182600000006</v>
      </c>
      <c r="F16">
        <f t="shared" si="1"/>
        <v>185.83654600000006</v>
      </c>
      <c r="G16">
        <v>190</v>
      </c>
      <c r="H16">
        <f t="shared" si="2"/>
        <v>5.2248675024091069</v>
      </c>
      <c r="I16">
        <f t="shared" si="3"/>
        <v>7.6389791656841934</v>
      </c>
    </row>
    <row r="17" spans="1:9" x14ac:dyDescent="0.25">
      <c r="A17">
        <v>1000</v>
      </c>
      <c r="B17">
        <v>2077.2211910000001</v>
      </c>
      <c r="C17">
        <v>-17.395907999999999</v>
      </c>
      <c r="D17" t="s">
        <v>43</v>
      </c>
      <c r="E17">
        <f t="shared" si="0"/>
        <v>599.22119100000009</v>
      </c>
      <c r="F17">
        <f t="shared" si="1"/>
        <v>185.43591100000009</v>
      </c>
      <c r="G17">
        <v>200</v>
      </c>
      <c r="H17">
        <f t="shared" si="2"/>
        <v>5.2227093290894873</v>
      </c>
      <c r="I17">
        <f t="shared" si="3"/>
        <v>7.6387863136319725</v>
      </c>
    </row>
    <row r="18" spans="1:9" x14ac:dyDescent="0.25">
      <c r="A18">
        <v>1000</v>
      </c>
      <c r="B18">
        <v>2077.2136230000001</v>
      </c>
      <c r="C18">
        <v>-17.458841</v>
      </c>
      <c r="D18" t="s">
        <v>44</v>
      </c>
      <c r="E18">
        <f t="shared" si="0"/>
        <v>599.2136230000001</v>
      </c>
      <c r="F18">
        <f t="shared" si="1"/>
        <v>185.4283430000001</v>
      </c>
      <c r="G18">
        <v>210</v>
      </c>
      <c r="H18">
        <f t="shared" si="2"/>
        <v>5.2226685163127406</v>
      </c>
      <c r="I18">
        <f t="shared" si="3"/>
        <v>7.6387826702964343</v>
      </c>
    </row>
    <row r="19" spans="1:9" x14ac:dyDescent="0.25">
      <c r="A19">
        <v>1000</v>
      </c>
      <c r="B19">
        <v>2074.1940920000002</v>
      </c>
      <c r="C19">
        <v>-17.419622</v>
      </c>
      <c r="D19" t="s">
        <v>45</v>
      </c>
      <c r="E19">
        <f t="shared" si="0"/>
        <v>596.19409200000018</v>
      </c>
      <c r="F19">
        <f t="shared" si="1"/>
        <v>182.40881200000018</v>
      </c>
      <c r="G19">
        <v>220</v>
      </c>
      <c r="H19">
        <f t="shared" si="2"/>
        <v>5.206250387876783</v>
      </c>
      <c r="I19">
        <f t="shared" si="3"/>
        <v>7.6373279678245112</v>
      </c>
    </row>
    <row r="20" spans="1:9" x14ac:dyDescent="0.25">
      <c r="A20">
        <v>1000</v>
      </c>
      <c r="B20">
        <v>2072.4716800000001</v>
      </c>
      <c r="C20">
        <v>-17.313016999999999</v>
      </c>
      <c r="D20" t="s">
        <v>46</v>
      </c>
      <c r="E20">
        <f t="shared" si="0"/>
        <v>594.47168000000011</v>
      </c>
      <c r="F20">
        <f t="shared" si="1"/>
        <v>180.68640000000011</v>
      </c>
      <c r="G20">
        <v>230</v>
      </c>
      <c r="H20">
        <f t="shared" si="2"/>
        <v>5.1967629318991619</v>
      </c>
      <c r="I20">
        <f t="shared" si="3"/>
        <v>7.6364972222598757</v>
      </c>
    </row>
    <row r="21" spans="1:9" x14ac:dyDescent="0.25">
      <c r="A21">
        <v>1000</v>
      </c>
      <c r="B21">
        <v>2070.5285640000002</v>
      </c>
      <c r="C21">
        <v>-17.276326999999998</v>
      </c>
      <c r="D21" t="s">
        <v>47</v>
      </c>
      <c r="E21">
        <f t="shared" si="0"/>
        <v>592.52856400000019</v>
      </c>
      <c r="F21">
        <f t="shared" si="1"/>
        <v>178.74328400000019</v>
      </c>
      <c r="G21">
        <v>240</v>
      </c>
      <c r="H21">
        <f t="shared" si="2"/>
        <v>5.1859506088403</v>
      </c>
      <c r="I21">
        <f t="shared" si="3"/>
        <v>7.6355591985919835</v>
      </c>
    </row>
    <row r="22" spans="1:9" x14ac:dyDescent="0.25">
      <c r="A22">
        <v>1000</v>
      </c>
      <c r="B22">
        <v>2067.8991700000001</v>
      </c>
      <c r="C22">
        <v>-17.176645000000001</v>
      </c>
      <c r="D22" t="s">
        <v>48</v>
      </c>
      <c r="E22">
        <f t="shared" si="0"/>
        <v>589.89917000000014</v>
      </c>
      <c r="F22">
        <f t="shared" si="1"/>
        <v>176.11389000000014</v>
      </c>
      <c r="G22">
        <v>250</v>
      </c>
      <c r="H22">
        <f t="shared" si="2"/>
        <v>5.1711308880304836</v>
      </c>
      <c r="I22">
        <f t="shared" si="3"/>
        <v>7.6342884771862618</v>
      </c>
    </row>
    <row r="23" spans="1:9" x14ac:dyDescent="0.25">
      <c r="A23">
        <v>1000</v>
      </c>
      <c r="B23">
        <v>2064.8229980000001</v>
      </c>
      <c r="C23">
        <v>-17.124476999999999</v>
      </c>
      <c r="D23" t="s">
        <v>49</v>
      </c>
      <c r="E23">
        <f t="shared" si="0"/>
        <v>586.8229980000001</v>
      </c>
      <c r="F23">
        <f t="shared" si="1"/>
        <v>173.0377180000001</v>
      </c>
      <c r="G23">
        <v>260</v>
      </c>
      <c r="H23">
        <f t="shared" si="2"/>
        <v>5.1535095938555804</v>
      </c>
      <c r="I23">
        <f t="shared" si="3"/>
        <v>7.6327997864671335</v>
      </c>
    </row>
    <row r="24" spans="1:9" x14ac:dyDescent="0.25">
      <c r="A24">
        <v>1000</v>
      </c>
      <c r="B24">
        <v>2062.4038089999999</v>
      </c>
      <c r="C24">
        <v>-17.031969</v>
      </c>
      <c r="D24" t="s">
        <v>50</v>
      </c>
      <c r="E24">
        <f t="shared" si="0"/>
        <v>584.40380899999991</v>
      </c>
      <c r="F24">
        <f t="shared" si="1"/>
        <v>170.61852899999991</v>
      </c>
      <c r="G24">
        <v>270</v>
      </c>
      <c r="H24">
        <f t="shared" si="2"/>
        <v>5.1394302399453169</v>
      </c>
      <c r="I24">
        <f t="shared" si="3"/>
        <v>7.6316274790606418</v>
      </c>
    </row>
    <row r="25" spans="1:9" x14ac:dyDescent="0.25">
      <c r="A25">
        <v>1000</v>
      </c>
      <c r="B25">
        <v>2060.0107419999999</v>
      </c>
      <c r="C25">
        <v>-16.964884000000001</v>
      </c>
      <c r="D25" t="s">
        <v>51</v>
      </c>
      <c r="E25">
        <f t="shared" si="0"/>
        <v>582.01074199999994</v>
      </c>
      <c r="F25">
        <f t="shared" si="1"/>
        <v>168.22546199999994</v>
      </c>
      <c r="G25">
        <v>280</v>
      </c>
      <c r="H25">
        <f t="shared" si="2"/>
        <v>5.1253051153925009</v>
      </c>
      <c r="I25">
        <f t="shared" si="3"/>
        <v>7.6304664763331376</v>
      </c>
    </row>
    <row r="26" spans="1:9" x14ac:dyDescent="0.25">
      <c r="A26">
        <v>1000</v>
      </c>
      <c r="B26">
        <v>2057.1125489999999</v>
      </c>
      <c r="C26">
        <v>-16.886309000000001</v>
      </c>
      <c r="D26" t="s">
        <v>52</v>
      </c>
      <c r="E26">
        <f t="shared" si="0"/>
        <v>579.11254899999994</v>
      </c>
      <c r="F26">
        <f t="shared" si="1"/>
        <v>165.32726899999994</v>
      </c>
      <c r="G26">
        <v>290</v>
      </c>
      <c r="H26">
        <f t="shared" si="2"/>
        <v>5.1079269579486271</v>
      </c>
      <c r="I26">
        <f t="shared" si="3"/>
        <v>7.6290586032752454</v>
      </c>
    </row>
    <row r="27" spans="1:9" x14ac:dyDescent="0.25">
      <c r="A27">
        <v>1000</v>
      </c>
      <c r="B27">
        <v>2054.8911130000001</v>
      </c>
      <c r="C27">
        <v>-16.809508999999998</v>
      </c>
      <c r="D27" t="s">
        <v>53</v>
      </c>
      <c r="E27">
        <f t="shared" si="0"/>
        <v>576.89111300000013</v>
      </c>
      <c r="F27">
        <f t="shared" si="1"/>
        <v>163.10583300000013</v>
      </c>
      <c r="G27">
        <v>300</v>
      </c>
      <c r="H27">
        <f t="shared" si="2"/>
        <v>5.0943992723228533</v>
      </c>
      <c r="I27">
        <f t="shared" si="3"/>
        <v>7.6279781391518116</v>
      </c>
    </row>
    <row r="28" spans="1:9" x14ac:dyDescent="0.25">
      <c r="A28">
        <v>1000</v>
      </c>
      <c r="B28">
        <v>2052.8632809999999</v>
      </c>
      <c r="C28">
        <v>-16.751439999999999</v>
      </c>
      <c r="D28" t="s">
        <v>54</v>
      </c>
      <c r="E28">
        <f t="shared" si="0"/>
        <v>574.86328099999992</v>
      </c>
      <c r="F28">
        <f t="shared" si="1"/>
        <v>161.07800099999992</v>
      </c>
      <c r="G28">
        <v>310</v>
      </c>
      <c r="H28">
        <f t="shared" si="2"/>
        <v>5.0818887259236307</v>
      </c>
      <c r="I28">
        <f t="shared" si="3"/>
        <v>7.6269908200619998</v>
      </c>
    </row>
    <row r="29" spans="1:9" x14ac:dyDescent="0.25">
      <c r="A29">
        <v>1000</v>
      </c>
      <c r="B29">
        <v>2049.7561040000001</v>
      </c>
      <c r="C29">
        <v>-16.666758999999999</v>
      </c>
      <c r="D29" t="s">
        <v>55</v>
      </c>
      <c r="E29">
        <f t="shared" si="0"/>
        <v>571.75610400000005</v>
      </c>
      <c r="F29">
        <f t="shared" si="1"/>
        <v>157.97082400000005</v>
      </c>
      <c r="G29">
        <v>320</v>
      </c>
      <c r="H29">
        <f t="shared" si="2"/>
        <v>5.0624103577476891</v>
      </c>
      <c r="I29">
        <f t="shared" si="3"/>
        <v>7.6254760913959903</v>
      </c>
    </row>
    <row r="30" spans="1:9" x14ac:dyDescent="0.25">
      <c r="A30">
        <v>1000</v>
      </c>
      <c r="B30">
        <v>2048.289307</v>
      </c>
      <c r="C30">
        <v>-16.611405999999999</v>
      </c>
      <c r="D30" t="s">
        <v>56</v>
      </c>
      <c r="E30">
        <f t="shared" si="0"/>
        <v>570.28930700000001</v>
      </c>
      <c r="F30">
        <f t="shared" si="1"/>
        <v>156.50402700000001</v>
      </c>
      <c r="G30">
        <v>330</v>
      </c>
      <c r="H30">
        <f t="shared" si="2"/>
        <v>5.0530817412785485</v>
      </c>
      <c r="I30">
        <f t="shared" si="3"/>
        <v>7.6247602393662879</v>
      </c>
    </row>
    <row r="31" spans="1:9" x14ac:dyDescent="0.25">
      <c r="A31">
        <v>1000</v>
      </c>
      <c r="B31">
        <v>2044.7392580000001</v>
      </c>
      <c r="C31">
        <v>-16.511071999999999</v>
      </c>
      <c r="D31" t="s">
        <v>57</v>
      </c>
      <c r="E31">
        <f t="shared" si="0"/>
        <v>566.73925800000006</v>
      </c>
      <c r="F31">
        <f t="shared" si="1"/>
        <v>152.95397800000006</v>
      </c>
      <c r="G31">
        <v>340</v>
      </c>
      <c r="H31">
        <f t="shared" si="2"/>
        <v>5.0301370787582069</v>
      </c>
      <c r="I31">
        <f t="shared" si="3"/>
        <v>7.623025558147317</v>
      </c>
    </row>
    <row r="32" spans="1:9" x14ac:dyDescent="0.25">
      <c r="A32">
        <v>1000</v>
      </c>
      <c r="B32">
        <v>2042.057861</v>
      </c>
      <c r="C32">
        <v>-16.405272</v>
      </c>
      <c r="D32" t="s">
        <v>58</v>
      </c>
      <c r="E32">
        <f t="shared" si="0"/>
        <v>564.057861</v>
      </c>
      <c r="F32">
        <f t="shared" si="1"/>
        <v>150.272581</v>
      </c>
      <c r="G32">
        <v>350</v>
      </c>
      <c r="H32">
        <f t="shared" si="2"/>
        <v>5.01245085164045</v>
      </c>
      <c r="I32">
        <f t="shared" si="3"/>
        <v>7.6217133337786054</v>
      </c>
    </row>
    <row r="33" spans="1:20" x14ac:dyDescent="0.25">
      <c r="A33">
        <v>1000</v>
      </c>
      <c r="B33">
        <v>2039.2945560000001</v>
      </c>
      <c r="C33">
        <v>-16.312477000000001</v>
      </c>
      <c r="D33" t="s">
        <v>59</v>
      </c>
      <c r="E33">
        <f t="shared" si="0"/>
        <v>561.29455600000006</v>
      </c>
      <c r="F33">
        <f t="shared" si="1"/>
        <v>147.50927600000006</v>
      </c>
      <c r="G33">
        <v>360</v>
      </c>
      <c r="H33">
        <f t="shared" si="2"/>
        <v>4.9938910619380925</v>
      </c>
      <c r="I33">
        <f t="shared" si="3"/>
        <v>7.6203592211512676</v>
      </c>
    </row>
    <row r="34" spans="1:20" x14ac:dyDescent="0.25">
      <c r="A34">
        <v>1000</v>
      </c>
      <c r="B34">
        <v>2036.3819579999999</v>
      </c>
      <c r="C34">
        <v>-16.251455</v>
      </c>
      <c r="D34" t="s">
        <v>60</v>
      </c>
      <c r="E34">
        <f t="shared" si="0"/>
        <v>558.38195799999994</v>
      </c>
      <c r="F34">
        <f t="shared" si="1"/>
        <v>144.59667799999994</v>
      </c>
      <c r="G34">
        <v>370</v>
      </c>
      <c r="H34">
        <f t="shared" si="2"/>
        <v>4.9739483357401557</v>
      </c>
      <c r="I34">
        <f t="shared" si="3"/>
        <v>7.6189299622364288</v>
      </c>
    </row>
    <row r="35" spans="1:20" x14ac:dyDescent="0.25">
      <c r="A35">
        <v>1000</v>
      </c>
      <c r="B35">
        <v>2035.5817870000001</v>
      </c>
      <c r="C35">
        <v>-16.203112000000001</v>
      </c>
      <c r="D35" t="s">
        <v>61</v>
      </c>
      <c r="E35">
        <f t="shared" si="0"/>
        <v>557.58178700000008</v>
      </c>
      <c r="F35">
        <f t="shared" si="1"/>
        <v>143.79650700000008</v>
      </c>
      <c r="G35">
        <v>380</v>
      </c>
      <c r="H35">
        <f t="shared" si="2"/>
        <v>4.9683991543104211</v>
      </c>
      <c r="I35">
        <f t="shared" si="3"/>
        <v>7.6185369474355076</v>
      </c>
    </row>
    <row r="36" spans="1:20" x14ac:dyDescent="0.25">
      <c r="A36">
        <v>1000</v>
      </c>
      <c r="B36">
        <v>2032.951294</v>
      </c>
      <c r="C36">
        <v>-16.120246999999999</v>
      </c>
      <c r="D36" t="s">
        <v>62</v>
      </c>
      <c r="E36">
        <f t="shared" si="0"/>
        <v>554.95129399999996</v>
      </c>
      <c r="F36">
        <f t="shared" si="1"/>
        <v>141.16601399999996</v>
      </c>
      <c r="G36">
        <v>390</v>
      </c>
      <c r="H36">
        <f t="shared" si="2"/>
        <v>4.9499366020366882</v>
      </c>
      <c r="I36">
        <f t="shared" si="3"/>
        <v>7.6172438556433733</v>
      </c>
    </row>
    <row r="37" spans="1:20" x14ac:dyDescent="0.25">
      <c r="A37">
        <v>1000</v>
      </c>
      <c r="B37">
        <v>2031.1632079999999</v>
      </c>
      <c r="C37">
        <v>-16.082806000000001</v>
      </c>
      <c r="D37" t="s">
        <v>63</v>
      </c>
      <c r="E37">
        <f t="shared" si="0"/>
        <v>553.16320799999994</v>
      </c>
      <c r="F37">
        <f t="shared" si="1"/>
        <v>139.37792799999994</v>
      </c>
      <c r="G37">
        <v>400</v>
      </c>
      <c r="H37">
        <f t="shared" si="2"/>
        <v>4.937189150065465</v>
      </c>
      <c r="I37">
        <f t="shared" si="3"/>
        <v>7.6163639167959341</v>
      </c>
    </row>
    <row r="38" spans="1:20" x14ac:dyDescent="0.25">
      <c r="A38">
        <v>1000</v>
      </c>
      <c r="B38">
        <v>2028.1842039999999</v>
      </c>
      <c r="C38">
        <v>-15.981336000000001</v>
      </c>
      <c r="D38" t="s">
        <v>64</v>
      </c>
      <c r="E38">
        <f t="shared" si="0"/>
        <v>550.18420399999991</v>
      </c>
      <c r="F38">
        <f t="shared" si="1"/>
        <v>136.39892399999991</v>
      </c>
      <c r="G38">
        <v>410</v>
      </c>
      <c r="H38">
        <f t="shared" si="2"/>
        <v>4.9155838568151964</v>
      </c>
      <c r="I38">
        <f t="shared" si="3"/>
        <v>7.6148961909609989</v>
      </c>
    </row>
    <row r="39" spans="1:20" x14ac:dyDescent="0.25">
      <c r="A39">
        <v>1000</v>
      </c>
      <c r="B39">
        <v>2025.501221</v>
      </c>
      <c r="C39">
        <v>-15.916817999999999</v>
      </c>
      <c r="D39" t="s">
        <v>65</v>
      </c>
      <c r="E39">
        <f t="shared" si="0"/>
        <v>547.50122099999999</v>
      </c>
      <c r="F39">
        <f t="shared" si="1"/>
        <v>133.71594099999999</v>
      </c>
      <c r="G39">
        <v>420</v>
      </c>
      <c r="H39">
        <f t="shared" si="2"/>
        <v>4.8957177066191599</v>
      </c>
      <c r="I39">
        <f t="shared" si="3"/>
        <v>7.6135724654566834</v>
      </c>
    </row>
    <row r="40" spans="1:20" x14ac:dyDescent="0.25">
      <c r="A40">
        <v>1000</v>
      </c>
      <c r="B40">
        <v>2022.406982</v>
      </c>
      <c r="C40">
        <v>-15.789339</v>
      </c>
      <c r="D40" t="s">
        <v>66</v>
      </c>
      <c r="E40">
        <f t="shared" si="0"/>
        <v>544.40698199999997</v>
      </c>
      <c r="F40">
        <f t="shared" si="1"/>
        <v>130.62170199999997</v>
      </c>
      <c r="G40">
        <v>430</v>
      </c>
      <c r="H40">
        <f t="shared" si="2"/>
        <v>4.872305374553453</v>
      </c>
      <c r="I40">
        <f t="shared" si="3"/>
        <v>7.6120436562804397</v>
      </c>
    </row>
    <row r="41" spans="1:20" x14ac:dyDescent="0.25">
      <c r="A41">
        <v>1000</v>
      </c>
      <c r="B41">
        <v>2020.505249</v>
      </c>
      <c r="C41">
        <v>-15.718522999999999</v>
      </c>
      <c r="D41" t="s">
        <v>67</v>
      </c>
      <c r="E41">
        <f t="shared" si="0"/>
        <v>542.50524900000005</v>
      </c>
      <c r="F41">
        <f t="shared" si="1"/>
        <v>128.71996900000005</v>
      </c>
      <c r="G41">
        <v>440</v>
      </c>
      <c r="H41">
        <f t="shared" si="2"/>
        <v>4.8576392618512836</v>
      </c>
      <c r="I41">
        <f t="shared" si="3"/>
        <v>7.6111028823869677</v>
      </c>
      <c r="S41">
        <v>-1.6999999999999999E-3</v>
      </c>
    </row>
    <row r="42" spans="1:20" x14ac:dyDescent="0.25">
      <c r="A42">
        <v>1000</v>
      </c>
      <c r="B42">
        <v>2018.4385990000001</v>
      </c>
      <c r="C42">
        <v>-15.660698999999999</v>
      </c>
      <c r="D42" t="s">
        <v>68</v>
      </c>
      <c r="E42">
        <f t="shared" si="0"/>
        <v>540.43859900000007</v>
      </c>
      <c r="F42">
        <f t="shared" si="1"/>
        <v>126.65331900000007</v>
      </c>
      <c r="G42">
        <v>450</v>
      </c>
      <c r="H42">
        <f t="shared" si="2"/>
        <v>4.8414535821840587</v>
      </c>
      <c r="I42">
        <f t="shared" si="3"/>
        <v>7.6100795207072132</v>
      </c>
      <c r="R42" t="s">
        <v>2</v>
      </c>
      <c r="S42">
        <f>1/ABS(S41)</f>
        <v>588.23529411764707</v>
      </c>
      <c r="T42" s="3" t="s">
        <v>3</v>
      </c>
    </row>
    <row r="43" spans="1:20" x14ac:dyDescent="0.25">
      <c r="A43">
        <v>1000</v>
      </c>
      <c r="B43">
        <v>2017.2535399999999</v>
      </c>
      <c r="C43">
        <v>-15.595881</v>
      </c>
      <c r="D43" t="s">
        <v>69</v>
      </c>
      <c r="E43">
        <f t="shared" si="0"/>
        <v>539.25353999999993</v>
      </c>
      <c r="F43">
        <f t="shared" si="1"/>
        <v>125.46825999999993</v>
      </c>
      <c r="G43">
        <v>460</v>
      </c>
      <c r="H43">
        <f t="shared" si="2"/>
        <v>4.8320528182185898</v>
      </c>
      <c r="I43">
        <f t="shared" si="3"/>
        <v>7.6094922315913713</v>
      </c>
      <c r="S43">
        <f>S42/60</f>
        <v>9.8039215686274517</v>
      </c>
      <c r="T43" s="3" t="s">
        <v>4</v>
      </c>
    </row>
    <row r="44" spans="1:20" x14ac:dyDescent="0.25">
      <c r="A44">
        <v>1000</v>
      </c>
      <c r="B44">
        <v>2015.4094239999999</v>
      </c>
      <c r="C44">
        <v>-15.540350999999999</v>
      </c>
      <c r="D44" t="s">
        <v>70</v>
      </c>
      <c r="E44">
        <f t="shared" si="0"/>
        <v>537.40942399999994</v>
      </c>
      <c r="F44">
        <f t="shared" si="1"/>
        <v>123.62414399999994</v>
      </c>
      <c r="G44">
        <v>470</v>
      </c>
      <c r="H44">
        <f t="shared" si="2"/>
        <v>4.8172458657530797</v>
      </c>
      <c r="I44">
        <f t="shared" si="3"/>
        <v>7.6085776418302089</v>
      </c>
      <c r="S44">
        <f>S43/60</f>
        <v>0.16339869281045752</v>
      </c>
      <c r="T44" s="3" t="s">
        <v>5</v>
      </c>
    </row>
    <row r="45" spans="1:20" x14ac:dyDescent="0.25">
      <c r="A45">
        <v>1000</v>
      </c>
      <c r="B45">
        <v>2013.6427000000001</v>
      </c>
      <c r="C45">
        <v>-15.483128000000001</v>
      </c>
      <c r="D45" t="s">
        <v>71</v>
      </c>
      <c r="E45">
        <f t="shared" si="0"/>
        <v>535.6427000000001</v>
      </c>
      <c r="F45">
        <f t="shared" si="1"/>
        <v>121.8574200000001</v>
      </c>
      <c r="G45">
        <v>480</v>
      </c>
      <c r="H45">
        <f t="shared" si="2"/>
        <v>4.8028516727596893</v>
      </c>
      <c r="I45">
        <f t="shared" si="3"/>
        <v>7.6077006493968229</v>
      </c>
    </row>
    <row r="46" spans="1:20" x14ac:dyDescent="0.25">
      <c r="A46">
        <v>1000</v>
      </c>
      <c r="B46">
        <v>2011.892578</v>
      </c>
      <c r="C46">
        <v>-15.41398</v>
      </c>
      <c r="D46" t="s">
        <v>72</v>
      </c>
      <c r="E46">
        <f t="shared" si="0"/>
        <v>533.89257799999996</v>
      </c>
      <c r="F46">
        <f t="shared" si="1"/>
        <v>120.10729799999996</v>
      </c>
      <c r="G46">
        <v>490</v>
      </c>
      <c r="H46">
        <f t="shared" si="2"/>
        <v>4.7883854932680672</v>
      </c>
      <c r="I46">
        <f t="shared" si="3"/>
        <v>7.6068311391382339</v>
      </c>
    </row>
    <row r="47" spans="1:20" x14ac:dyDescent="0.25">
      <c r="A47">
        <v>1000</v>
      </c>
      <c r="B47">
        <v>2009.88562</v>
      </c>
      <c r="C47">
        <v>-15.333847</v>
      </c>
      <c r="D47" t="s">
        <v>73</v>
      </c>
      <c r="E47">
        <f t="shared" si="0"/>
        <v>531.88562000000002</v>
      </c>
      <c r="F47">
        <f t="shared" si="1"/>
        <v>118.10034000000002</v>
      </c>
      <c r="G47">
        <v>500</v>
      </c>
      <c r="H47">
        <f t="shared" si="2"/>
        <v>4.7715346021153451</v>
      </c>
      <c r="I47">
        <f t="shared" si="3"/>
        <v>7.6058330939613068</v>
      </c>
    </row>
    <row r="48" spans="1:20" x14ac:dyDescent="0.25">
      <c r="A48">
        <v>1000</v>
      </c>
      <c r="B48">
        <v>2007.627563</v>
      </c>
      <c r="C48">
        <v>-15.280436</v>
      </c>
      <c r="D48" t="s">
        <v>74</v>
      </c>
      <c r="E48">
        <f t="shared" si="0"/>
        <v>529.62756300000001</v>
      </c>
      <c r="F48">
        <f t="shared" si="1"/>
        <v>115.84228300000001</v>
      </c>
      <c r="G48">
        <v>510</v>
      </c>
      <c r="H48">
        <f t="shared" si="2"/>
        <v>4.7522296366614336</v>
      </c>
      <c r="I48">
        <f t="shared" si="3"/>
        <v>7.6047089870150835</v>
      </c>
    </row>
    <row r="49" spans="1:9" x14ac:dyDescent="0.25">
      <c r="A49">
        <v>1000</v>
      </c>
      <c r="B49">
        <v>2006.0295410000001</v>
      </c>
      <c r="C49">
        <v>-15.230548000000001</v>
      </c>
      <c r="D49" t="s">
        <v>75</v>
      </c>
      <c r="E49">
        <f t="shared" si="0"/>
        <v>528.02954100000011</v>
      </c>
      <c r="F49">
        <f t="shared" si="1"/>
        <v>114.24426100000011</v>
      </c>
      <c r="G49">
        <v>520</v>
      </c>
      <c r="H49">
        <f t="shared" si="2"/>
        <v>4.7383387965651647</v>
      </c>
      <c r="I49">
        <f t="shared" si="3"/>
        <v>7.6039126947344862</v>
      </c>
    </row>
    <row r="50" spans="1:9" x14ac:dyDescent="0.25">
      <c r="A50">
        <v>1000</v>
      </c>
      <c r="B50">
        <v>2003.856567</v>
      </c>
      <c r="C50">
        <v>-15.143286</v>
      </c>
      <c r="D50" t="s">
        <v>76</v>
      </c>
      <c r="E50">
        <f t="shared" si="0"/>
        <v>525.85656700000004</v>
      </c>
      <c r="F50">
        <f t="shared" si="1"/>
        <v>112.07128700000004</v>
      </c>
      <c r="G50">
        <v>530</v>
      </c>
      <c r="H50">
        <f t="shared" si="2"/>
        <v>4.7191351598919926</v>
      </c>
      <c r="I50">
        <f t="shared" si="3"/>
        <v>7.6028288862899673</v>
      </c>
    </row>
    <row r="51" spans="1:9" x14ac:dyDescent="0.25">
      <c r="A51">
        <v>1000</v>
      </c>
      <c r="B51">
        <v>2002.1527100000001</v>
      </c>
      <c r="C51">
        <v>-15.070667</v>
      </c>
      <c r="D51" t="s">
        <v>77</v>
      </c>
      <c r="E51">
        <f t="shared" si="0"/>
        <v>524.15271000000007</v>
      </c>
      <c r="F51">
        <f t="shared" si="1"/>
        <v>110.36743000000007</v>
      </c>
      <c r="G51">
        <v>540</v>
      </c>
      <c r="H51">
        <f t="shared" si="2"/>
        <v>4.7038150722006487</v>
      </c>
      <c r="I51">
        <f t="shared" si="3"/>
        <v>7.6019782356873709</v>
      </c>
    </row>
    <row r="52" spans="1:9" x14ac:dyDescent="0.25">
      <c r="A52">
        <v>1000</v>
      </c>
      <c r="B52">
        <v>2001.7685550000001</v>
      </c>
      <c r="C52">
        <v>-15.022869</v>
      </c>
      <c r="D52" t="s">
        <v>78</v>
      </c>
      <c r="E52">
        <f t="shared" si="0"/>
        <v>523.76855500000011</v>
      </c>
      <c r="F52">
        <f t="shared" si="1"/>
        <v>109.98327500000011</v>
      </c>
      <c r="G52">
        <v>550</v>
      </c>
      <c r="H52">
        <f t="shared" si="2"/>
        <v>4.7003283087777898</v>
      </c>
      <c r="I52">
        <f t="shared" si="3"/>
        <v>7.6017863462990674</v>
      </c>
    </row>
    <row r="53" spans="1:9" x14ac:dyDescent="0.25">
      <c r="A53">
        <v>1000</v>
      </c>
      <c r="B53">
        <v>2000.38501</v>
      </c>
      <c r="C53">
        <v>-15.011339</v>
      </c>
      <c r="D53" t="s">
        <v>79</v>
      </c>
      <c r="E53">
        <f t="shared" si="0"/>
        <v>522.38500999999997</v>
      </c>
      <c r="F53">
        <f t="shared" si="1"/>
        <v>108.59972999999997</v>
      </c>
      <c r="G53">
        <v>560</v>
      </c>
      <c r="H53">
        <f t="shared" si="2"/>
        <v>4.6876689213088989</v>
      </c>
      <c r="I53">
        <f t="shared" si="3"/>
        <v>7.6010949460153725</v>
      </c>
    </row>
    <row r="54" spans="1:9" x14ac:dyDescent="0.25">
      <c r="A54">
        <v>1000</v>
      </c>
      <c r="B54">
        <v>1999.052124</v>
      </c>
      <c r="C54">
        <v>-14.972557</v>
      </c>
      <c r="D54" t="s">
        <v>80</v>
      </c>
      <c r="E54">
        <f t="shared" si="0"/>
        <v>521.05212400000005</v>
      </c>
      <c r="F54">
        <f t="shared" si="1"/>
        <v>107.26684400000005</v>
      </c>
      <c r="G54">
        <v>570</v>
      </c>
      <c r="H54">
        <f t="shared" si="2"/>
        <v>4.6753195990895531</v>
      </c>
      <c r="I54">
        <f t="shared" si="3"/>
        <v>7.6004284091979706</v>
      </c>
    </row>
    <row r="55" spans="1:9" x14ac:dyDescent="0.25">
      <c r="A55">
        <v>1000</v>
      </c>
      <c r="B55">
        <v>1997.071533</v>
      </c>
      <c r="C55">
        <v>-14.892903</v>
      </c>
      <c r="D55" t="s">
        <v>81</v>
      </c>
      <c r="E55">
        <f t="shared" si="0"/>
        <v>519.07153300000004</v>
      </c>
      <c r="F55">
        <f t="shared" si="1"/>
        <v>105.28625300000004</v>
      </c>
      <c r="G55">
        <v>580</v>
      </c>
      <c r="H55">
        <f t="shared" si="2"/>
        <v>4.6566828598102141</v>
      </c>
      <c r="I55">
        <f t="shared" si="3"/>
        <v>7.5994371530046312</v>
      </c>
    </row>
    <row r="56" spans="1:9" x14ac:dyDescent="0.25">
      <c r="A56">
        <v>1000</v>
      </c>
      <c r="B56">
        <v>1996.7801509999999</v>
      </c>
      <c r="C56">
        <v>-14.892289</v>
      </c>
      <c r="D56" t="s">
        <v>82</v>
      </c>
      <c r="E56">
        <f t="shared" si="0"/>
        <v>518.78015099999993</v>
      </c>
      <c r="F56">
        <f t="shared" si="1"/>
        <v>104.99487099999993</v>
      </c>
      <c r="G56">
        <v>590</v>
      </c>
      <c r="H56">
        <f t="shared" si="2"/>
        <v>4.6539115013453909</v>
      </c>
      <c r="I56">
        <f t="shared" si="3"/>
        <v>7.5992912377210553</v>
      </c>
    </row>
    <row r="57" spans="1:9" x14ac:dyDescent="0.25">
      <c r="A57">
        <v>1000</v>
      </c>
      <c r="B57">
        <v>1995.3170170000001</v>
      </c>
      <c r="C57">
        <v>-14.827785</v>
      </c>
      <c r="D57" t="s">
        <v>83</v>
      </c>
      <c r="E57">
        <f t="shared" si="0"/>
        <v>517.31701700000008</v>
      </c>
      <c r="F57">
        <f t="shared" si="1"/>
        <v>103.53173700000008</v>
      </c>
      <c r="G57">
        <v>600</v>
      </c>
      <c r="H57">
        <f t="shared" si="2"/>
        <v>4.6398782033828585</v>
      </c>
      <c r="I57">
        <f t="shared" si="3"/>
        <v>7.5985582224641917</v>
      </c>
    </row>
    <row r="58" spans="1:9" x14ac:dyDescent="0.25">
      <c r="A58">
        <v>1000</v>
      </c>
      <c r="B58">
        <v>1992.680908</v>
      </c>
      <c r="C58">
        <v>-14.73189</v>
      </c>
      <c r="D58" t="s">
        <v>84</v>
      </c>
      <c r="E58">
        <f t="shared" si="0"/>
        <v>514.68090800000004</v>
      </c>
      <c r="F58">
        <f t="shared" si="1"/>
        <v>100.89562800000004</v>
      </c>
      <c r="G58">
        <v>610</v>
      </c>
      <c r="H58">
        <f t="shared" si="2"/>
        <v>4.6140865963910587</v>
      </c>
      <c r="I58">
        <f t="shared" si="3"/>
        <v>7.5972362010220982</v>
      </c>
    </row>
    <row r="59" spans="1:9" x14ac:dyDescent="0.25">
      <c r="A59">
        <v>1000</v>
      </c>
      <c r="B59">
        <v>1989.8989260000001</v>
      </c>
      <c r="C59">
        <v>-14.609465</v>
      </c>
      <c r="D59" t="s">
        <v>85</v>
      </c>
      <c r="E59">
        <f t="shared" si="0"/>
        <v>511.89892600000007</v>
      </c>
      <c r="F59">
        <f t="shared" si="1"/>
        <v>98.113646000000074</v>
      </c>
      <c r="G59">
        <v>620</v>
      </c>
      <c r="H59">
        <f t="shared" si="2"/>
        <v>4.586126459853566</v>
      </c>
      <c r="I59">
        <f t="shared" si="3"/>
        <v>7.5958391254738604</v>
      </c>
    </row>
    <row r="60" spans="1:9" x14ac:dyDescent="0.25">
      <c r="A60">
        <v>1000</v>
      </c>
      <c r="B60">
        <v>1988.071533</v>
      </c>
      <c r="C60">
        <v>-14.506397</v>
      </c>
      <c r="D60" t="s">
        <v>86</v>
      </c>
      <c r="E60">
        <f t="shared" si="0"/>
        <v>510.07153300000004</v>
      </c>
      <c r="F60">
        <f t="shared" si="1"/>
        <v>96.286253000000045</v>
      </c>
      <c r="G60">
        <v>630</v>
      </c>
      <c r="H60">
        <f t="shared" si="2"/>
        <v>4.5673255567968321</v>
      </c>
      <c r="I60">
        <f t="shared" si="3"/>
        <v>7.5949203689635345</v>
      </c>
    </row>
    <row r="61" spans="1:9" x14ac:dyDescent="0.25">
      <c r="A61">
        <v>1000</v>
      </c>
      <c r="B61">
        <v>1987.336914</v>
      </c>
      <c r="C61">
        <v>-14.483556999999999</v>
      </c>
      <c r="D61" t="s">
        <v>87</v>
      </c>
      <c r="E61">
        <f t="shared" si="0"/>
        <v>509.33691399999998</v>
      </c>
      <c r="F61">
        <f t="shared" si="1"/>
        <v>95.551633999999979</v>
      </c>
      <c r="G61">
        <v>640</v>
      </c>
      <c r="H61">
        <f t="shared" si="2"/>
        <v>4.5596667715343058</v>
      </c>
      <c r="I61">
        <f t="shared" si="3"/>
        <v>7.5945507873126648</v>
      </c>
    </row>
    <row r="62" spans="1:9" x14ac:dyDescent="0.25">
      <c r="A62">
        <v>1000</v>
      </c>
      <c r="B62">
        <v>1986.2261960000001</v>
      </c>
      <c r="C62">
        <v>-14.458955</v>
      </c>
      <c r="D62" t="s">
        <v>88</v>
      </c>
      <c r="E62">
        <f t="shared" si="0"/>
        <v>508.22619600000007</v>
      </c>
      <c r="F62">
        <f t="shared" si="1"/>
        <v>94.440916000000072</v>
      </c>
      <c r="G62">
        <v>650</v>
      </c>
      <c r="H62">
        <f t="shared" si="2"/>
        <v>4.547974411450241</v>
      </c>
      <c r="I62">
        <f t="shared" si="3"/>
        <v>7.5939917333864129</v>
      </c>
    </row>
    <row r="63" spans="1:9" x14ac:dyDescent="0.25">
      <c r="A63">
        <v>1000</v>
      </c>
      <c r="B63">
        <v>1984.2113039999999</v>
      </c>
      <c r="C63">
        <v>-14.394204999999999</v>
      </c>
      <c r="D63" t="s">
        <v>89</v>
      </c>
      <c r="E63">
        <f t="shared" si="0"/>
        <v>506.21130399999993</v>
      </c>
      <c r="F63">
        <f t="shared" si="1"/>
        <v>92.426023999999927</v>
      </c>
      <c r="G63">
        <v>660</v>
      </c>
      <c r="H63">
        <f t="shared" si="2"/>
        <v>4.526408584014769</v>
      </c>
      <c r="I63">
        <f t="shared" si="3"/>
        <v>7.5929767862059245</v>
      </c>
    </row>
    <row r="64" spans="1:9" x14ac:dyDescent="0.25">
      <c r="A64">
        <v>1000</v>
      </c>
      <c r="B64">
        <v>1983.4754640000001</v>
      </c>
      <c r="C64">
        <v>-14.342444</v>
      </c>
      <c r="D64" t="s">
        <v>90</v>
      </c>
      <c r="E64">
        <f t="shared" si="0"/>
        <v>505.4754640000001</v>
      </c>
      <c r="F64">
        <f t="shared" si="1"/>
        <v>91.690184000000102</v>
      </c>
      <c r="G64">
        <v>670</v>
      </c>
      <c r="H64">
        <f t="shared" si="2"/>
        <v>4.5184153288217122</v>
      </c>
      <c r="I64">
        <f t="shared" si="3"/>
        <v>7.5926058698249381</v>
      </c>
    </row>
    <row r="65" spans="1:9" x14ac:dyDescent="0.25">
      <c r="A65">
        <v>1000</v>
      </c>
      <c r="B65">
        <v>1981.6877440000001</v>
      </c>
      <c r="C65">
        <v>-14.270784000000001</v>
      </c>
      <c r="D65" t="s">
        <v>91</v>
      </c>
      <c r="E65">
        <f t="shared" si="0"/>
        <v>503.68774400000007</v>
      </c>
      <c r="F65">
        <f t="shared" si="1"/>
        <v>89.902464000000066</v>
      </c>
      <c r="G65">
        <v>680</v>
      </c>
      <c r="H65">
        <f t="shared" si="2"/>
        <v>4.4987253493333448</v>
      </c>
      <c r="I65">
        <f t="shared" si="3"/>
        <v>7.5917041565650534</v>
      </c>
    </row>
    <row r="66" spans="1:9" x14ac:dyDescent="0.25">
      <c r="A66">
        <v>1000</v>
      </c>
      <c r="B66">
        <v>1980.023193</v>
      </c>
      <c r="C66">
        <v>-14.201539</v>
      </c>
      <c r="D66" t="s">
        <v>92</v>
      </c>
      <c r="E66">
        <f t="shared" ref="E66:E119" si="4">B66-$P$3</f>
        <v>502.02319299999999</v>
      </c>
      <c r="F66">
        <f t="shared" si="1"/>
        <v>88.237912999999992</v>
      </c>
      <c r="G66">
        <v>690</v>
      </c>
      <c r="H66">
        <f t="shared" si="2"/>
        <v>4.48003672326029</v>
      </c>
      <c r="I66">
        <f t="shared" si="3"/>
        <v>7.5908638372563404</v>
      </c>
    </row>
    <row r="67" spans="1:9" x14ac:dyDescent="0.25">
      <c r="A67">
        <v>1000</v>
      </c>
      <c r="B67">
        <v>1979.200562</v>
      </c>
      <c r="C67">
        <v>-14.16325</v>
      </c>
      <c r="D67" t="s">
        <v>93</v>
      </c>
      <c r="E67">
        <f t="shared" si="4"/>
        <v>501.20056199999999</v>
      </c>
      <c r="F67">
        <f t="shared" ref="F67:F119" si="5">E67-$R$3</f>
        <v>87.415281999999991</v>
      </c>
      <c r="G67">
        <v>700</v>
      </c>
      <c r="H67">
        <f t="shared" ref="H67:H119" si="6">LN(F67)</f>
        <v>4.470670118635371</v>
      </c>
      <c r="I67">
        <f t="shared" ref="I67:I119" si="7">LN(B67)</f>
        <v>7.5904482855912958</v>
      </c>
    </row>
    <row r="68" spans="1:9" x14ac:dyDescent="0.25">
      <c r="A68">
        <v>1000</v>
      </c>
      <c r="B68">
        <v>1977.8397219999999</v>
      </c>
      <c r="C68">
        <v>-14.126023999999999</v>
      </c>
      <c r="D68" t="s">
        <v>94</v>
      </c>
      <c r="E68">
        <f t="shared" si="4"/>
        <v>499.83972199999994</v>
      </c>
      <c r="F68">
        <f t="shared" si="5"/>
        <v>86.054441999999938</v>
      </c>
      <c r="G68">
        <v>710</v>
      </c>
      <c r="H68">
        <f t="shared" si="6"/>
        <v>4.4549801424757156</v>
      </c>
      <c r="I68">
        <f t="shared" si="7"/>
        <v>7.5897604785658519</v>
      </c>
    </row>
    <row r="69" spans="1:9" x14ac:dyDescent="0.25">
      <c r="A69">
        <v>1000</v>
      </c>
      <c r="B69">
        <v>1977.109741</v>
      </c>
      <c r="C69">
        <v>-14.073978</v>
      </c>
      <c r="D69" t="s">
        <v>95</v>
      </c>
      <c r="E69">
        <f t="shared" si="4"/>
        <v>499.10974099999999</v>
      </c>
      <c r="F69">
        <f t="shared" si="5"/>
        <v>85.324460999999985</v>
      </c>
      <c r="G69">
        <v>720</v>
      </c>
      <c r="H69">
        <f t="shared" si="6"/>
        <v>4.4464611777496712</v>
      </c>
      <c r="I69">
        <f t="shared" si="7"/>
        <v>7.5893913304818534</v>
      </c>
    </row>
    <row r="70" spans="1:9" x14ac:dyDescent="0.25">
      <c r="A70">
        <v>1000</v>
      </c>
      <c r="B70">
        <v>1975.414673</v>
      </c>
      <c r="C70">
        <v>-13.967483</v>
      </c>
      <c r="D70" t="s">
        <v>96</v>
      </c>
      <c r="E70">
        <f t="shared" si="4"/>
        <v>497.41467299999999</v>
      </c>
      <c r="F70">
        <f t="shared" si="5"/>
        <v>83.629392999999993</v>
      </c>
      <c r="G70">
        <v>730</v>
      </c>
      <c r="H70">
        <f t="shared" si="6"/>
        <v>4.426395049206147</v>
      </c>
      <c r="I70">
        <f t="shared" si="7"/>
        <v>7.5885336163091521</v>
      </c>
    </row>
    <row r="71" spans="1:9" x14ac:dyDescent="0.25">
      <c r="A71">
        <v>1000</v>
      </c>
      <c r="B71">
        <v>1973.853149</v>
      </c>
      <c r="C71">
        <v>-13.93993</v>
      </c>
      <c r="D71" t="s">
        <v>97</v>
      </c>
      <c r="E71">
        <f t="shared" si="4"/>
        <v>495.85314900000003</v>
      </c>
      <c r="F71">
        <f t="shared" si="5"/>
        <v>82.06786900000003</v>
      </c>
      <c r="G71">
        <v>740</v>
      </c>
      <c r="H71">
        <f t="shared" si="6"/>
        <v>4.4075465756654193</v>
      </c>
      <c r="I71">
        <f t="shared" si="7"/>
        <v>7.5877428246223095</v>
      </c>
    </row>
    <row r="72" spans="1:9" x14ac:dyDescent="0.25">
      <c r="A72">
        <v>1000</v>
      </c>
      <c r="B72">
        <v>1972.895874</v>
      </c>
      <c r="C72">
        <v>-13.892923</v>
      </c>
      <c r="D72" t="s">
        <v>98</v>
      </c>
      <c r="E72">
        <f t="shared" si="4"/>
        <v>494.89587400000005</v>
      </c>
      <c r="F72">
        <f t="shared" si="5"/>
        <v>81.110594000000049</v>
      </c>
      <c r="G72">
        <v>750</v>
      </c>
      <c r="H72">
        <f t="shared" si="6"/>
        <v>4.3958135814434298</v>
      </c>
      <c r="I72">
        <f t="shared" si="7"/>
        <v>7.5872577291611121</v>
      </c>
    </row>
    <row r="73" spans="1:9" x14ac:dyDescent="0.25">
      <c r="A73">
        <v>1000</v>
      </c>
      <c r="B73">
        <v>1971.092529</v>
      </c>
      <c r="C73">
        <v>-13.82174</v>
      </c>
      <c r="D73" t="s">
        <v>99</v>
      </c>
      <c r="E73">
        <f t="shared" si="4"/>
        <v>493.09252900000001</v>
      </c>
      <c r="F73">
        <f t="shared" si="5"/>
        <v>79.307249000000013</v>
      </c>
      <c r="G73">
        <v>760</v>
      </c>
      <c r="H73">
        <f t="shared" si="6"/>
        <v>4.3733295368210809</v>
      </c>
      <c r="I73">
        <f t="shared" si="7"/>
        <v>7.5863432512563076</v>
      </c>
    </row>
    <row r="74" spans="1:9" x14ac:dyDescent="0.25">
      <c r="A74">
        <v>1000</v>
      </c>
      <c r="B74">
        <v>1969.9685059999999</v>
      </c>
      <c r="C74">
        <v>-13.765636000000001</v>
      </c>
      <c r="D74" t="s">
        <v>100</v>
      </c>
      <c r="E74">
        <f t="shared" si="4"/>
        <v>491.96850599999993</v>
      </c>
      <c r="F74">
        <f t="shared" si="5"/>
        <v>78.183225999999934</v>
      </c>
      <c r="G74">
        <v>770</v>
      </c>
      <c r="H74">
        <f t="shared" si="6"/>
        <v>4.3590551232638024</v>
      </c>
      <c r="I74">
        <f t="shared" si="7"/>
        <v>7.5857728348022135</v>
      </c>
    </row>
    <row r="75" spans="1:9" x14ac:dyDescent="0.25">
      <c r="A75">
        <v>1000</v>
      </c>
      <c r="B75">
        <v>1968.0352780000001</v>
      </c>
      <c r="C75">
        <v>-13.686707</v>
      </c>
      <c r="D75" t="s">
        <v>101</v>
      </c>
      <c r="E75">
        <f t="shared" si="4"/>
        <v>490.03527800000006</v>
      </c>
      <c r="F75">
        <f t="shared" si="5"/>
        <v>76.249998000000062</v>
      </c>
      <c r="G75">
        <v>780</v>
      </c>
      <c r="H75">
        <f t="shared" si="6"/>
        <v>4.3340173892580136</v>
      </c>
      <c r="I75">
        <f t="shared" si="7"/>
        <v>7.5847910032645416</v>
      </c>
    </row>
    <row r="76" spans="1:9" x14ac:dyDescent="0.25">
      <c r="A76">
        <v>1000</v>
      </c>
      <c r="B76">
        <v>1967.700317</v>
      </c>
      <c r="C76">
        <v>-13.669153</v>
      </c>
      <c r="D76" t="s">
        <v>102</v>
      </c>
      <c r="E76">
        <f t="shared" si="4"/>
        <v>489.70031700000004</v>
      </c>
      <c r="F76">
        <f t="shared" si="5"/>
        <v>75.915037000000041</v>
      </c>
      <c r="G76">
        <v>790</v>
      </c>
      <c r="H76">
        <f t="shared" si="6"/>
        <v>4.3296147807212417</v>
      </c>
      <c r="I76">
        <f t="shared" si="7"/>
        <v>7.5846207880695804</v>
      </c>
    </row>
    <row r="77" spans="1:9" x14ac:dyDescent="0.25">
      <c r="A77">
        <v>1000</v>
      </c>
      <c r="B77">
        <v>1967.1829829999999</v>
      </c>
      <c r="C77">
        <v>-13.60469</v>
      </c>
      <c r="D77" t="s">
        <v>103</v>
      </c>
      <c r="E77">
        <f t="shared" si="4"/>
        <v>489.18298299999992</v>
      </c>
      <c r="F77">
        <f t="shared" si="5"/>
        <v>75.397702999999922</v>
      </c>
      <c r="G77">
        <v>800</v>
      </c>
      <c r="H77">
        <f t="shared" si="6"/>
        <v>4.3227768103588851</v>
      </c>
      <c r="I77">
        <f t="shared" si="7"/>
        <v>7.5843578404985657</v>
      </c>
    </row>
    <row r="78" spans="1:9" x14ac:dyDescent="0.25">
      <c r="A78">
        <v>1000</v>
      </c>
      <c r="B78">
        <v>1965.376587</v>
      </c>
      <c r="C78">
        <v>-13.575825999999999</v>
      </c>
      <c r="D78" t="s">
        <v>104</v>
      </c>
      <c r="E78">
        <f t="shared" si="4"/>
        <v>487.37658699999997</v>
      </c>
      <c r="F78">
        <f t="shared" si="5"/>
        <v>73.591306999999972</v>
      </c>
      <c r="G78">
        <v>810</v>
      </c>
      <c r="H78">
        <f t="shared" si="6"/>
        <v>4.2985269073460843</v>
      </c>
      <c r="I78">
        <f t="shared" si="7"/>
        <v>7.5834391532696026</v>
      </c>
    </row>
    <row r="79" spans="1:9" x14ac:dyDescent="0.25">
      <c r="A79">
        <v>1000</v>
      </c>
      <c r="B79">
        <v>1965.3811040000001</v>
      </c>
      <c r="C79">
        <v>-13.553872999999999</v>
      </c>
      <c r="D79" t="s">
        <v>105</v>
      </c>
      <c r="E79">
        <f t="shared" si="4"/>
        <v>487.38110400000005</v>
      </c>
      <c r="F79">
        <f t="shared" si="5"/>
        <v>73.59582400000005</v>
      </c>
      <c r="G79">
        <v>820</v>
      </c>
      <c r="H79">
        <f t="shared" si="6"/>
        <v>4.298588284994671</v>
      </c>
      <c r="I79">
        <f t="shared" si="7"/>
        <v>7.5834414515542363</v>
      </c>
    </row>
    <row r="80" spans="1:9" x14ac:dyDescent="0.25">
      <c r="A80">
        <v>1000</v>
      </c>
      <c r="B80">
        <v>1963.9780270000001</v>
      </c>
      <c r="C80">
        <v>-13.517414</v>
      </c>
      <c r="D80" t="s">
        <v>106</v>
      </c>
      <c r="E80">
        <f t="shared" si="4"/>
        <v>485.97802700000011</v>
      </c>
      <c r="F80">
        <f t="shared" si="5"/>
        <v>72.192747000000111</v>
      </c>
      <c r="G80">
        <v>830</v>
      </c>
      <c r="H80">
        <f t="shared" si="6"/>
        <v>4.2793395837889214</v>
      </c>
      <c r="I80">
        <f t="shared" si="7"/>
        <v>7.5827273009699523</v>
      </c>
    </row>
    <row r="81" spans="1:9" x14ac:dyDescent="0.25">
      <c r="A81">
        <v>1000</v>
      </c>
      <c r="B81">
        <v>1963.304932</v>
      </c>
      <c r="C81">
        <v>-13.515295999999999</v>
      </c>
      <c r="D81" t="s">
        <v>107</v>
      </c>
      <c r="E81">
        <f t="shared" si="4"/>
        <v>485.30493200000001</v>
      </c>
      <c r="F81">
        <f t="shared" si="5"/>
        <v>71.519652000000008</v>
      </c>
      <c r="G81">
        <v>840</v>
      </c>
      <c r="H81">
        <f t="shared" si="6"/>
        <v>4.2699722650816092</v>
      </c>
      <c r="I81">
        <f t="shared" si="7"/>
        <v>7.5823845219985273</v>
      </c>
    </row>
    <row r="82" spans="1:9" x14ac:dyDescent="0.25">
      <c r="A82">
        <v>1000</v>
      </c>
      <c r="B82">
        <v>1963.2232670000001</v>
      </c>
      <c r="C82">
        <v>-13.502169</v>
      </c>
      <c r="D82" t="s">
        <v>108</v>
      </c>
      <c r="E82">
        <f t="shared" si="4"/>
        <v>485.22326700000008</v>
      </c>
      <c r="F82">
        <f t="shared" si="5"/>
        <v>71.437987000000078</v>
      </c>
      <c r="G82">
        <v>850</v>
      </c>
      <c r="H82">
        <f t="shared" si="6"/>
        <v>4.26882975867965</v>
      </c>
      <c r="I82">
        <f t="shared" si="7"/>
        <v>7.5823429254552845</v>
      </c>
    </row>
    <row r="83" spans="1:9" x14ac:dyDescent="0.25">
      <c r="A83">
        <v>1000</v>
      </c>
      <c r="B83">
        <v>1963.942749</v>
      </c>
      <c r="C83">
        <v>-13.563504</v>
      </c>
      <c r="D83" t="s">
        <v>109</v>
      </c>
      <c r="E83">
        <f t="shared" si="4"/>
        <v>485.94274900000005</v>
      </c>
      <c r="F83">
        <f t="shared" si="5"/>
        <v>72.157469000000049</v>
      </c>
      <c r="G83">
        <v>860</v>
      </c>
      <c r="H83">
        <f t="shared" si="6"/>
        <v>4.2788508003055297</v>
      </c>
      <c r="I83">
        <f t="shared" si="7"/>
        <v>7.5827093382858699</v>
      </c>
    </row>
    <row r="84" spans="1:9" x14ac:dyDescent="0.25">
      <c r="A84">
        <v>1000</v>
      </c>
      <c r="B84">
        <v>1963.474976</v>
      </c>
      <c r="C84">
        <v>-13.545294</v>
      </c>
      <c r="D84" t="s">
        <v>110</v>
      </c>
      <c r="E84">
        <f t="shared" si="4"/>
        <v>485.47497599999997</v>
      </c>
      <c r="F84">
        <f t="shared" si="5"/>
        <v>71.689695999999969</v>
      </c>
      <c r="G84">
        <v>870</v>
      </c>
      <c r="H84">
        <f t="shared" si="6"/>
        <v>4.2723470273759458</v>
      </c>
      <c r="I84">
        <f t="shared" si="7"/>
        <v>7.5824711293481064</v>
      </c>
    </row>
    <row r="85" spans="1:9" x14ac:dyDescent="0.25">
      <c r="A85">
        <v>1000</v>
      </c>
      <c r="B85">
        <v>1963.161865</v>
      </c>
      <c r="C85">
        <v>-13.584459000000001</v>
      </c>
      <c r="D85" t="s">
        <v>111</v>
      </c>
      <c r="E85">
        <f t="shared" si="4"/>
        <v>485.16186500000003</v>
      </c>
      <c r="F85">
        <f t="shared" si="5"/>
        <v>71.376585000000034</v>
      </c>
      <c r="G85">
        <v>880</v>
      </c>
      <c r="H85">
        <f t="shared" si="6"/>
        <v>4.267969874384602</v>
      </c>
      <c r="I85">
        <f t="shared" si="7"/>
        <v>7.5823116488494806</v>
      </c>
    </row>
    <row r="86" spans="1:9" x14ac:dyDescent="0.25">
      <c r="A86">
        <v>1000</v>
      </c>
      <c r="B86">
        <v>1963.804077</v>
      </c>
      <c r="C86">
        <v>-13.621314999999999</v>
      </c>
      <c r="D86" t="s">
        <v>112</v>
      </c>
      <c r="E86">
        <f t="shared" si="4"/>
        <v>485.80407700000001</v>
      </c>
      <c r="F86">
        <f t="shared" si="5"/>
        <v>72.018797000000006</v>
      </c>
      <c r="G86">
        <v>890</v>
      </c>
      <c r="H86">
        <f t="shared" si="6"/>
        <v>4.2769271543878027</v>
      </c>
      <c r="I86">
        <f t="shared" si="7"/>
        <v>7.5826387268100284</v>
      </c>
    </row>
    <row r="87" spans="1:9" x14ac:dyDescent="0.25">
      <c r="A87">
        <v>1000</v>
      </c>
      <c r="B87">
        <v>1964.484741</v>
      </c>
      <c r="C87">
        <v>-13.661189</v>
      </c>
      <c r="D87" t="s">
        <v>113</v>
      </c>
      <c r="E87">
        <f t="shared" si="4"/>
        <v>486.48474099999999</v>
      </c>
      <c r="F87">
        <f t="shared" si="5"/>
        <v>72.699460999999985</v>
      </c>
      <c r="G87">
        <v>900</v>
      </c>
      <c r="H87">
        <f t="shared" si="6"/>
        <v>4.2863339704817278</v>
      </c>
      <c r="I87">
        <f t="shared" si="7"/>
        <v>7.5829852715975159</v>
      </c>
    </row>
    <row r="88" spans="1:9" x14ac:dyDescent="0.25">
      <c r="A88">
        <v>1000</v>
      </c>
      <c r="B88">
        <v>1963.9571530000001</v>
      </c>
      <c r="C88">
        <v>-13.634907</v>
      </c>
      <c r="D88" t="s">
        <v>114</v>
      </c>
      <c r="E88">
        <f t="shared" si="4"/>
        <v>485.95715300000006</v>
      </c>
      <c r="F88">
        <f t="shared" si="5"/>
        <v>72.171873000000062</v>
      </c>
      <c r="G88">
        <v>910</v>
      </c>
      <c r="H88">
        <f t="shared" si="6"/>
        <v>4.2790503993593081</v>
      </c>
      <c r="I88">
        <f t="shared" si="7"/>
        <v>7.582716672484989</v>
      </c>
    </row>
    <row r="89" spans="1:9" x14ac:dyDescent="0.25">
      <c r="A89">
        <v>1000</v>
      </c>
      <c r="B89">
        <v>1963.423706</v>
      </c>
      <c r="C89">
        <v>-13.634743</v>
      </c>
      <c r="D89" t="s">
        <v>115</v>
      </c>
      <c r="E89">
        <f t="shared" si="4"/>
        <v>485.42370600000004</v>
      </c>
      <c r="F89">
        <f t="shared" si="5"/>
        <v>71.638426000000038</v>
      </c>
      <c r="G89">
        <v>920</v>
      </c>
      <c r="H89">
        <f t="shared" si="6"/>
        <v>4.2716316059852053</v>
      </c>
      <c r="I89">
        <f t="shared" si="7"/>
        <v>7.5824450171388778</v>
      </c>
    </row>
    <row r="90" spans="1:9" x14ac:dyDescent="0.25">
      <c r="A90">
        <v>1000</v>
      </c>
      <c r="B90">
        <v>1962.674683</v>
      </c>
      <c r="C90">
        <v>-13.592559</v>
      </c>
      <c r="D90" t="s">
        <v>116</v>
      </c>
      <c r="E90">
        <f t="shared" si="4"/>
        <v>484.67468299999996</v>
      </c>
      <c r="F90">
        <f t="shared" si="5"/>
        <v>70.889402999999959</v>
      </c>
      <c r="G90">
        <v>930</v>
      </c>
      <c r="H90">
        <f t="shared" si="6"/>
        <v>4.2611209583333691</v>
      </c>
      <c r="I90">
        <f t="shared" si="7"/>
        <v>7.5820634561412286</v>
      </c>
    </row>
    <row r="91" spans="1:9" x14ac:dyDescent="0.25">
      <c r="A91">
        <v>1000</v>
      </c>
      <c r="B91">
        <v>1960.88147</v>
      </c>
      <c r="C91">
        <v>-13.547207</v>
      </c>
      <c r="D91" t="s">
        <v>117</v>
      </c>
      <c r="E91">
        <f t="shared" si="4"/>
        <v>482.88147000000004</v>
      </c>
      <c r="F91">
        <f t="shared" si="5"/>
        <v>69.096190000000036</v>
      </c>
      <c r="G91">
        <v>940</v>
      </c>
      <c r="H91">
        <f t="shared" si="6"/>
        <v>4.2354995917715872</v>
      </c>
      <c r="I91">
        <f t="shared" si="7"/>
        <v>7.5811493807183572</v>
      </c>
    </row>
    <row r="92" spans="1:9" x14ac:dyDescent="0.25">
      <c r="A92">
        <v>1000</v>
      </c>
      <c r="B92">
        <v>1961.0798339999999</v>
      </c>
      <c r="C92">
        <v>-13.529544</v>
      </c>
      <c r="D92" t="s">
        <v>118</v>
      </c>
      <c r="E92">
        <f t="shared" si="4"/>
        <v>483.07983399999989</v>
      </c>
      <c r="F92">
        <f t="shared" si="5"/>
        <v>69.294553999999891</v>
      </c>
      <c r="G92">
        <v>950</v>
      </c>
      <c r="H92">
        <f t="shared" si="6"/>
        <v>4.2383663172492394</v>
      </c>
      <c r="I92">
        <f t="shared" si="7"/>
        <v>7.5812505362294864</v>
      </c>
    </row>
    <row r="93" spans="1:9" x14ac:dyDescent="0.25">
      <c r="A93">
        <v>1000</v>
      </c>
      <c r="B93">
        <v>1958.429077</v>
      </c>
      <c r="C93">
        <v>-13.432186</v>
      </c>
      <c r="D93" t="s">
        <v>119</v>
      </c>
      <c r="E93">
        <f t="shared" si="4"/>
        <v>480.42907700000001</v>
      </c>
      <c r="F93">
        <f t="shared" si="5"/>
        <v>66.643797000000006</v>
      </c>
      <c r="G93">
        <v>960</v>
      </c>
      <c r="H93">
        <f t="shared" si="6"/>
        <v>4.1993619740265311</v>
      </c>
      <c r="I93">
        <f t="shared" si="7"/>
        <v>7.5798979395321329</v>
      </c>
    </row>
    <row r="94" spans="1:9" x14ac:dyDescent="0.25">
      <c r="A94">
        <v>1000</v>
      </c>
      <c r="B94">
        <v>1957.33313</v>
      </c>
      <c r="C94">
        <v>-13.377504</v>
      </c>
      <c r="D94" t="s">
        <v>120</v>
      </c>
      <c r="E94">
        <f t="shared" si="4"/>
        <v>479.33312999999998</v>
      </c>
      <c r="F94">
        <f t="shared" si="5"/>
        <v>65.547849999999983</v>
      </c>
      <c r="G94">
        <v>970</v>
      </c>
      <c r="H94">
        <f t="shared" si="6"/>
        <v>4.1827804102820183</v>
      </c>
      <c r="I94">
        <f t="shared" si="7"/>
        <v>7.579338177743403</v>
      </c>
    </row>
    <row r="95" spans="1:9" x14ac:dyDescent="0.25">
      <c r="A95">
        <v>1000</v>
      </c>
      <c r="B95">
        <v>1956.541138</v>
      </c>
      <c r="C95">
        <v>-13.295842</v>
      </c>
      <c r="D95" t="s">
        <v>121</v>
      </c>
      <c r="E95">
        <f t="shared" si="4"/>
        <v>478.54113800000005</v>
      </c>
      <c r="F95">
        <f t="shared" si="5"/>
        <v>64.755858000000046</v>
      </c>
      <c r="G95">
        <v>980</v>
      </c>
      <c r="H95">
        <f t="shared" si="6"/>
        <v>4.1706241675298612</v>
      </c>
      <c r="I95">
        <f t="shared" si="7"/>
        <v>7.5789334677519316</v>
      </c>
    </row>
    <row r="96" spans="1:9" x14ac:dyDescent="0.25">
      <c r="A96">
        <v>1000</v>
      </c>
      <c r="B96">
        <v>1955.675293</v>
      </c>
      <c r="C96">
        <v>-13.274778</v>
      </c>
      <c r="D96" t="s">
        <v>122</v>
      </c>
      <c r="E96">
        <f t="shared" si="4"/>
        <v>477.67529300000001</v>
      </c>
      <c r="F96">
        <f t="shared" si="5"/>
        <v>63.89001300000001</v>
      </c>
      <c r="G96">
        <v>990</v>
      </c>
      <c r="H96">
        <f t="shared" si="6"/>
        <v>4.1571630580889538</v>
      </c>
      <c r="I96">
        <f t="shared" si="7"/>
        <v>7.5784908311905825</v>
      </c>
    </row>
    <row r="97" spans="1:9" x14ac:dyDescent="0.25">
      <c r="A97">
        <v>1000</v>
      </c>
      <c r="B97">
        <v>1952.7589109999999</v>
      </c>
      <c r="C97">
        <v>-13.116879000000001</v>
      </c>
      <c r="D97" t="s">
        <v>123</v>
      </c>
      <c r="E97">
        <f t="shared" si="4"/>
        <v>474.7589109999999</v>
      </c>
      <c r="F97">
        <f t="shared" si="5"/>
        <v>60.973630999999898</v>
      </c>
      <c r="G97">
        <v>1000</v>
      </c>
      <c r="H97">
        <f t="shared" si="6"/>
        <v>4.1104414920254184</v>
      </c>
      <c r="I97">
        <f t="shared" si="7"/>
        <v>7.5769984777881501</v>
      </c>
    </row>
    <row r="98" spans="1:9" x14ac:dyDescent="0.25">
      <c r="A98">
        <v>1000</v>
      </c>
      <c r="B98">
        <v>1951.7554929999999</v>
      </c>
      <c r="C98">
        <v>-13.085896</v>
      </c>
      <c r="D98" t="s">
        <v>124</v>
      </c>
      <c r="E98">
        <f t="shared" si="4"/>
        <v>473.75549299999989</v>
      </c>
      <c r="F98">
        <f t="shared" si="5"/>
        <v>59.970212999999887</v>
      </c>
      <c r="G98">
        <v>1010</v>
      </c>
      <c r="H98">
        <f t="shared" si="6"/>
        <v>4.0938479889499968</v>
      </c>
      <c r="I98">
        <f t="shared" si="7"/>
        <v>7.5764844993937759</v>
      </c>
    </row>
    <row r="99" spans="1:9" x14ac:dyDescent="0.25">
      <c r="A99">
        <v>1000</v>
      </c>
      <c r="B99">
        <v>1949.89563</v>
      </c>
      <c r="C99">
        <v>-13.015271</v>
      </c>
      <c r="D99" t="s">
        <v>125</v>
      </c>
      <c r="E99">
        <f t="shared" si="4"/>
        <v>471.89562999999998</v>
      </c>
      <c r="F99">
        <f t="shared" si="5"/>
        <v>58.110349999999983</v>
      </c>
      <c r="G99">
        <v>1020</v>
      </c>
      <c r="H99">
        <f t="shared" si="6"/>
        <v>4.0623437891285894</v>
      </c>
      <c r="I99">
        <f t="shared" si="7"/>
        <v>7.5755311270484587</v>
      </c>
    </row>
    <row r="100" spans="1:9" x14ac:dyDescent="0.25">
      <c r="A100">
        <v>1000</v>
      </c>
      <c r="B100">
        <v>1949.2338870000001</v>
      </c>
      <c r="C100">
        <v>-12.938132</v>
      </c>
      <c r="D100" t="s">
        <v>126</v>
      </c>
      <c r="E100">
        <f t="shared" si="4"/>
        <v>471.2338870000001</v>
      </c>
      <c r="F100">
        <f t="shared" si="5"/>
        <v>57.448607000000095</v>
      </c>
      <c r="G100">
        <v>1030</v>
      </c>
      <c r="H100">
        <f t="shared" si="6"/>
        <v>4.0508907568293457</v>
      </c>
      <c r="I100">
        <f t="shared" si="7"/>
        <v>7.5751916958992913</v>
      </c>
    </row>
    <row r="101" spans="1:9" x14ac:dyDescent="0.25">
      <c r="A101">
        <v>1000</v>
      </c>
      <c r="B101">
        <v>1948.189331</v>
      </c>
      <c r="C101">
        <v>-12.912545</v>
      </c>
      <c r="D101" t="s">
        <v>127</v>
      </c>
      <c r="E101">
        <f t="shared" si="4"/>
        <v>470.18933100000004</v>
      </c>
      <c r="F101">
        <f t="shared" si="5"/>
        <v>56.404051000000038</v>
      </c>
      <c r="G101">
        <v>1040</v>
      </c>
      <c r="H101">
        <f t="shared" si="6"/>
        <v>4.0325409821657674</v>
      </c>
      <c r="I101">
        <f t="shared" si="7"/>
        <v>7.5746556719847282</v>
      </c>
    </row>
    <row r="102" spans="1:9" x14ac:dyDescent="0.25">
      <c r="A102">
        <v>1000</v>
      </c>
      <c r="B102">
        <v>1947.253418</v>
      </c>
      <c r="C102">
        <v>-12.877098</v>
      </c>
      <c r="D102" t="s">
        <v>128</v>
      </c>
      <c r="E102">
        <f t="shared" si="4"/>
        <v>469.25341800000001</v>
      </c>
      <c r="F102">
        <f t="shared" si="5"/>
        <v>55.46813800000001</v>
      </c>
      <c r="G102">
        <v>1050</v>
      </c>
      <c r="H102">
        <f t="shared" si="6"/>
        <v>4.0158087658094868</v>
      </c>
      <c r="I102">
        <f t="shared" si="7"/>
        <v>7.5741751550944478</v>
      </c>
    </row>
    <row r="103" spans="1:9" x14ac:dyDescent="0.25">
      <c r="A103">
        <v>1000</v>
      </c>
      <c r="B103">
        <v>1946.588013</v>
      </c>
      <c r="C103">
        <v>-12.827878999999999</v>
      </c>
      <c r="D103" t="s">
        <v>129</v>
      </c>
      <c r="E103">
        <f t="shared" si="4"/>
        <v>468.58801300000005</v>
      </c>
      <c r="F103">
        <f t="shared" si="5"/>
        <v>54.802733000000046</v>
      </c>
      <c r="G103">
        <v>1060</v>
      </c>
      <c r="H103">
        <f t="shared" si="6"/>
        <v>4.0037400649731643</v>
      </c>
      <c r="I103">
        <f t="shared" si="7"/>
        <v>7.5738333820570665</v>
      </c>
    </row>
    <row r="104" spans="1:9" x14ac:dyDescent="0.25">
      <c r="A104">
        <v>1000</v>
      </c>
      <c r="B104">
        <v>1944.947754</v>
      </c>
      <c r="C104">
        <v>-12.762486000000001</v>
      </c>
      <c r="D104" t="s">
        <v>130</v>
      </c>
      <c r="E104">
        <f t="shared" si="4"/>
        <v>466.94775400000003</v>
      </c>
      <c r="F104">
        <f t="shared" si="5"/>
        <v>53.162474000000032</v>
      </c>
      <c r="G104">
        <v>1070</v>
      </c>
      <c r="H104">
        <f t="shared" si="6"/>
        <v>3.9733527715130919</v>
      </c>
      <c r="I104">
        <f t="shared" si="7"/>
        <v>7.5729903939951067</v>
      </c>
    </row>
    <row r="105" spans="1:9" x14ac:dyDescent="0.25">
      <c r="A105">
        <v>1000</v>
      </c>
      <c r="B105">
        <v>1943.7875979999999</v>
      </c>
      <c r="C105">
        <v>-12.671741000000001</v>
      </c>
      <c r="D105" t="s">
        <v>131</v>
      </c>
      <c r="E105">
        <f t="shared" si="4"/>
        <v>465.78759799999989</v>
      </c>
      <c r="F105">
        <f t="shared" si="5"/>
        <v>52.002317999999889</v>
      </c>
      <c r="G105">
        <v>1080</v>
      </c>
      <c r="H105">
        <f t="shared" si="6"/>
        <v>3.9512882945109808</v>
      </c>
      <c r="I105">
        <f t="shared" si="7"/>
        <v>7.572393718762978</v>
      </c>
    </row>
    <row r="106" spans="1:9" x14ac:dyDescent="0.25">
      <c r="A106">
        <v>1000</v>
      </c>
      <c r="B106">
        <v>1942.5117190000001</v>
      </c>
      <c r="C106">
        <v>-12.633464999999999</v>
      </c>
      <c r="D106" t="s">
        <v>132</v>
      </c>
      <c r="E106">
        <f t="shared" si="4"/>
        <v>464.51171900000008</v>
      </c>
      <c r="F106">
        <f t="shared" si="5"/>
        <v>50.726439000000084</v>
      </c>
      <c r="G106">
        <v>1090</v>
      </c>
      <c r="H106">
        <f t="shared" si="6"/>
        <v>3.9264472539640072</v>
      </c>
      <c r="I106">
        <f t="shared" si="7"/>
        <v>7.571737115170837</v>
      </c>
    </row>
    <row r="107" spans="1:9" x14ac:dyDescent="0.25">
      <c r="A107">
        <v>1000</v>
      </c>
      <c r="B107">
        <v>1941.905029</v>
      </c>
      <c r="C107">
        <v>-12.581253999999999</v>
      </c>
      <c r="D107" t="s">
        <v>133</v>
      </c>
      <c r="E107">
        <f t="shared" si="4"/>
        <v>463.90502900000001</v>
      </c>
      <c r="F107">
        <f t="shared" si="5"/>
        <v>50.119749000000013</v>
      </c>
      <c r="G107">
        <v>1100</v>
      </c>
      <c r="H107">
        <f t="shared" si="6"/>
        <v>3.9144151220344821</v>
      </c>
      <c r="I107">
        <f t="shared" si="7"/>
        <v>7.5714247439479267</v>
      </c>
    </row>
    <row r="108" spans="1:9" x14ac:dyDescent="0.25">
      <c r="A108">
        <v>1000</v>
      </c>
      <c r="B108">
        <v>1939.564331</v>
      </c>
      <c r="C108">
        <v>-12.508635999999999</v>
      </c>
      <c r="D108" t="s">
        <v>134</v>
      </c>
      <c r="E108">
        <f t="shared" si="4"/>
        <v>461.56433100000004</v>
      </c>
      <c r="F108">
        <f t="shared" si="5"/>
        <v>47.779051000000038</v>
      </c>
      <c r="G108">
        <v>1110</v>
      </c>
      <c r="H108">
        <f t="shared" si="6"/>
        <v>3.8665872798335248</v>
      </c>
      <c r="I108">
        <f t="shared" si="7"/>
        <v>7.5702186551879009</v>
      </c>
    </row>
    <row r="109" spans="1:9" x14ac:dyDescent="0.25">
      <c r="A109">
        <v>1000</v>
      </c>
      <c r="B109">
        <v>1939.1517329999999</v>
      </c>
      <c r="C109">
        <v>-12.453407</v>
      </c>
      <c r="D109" t="s">
        <v>135</v>
      </c>
      <c r="E109">
        <f t="shared" si="4"/>
        <v>461.15173299999992</v>
      </c>
      <c r="F109">
        <f t="shared" si="5"/>
        <v>47.366452999999922</v>
      </c>
      <c r="G109">
        <v>1120</v>
      </c>
      <c r="H109">
        <f t="shared" si="6"/>
        <v>3.857914235516958</v>
      </c>
      <c r="I109">
        <f t="shared" si="7"/>
        <v>7.5700059054043392</v>
      </c>
    </row>
    <row r="110" spans="1:9" x14ac:dyDescent="0.25">
      <c r="A110">
        <v>1000</v>
      </c>
      <c r="B110">
        <v>1938.4099120000001</v>
      </c>
      <c r="C110">
        <v>-12.408013</v>
      </c>
      <c r="D110" t="s">
        <v>136</v>
      </c>
      <c r="E110">
        <f t="shared" si="4"/>
        <v>460.40991200000008</v>
      </c>
      <c r="F110">
        <f t="shared" si="5"/>
        <v>46.624632000000076</v>
      </c>
      <c r="G110">
        <v>1130</v>
      </c>
      <c r="H110">
        <f t="shared" si="6"/>
        <v>3.8421289851714393</v>
      </c>
      <c r="I110">
        <f t="shared" si="7"/>
        <v>7.5696232829849084</v>
      </c>
    </row>
    <row r="111" spans="1:9" x14ac:dyDescent="0.25">
      <c r="A111">
        <v>1000</v>
      </c>
      <c r="B111">
        <v>1937.4765629999999</v>
      </c>
      <c r="C111">
        <v>-12.338715000000001</v>
      </c>
      <c r="D111" t="s">
        <v>137</v>
      </c>
      <c r="E111">
        <f t="shared" si="4"/>
        <v>459.47656299999994</v>
      </c>
      <c r="F111">
        <f t="shared" si="5"/>
        <v>45.691282999999942</v>
      </c>
      <c r="G111">
        <v>1140</v>
      </c>
      <c r="H111">
        <f t="shared" si="6"/>
        <v>3.821907535723716</v>
      </c>
      <c r="I111">
        <f t="shared" si="7"/>
        <v>7.5691416646382095</v>
      </c>
    </row>
    <row r="112" spans="1:9" x14ac:dyDescent="0.25">
      <c r="A112">
        <v>1000</v>
      </c>
      <c r="B112">
        <v>1935.6929929999999</v>
      </c>
      <c r="C112">
        <v>-12.238597</v>
      </c>
      <c r="D112" t="s">
        <v>138</v>
      </c>
      <c r="E112">
        <f t="shared" si="4"/>
        <v>457.69299299999989</v>
      </c>
      <c r="F112">
        <f t="shared" si="5"/>
        <v>43.907712999999887</v>
      </c>
      <c r="G112">
        <v>1150</v>
      </c>
      <c r="H112">
        <f t="shared" si="6"/>
        <v>3.7820899994094264</v>
      </c>
      <c r="I112">
        <f t="shared" si="7"/>
        <v>7.5682206772658347</v>
      </c>
    </row>
    <row r="113" spans="1:9" x14ac:dyDescent="0.25">
      <c r="A113">
        <v>1000</v>
      </c>
      <c r="B113">
        <v>1934.744751</v>
      </c>
      <c r="C113">
        <v>-12.144641999999999</v>
      </c>
      <c r="D113" t="s">
        <v>139</v>
      </c>
      <c r="E113">
        <f t="shared" si="4"/>
        <v>456.74475099999995</v>
      </c>
      <c r="F113">
        <f t="shared" si="5"/>
        <v>42.959470999999951</v>
      </c>
      <c r="G113">
        <v>1160</v>
      </c>
      <c r="H113">
        <f t="shared" si="6"/>
        <v>3.7602571363445323</v>
      </c>
      <c r="I113">
        <f t="shared" si="7"/>
        <v>7.5677306851348716</v>
      </c>
    </row>
    <row r="114" spans="1:9" x14ac:dyDescent="0.25">
      <c r="A114">
        <v>1000</v>
      </c>
      <c r="B114">
        <v>1932.665039</v>
      </c>
      <c r="C114">
        <v>-12.073197</v>
      </c>
      <c r="D114" t="s">
        <v>140</v>
      </c>
      <c r="E114">
        <f t="shared" si="4"/>
        <v>454.66503899999998</v>
      </c>
      <c r="F114">
        <f t="shared" si="5"/>
        <v>40.879758999999979</v>
      </c>
      <c r="G114">
        <v>1170</v>
      </c>
      <c r="H114">
        <f t="shared" si="6"/>
        <v>3.7106350505747443</v>
      </c>
      <c r="I114">
        <f t="shared" si="7"/>
        <v>7.5666551786261751</v>
      </c>
    </row>
    <row r="115" spans="1:9" x14ac:dyDescent="0.25">
      <c r="A115">
        <v>1000</v>
      </c>
      <c r="B115">
        <v>1932.4047849999999</v>
      </c>
      <c r="C115">
        <v>-12.030222</v>
      </c>
      <c r="D115" t="s">
        <v>141</v>
      </c>
      <c r="E115">
        <f t="shared" si="4"/>
        <v>454.40478499999995</v>
      </c>
      <c r="F115">
        <f t="shared" si="5"/>
        <v>40.619504999999947</v>
      </c>
      <c r="G115">
        <v>1180</v>
      </c>
      <c r="H115">
        <f t="shared" si="6"/>
        <v>3.7042483699627717</v>
      </c>
      <c r="I115">
        <f t="shared" si="7"/>
        <v>7.5665205088725909</v>
      </c>
    </row>
    <row r="116" spans="1:9" x14ac:dyDescent="0.25">
      <c r="A116">
        <v>1000</v>
      </c>
      <c r="B116">
        <v>1929.5322269999999</v>
      </c>
      <c r="C116">
        <v>-11.950651000000001</v>
      </c>
      <c r="D116" t="s">
        <v>142</v>
      </c>
      <c r="E116">
        <f t="shared" si="4"/>
        <v>451.53222699999992</v>
      </c>
      <c r="F116">
        <f t="shared" si="5"/>
        <v>37.746946999999921</v>
      </c>
      <c r="G116">
        <v>1190</v>
      </c>
      <c r="H116">
        <f t="shared" si="6"/>
        <v>3.630904598252354</v>
      </c>
      <c r="I116">
        <f t="shared" si="7"/>
        <v>7.5650328830926625</v>
      </c>
    </row>
    <row r="117" spans="1:9" x14ac:dyDescent="0.25">
      <c r="A117">
        <v>1000</v>
      </c>
      <c r="B117">
        <v>1929.6011960000001</v>
      </c>
      <c r="C117">
        <v>-11.877745000000001</v>
      </c>
      <c r="D117" t="s">
        <v>143</v>
      </c>
      <c r="E117">
        <f t="shared" si="4"/>
        <v>451.60119600000007</v>
      </c>
      <c r="F117">
        <f t="shared" si="5"/>
        <v>37.815916000000072</v>
      </c>
      <c r="G117">
        <v>1200</v>
      </c>
      <c r="H117">
        <f t="shared" si="6"/>
        <v>3.6327300722064733</v>
      </c>
      <c r="I117">
        <f t="shared" si="7"/>
        <v>7.5650686263502527</v>
      </c>
    </row>
    <row r="118" spans="1:9" x14ac:dyDescent="0.25">
      <c r="A118">
        <v>1000</v>
      </c>
      <c r="B118">
        <v>1927.7985839999999</v>
      </c>
      <c r="C118">
        <v>-11.850369000000001</v>
      </c>
      <c r="D118" t="s">
        <v>144</v>
      </c>
      <c r="E118">
        <f t="shared" si="4"/>
        <v>449.79858399999989</v>
      </c>
      <c r="F118">
        <f t="shared" si="5"/>
        <v>36.013303999999891</v>
      </c>
      <c r="G118">
        <v>1210</v>
      </c>
      <c r="H118">
        <f t="shared" si="6"/>
        <v>3.5838884257428272</v>
      </c>
      <c r="I118">
        <f t="shared" si="7"/>
        <v>7.5641340008335689</v>
      </c>
    </row>
    <row r="119" spans="1:9" x14ac:dyDescent="0.25">
      <c r="A119">
        <v>1000</v>
      </c>
      <c r="B119">
        <v>1926.6694339999999</v>
      </c>
      <c r="C119">
        <v>-11.777177999999999</v>
      </c>
      <c r="D119" t="s">
        <v>27</v>
      </c>
      <c r="E119">
        <f t="shared" si="4"/>
        <v>448.66943399999991</v>
      </c>
      <c r="F119">
        <f t="shared" si="5"/>
        <v>34.88415399999991</v>
      </c>
      <c r="G119">
        <v>1220</v>
      </c>
      <c r="H119">
        <f t="shared" si="6"/>
        <v>3.5520326859863416</v>
      </c>
      <c r="I119">
        <f t="shared" si="7"/>
        <v>7.5635481093294619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opLeftCell="A10" zoomScale="70" zoomScaleNormal="70" workbookViewId="0">
      <selection activeCell="U47" sqref="U47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1836.27124</v>
      </c>
      <c r="C2">
        <v>-9.9795250000000006</v>
      </c>
      <c r="D2" t="s">
        <v>145</v>
      </c>
      <c r="E2">
        <f t="shared" ref="E2:E65" si="0">B2-$P$3</f>
        <v>352.27124000000003</v>
      </c>
      <c r="F2" t="e">
        <f>E2-$R$3</f>
        <v>#VALUE!</v>
      </c>
      <c r="G2">
        <v>0</v>
      </c>
      <c r="H2" t="e">
        <f>LN(F2)</f>
        <v>#VALUE!</v>
      </c>
      <c r="I2">
        <f t="shared" ref="I2:I33" si="1">LN(B2)</f>
        <v>7.5154922944736056</v>
      </c>
      <c r="L2" s="1" t="s">
        <v>0</v>
      </c>
      <c r="M2" s="1" t="s">
        <v>6</v>
      </c>
      <c r="O2" s="2"/>
      <c r="P2" t="s">
        <v>14</v>
      </c>
      <c r="R2" t="s">
        <v>15</v>
      </c>
    </row>
    <row r="3" spans="1:18" x14ac:dyDescent="0.25">
      <c r="A3">
        <v>1000</v>
      </c>
      <c r="B3">
        <v>1845.153442</v>
      </c>
      <c r="C3">
        <v>-10.261065</v>
      </c>
      <c r="D3" t="s">
        <v>146</v>
      </c>
      <c r="E3">
        <f t="shared" si="0"/>
        <v>361.15344200000004</v>
      </c>
      <c r="F3" t="e">
        <f t="shared" ref="F3:F66" si="2">E3-$R$3</f>
        <v>#VALUE!</v>
      </c>
      <c r="G3">
        <v>10</v>
      </c>
      <c r="H3" t="e">
        <f t="shared" ref="H3:H66" si="3">LN(F3)</f>
        <v>#VALUE!</v>
      </c>
      <c r="I3">
        <f t="shared" si="1"/>
        <v>7.5203177194121587</v>
      </c>
      <c r="K3" t="s">
        <v>2</v>
      </c>
      <c r="L3">
        <f>1/(0.00003)</f>
        <v>33333.333333333336</v>
      </c>
      <c r="M3">
        <f>1/(0.00004)</f>
        <v>24999.999999999996</v>
      </c>
      <c r="N3" s="3" t="s">
        <v>3</v>
      </c>
      <c r="O3" s="2"/>
      <c r="P3">
        <v>1484</v>
      </c>
      <c r="R3" s="4" t="s">
        <v>725</v>
      </c>
    </row>
    <row r="4" spans="1:18" x14ac:dyDescent="0.25">
      <c r="A4">
        <v>1000</v>
      </c>
      <c r="B4">
        <v>1852.9571530000001</v>
      </c>
      <c r="C4">
        <v>-10.711625</v>
      </c>
      <c r="D4" t="s">
        <v>147</v>
      </c>
      <c r="E4">
        <f t="shared" si="0"/>
        <v>368.95715300000006</v>
      </c>
      <c r="F4" t="e">
        <f t="shared" si="2"/>
        <v>#VALUE!</v>
      </c>
      <c r="G4">
        <v>20</v>
      </c>
      <c r="H4" t="e">
        <f t="shared" si="3"/>
        <v>#VALUE!</v>
      </c>
      <c r="I4">
        <f t="shared" si="1"/>
        <v>7.5245381029743053</v>
      </c>
      <c r="L4">
        <f>L3/60</f>
        <v>555.55555555555554</v>
      </c>
      <c r="M4">
        <f>M3/60</f>
        <v>416.66666666666663</v>
      </c>
      <c r="N4" s="3" t="s">
        <v>4</v>
      </c>
    </row>
    <row r="5" spans="1:18" x14ac:dyDescent="0.25">
      <c r="A5">
        <v>1000</v>
      </c>
      <c r="B5">
        <v>1847.4160159999999</v>
      </c>
      <c r="C5">
        <v>-10.343916</v>
      </c>
      <c r="D5" t="s">
        <v>148</v>
      </c>
      <c r="E5">
        <f t="shared" si="0"/>
        <v>363.4160159999999</v>
      </c>
      <c r="F5" t="e">
        <f t="shared" si="2"/>
        <v>#VALUE!</v>
      </c>
      <c r="G5">
        <v>30</v>
      </c>
      <c r="H5" t="e">
        <f t="shared" si="3"/>
        <v>#VALUE!</v>
      </c>
      <c r="I5">
        <f t="shared" si="1"/>
        <v>7.5215431936023629</v>
      </c>
      <c r="L5">
        <f>L4/60</f>
        <v>9.2592592592592595</v>
      </c>
      <c r="M5">
        <f>M4/60</f>
        <v>6.9444444444444438</v>
      </c>
      <c r="N5" s="3" t="s">
        <v>5</v>
      </c>
    </row>
    <row r="6" spans="1:18" x14ac:dyDescent="0.25">
      <c r="A6">
        <v>1000</v>
      </c>
      <c r="B6">
        <v>1843.4155270000001</v>
      </c>
      <c r="C6">
        <v>-10.025779</v>
      </c>
      <c r="D6" t="s">
        <v>149</v>
      </c>
      <c r="E6">
        <f t="shared" si="0"/>
        <v>359.41552700000011</v>
      </c>
      <c r="F6" t="e">
        <f t="shared" si="2"/>
        <v>#VALUE!</v>
      </c>
      <c r="G6">
        <v>40</v>
      </c>
      <c r="H6" t="e">
        <f t="shared" si="3"/>
        <v>#VALUE!</v>
      </c>
      <c r="I6">
        <f t="shared" si="1"/>
        <v>7.5193753945467661</v>
      </c>
    </row>
    <row r="7" spans="1:18" x14ac:dyDescent="0.25">
      <c r="A7">
        <v>1000</v>
      </c>
      <c r="B7">
        <v>1840.0529790000001</v>
      </c>
      <c r="C7">
        <v>-9.7462199999999992</v>
      </c>
      <c r="D7" t="s">
        <v>150</v>
      </c>
      <c r="E7">
        <f t="shared" si="0"/>
        <v>356.05297900000005</v>
      </c>
      <c r="F7" t="e">
        <f t="shared" si="2"/>
        <v>#VALUE!</v>
      </c>
      <c r="G7">
        <v>50</v>
      </c>
      <c r="H7" t="e">
        <f t="shared" si="3"/>
        <v>#VALUE!</v>
      </c>
      <c r="I7">
        <f t="shared" si="1"/>
        <v>7.5175496431233055</v>
      </c>
    </row>
    <row r="8" spans="1:18" x14ac:dyDescent="0.25">
      <c r="A8">
        <v>1000</v>
      </c>
      <c r="B8">
        <v>1839.7222899999999</v>
      </c>
      <c r="C8">
        <v>-9.7233789999999996</v>
      </c>
      <c r="D8" t="s">
        <v>151</v>
      </c>
      <c r="E8">
        <f t="shared" si="0"/>
        <v>355.72228999999993</v>
      </c>
      <c r="F8" t="e">
        <f t="shared" si="2"/>
        <v>#VALUE!</v>
      </c>
      <c r="G8">
        <v>60</v>
      </c>
      <c r="H8" t="e">
        <f t="shared" si="3"/>
        <v>#VALUE!</v>
      </c>
      <c r="I8">
        <f t="shared" si="1"/>
        <v>7.5173699098642253</v>
      </c>
    </row>
    <row r="9" spans="1:18" x14ac:dyDescent="0.25">
      <c r="A9">
        <v>1000</v>
      </c>
      <c r="B9">
        <v>1844.330078</v>
      </c>
      <c r="C9">
        <v>-10.102769</v>
      </c>
      <c r="D9" t="s">
        <v>152</v>
      </c>
      <c r="E9">
        <f t="shared" si="0"/>
        <v>360.33007799999996</v>
      </c>
      <c r="F9" t="e">
        <f t="shared" si="2"/>
        <v>#VALUE!</v>
      </c>
      <c r="G9">
        <v>70</v>
      </c>
      <c r="H9" t="e">
        <f t="shared" si="3"/>
        <v>#VALUE!</v>
      </c>
      <c r="I9">
        <f t="shared" si="1"/>
        <v>7.519871389182355</v>
      </c>
    </row>
    <row r="10" spans="1:18" x14ac:dyDescent="0.25">
      <c r="A10">
        <v>1000</v>
      </c>
      <c r="B10">
        <v>1839.3063959999999</v>
      </c>
      <c r="C10">
        <v>-9.7269450000000006</v>
      </c>
      <c r="D10" t="s">
        <v>153</v>
      </c>
      <c r="E10">
        <f t="shared" si="0"/>
        <v>355.30639599999995</v>
      </c>
      <c r="F10" t="e">
        <f t="shared" si="2"/>
        <v>#VALUE!</v>
      </c>
      <c r="G10">
        <v>80</v>
      </c>
      <c r="H10" t="e">
        <f t="shared" si="3"/>
        <v>#VALUE!</v>
      </c>
      <c r="I10">
        <f t="shared" si="1"/>
        <v>7.5171438208405901</v>
      </c>
    </row>
    <row r="11" spans="1:18" x14ac:dyDescent="0.25">
      <c r="A11">
        <v>1000</v>
      </c>
      <c r="B11">
        <v>1838.5302730000001</v>
      </c>
      <c r="C11">
        <v>-9.6791330000000002</v>
      </c>
      <c r="D11" t="s">
        <v>154</v>
      </c>
      <c r="E11">
        <f t="shared" si="0"/>
        <v>354.53027300000008</v>
      </c>
      <c r="F11" t="e">
        <f t="shared" si="2"/>
        <v>#VALUE!</v>
      </c>
      <c r="G11">
        <v>90</v>
      </c>
      <c r="H11" t="e">
        <f t="shared" si="3"/>
        <v>#VALUE!</v>
      </c>
      <c r="I11">
        <f t="shared" si="1"/>
        <v>7.5167217667466373</v>
      </c>
    </row>
    <row r="12" spans="1:18" x14ac:dyDescent="0.25">
      <c r="A12">
        <v>1000</v>
      </c>
      <c r="B12">
        <v>1839.7486570000001</v>
      </c>
      <c r="C12">
        <v>-9.759347</v>
      </c>
      <c r="D12" t="s">
        <v>155</v>
      </c>
      <c r="E12">
        <f t="shared" si="0"/>
        <v>355.74865700000009</v>
      </c>
      <c r="F12" t="e">
        <f t="shared" si="2"/>
        <v>#VALUE!</v>
      </c>
      <c r="G12">
        <v>100</v>
      </c>
      <c r="H12" t="e">
        <f t="shared" si="3"/>
        <v>#VALUE!</v>
      </c>
      <c r="I12">
        <f t="shared" si="1"/>
        <v>7.5173842418159538</v>
      </c>
    </row>
    <row r="13" spans="1:18" x14ac:dyDescent="0.25">
      <c r="A13">
        <v>1000</v>
      </c>
      <c r="B13">
        <v>1838.3610839999999</v>
      </c>
      <c r="C13">
        <v>-9.6993779999999994</v>
      </c>
      <c r="D13" t="s">
        <v>156</v>
      </c>
      <c r="E13">
        <f t="shared" si="0"/>
        <v>354.36108399999989</v>
      </c>
      <c r="F13" t="e">
        <f t="shared" si="2"/>
        <v>#VALUE!</v>
      </c>
      <c r="G13">
        <v>110</v>
      </c>
      <c r="H13" t="e">
        <f t="shared" si="3"/>
        <v>#VALUE!</v>
      </c>
      <c r="I13">
        <f t="shared" si="1"/>
        <v>7.5166297384631262</v>
      </c>
    </row>
    <row r="14" spans="1:18" x14ac:dyDescent="0.25">
      <c r="A14">
        <v>1000</v>
      </c>
      <c r="B14">
        <v>1838.6453859999999</v>
      </c>
      <c r="C14">
        <v>-9.6812100000000001</v>
      </c>
      <c r="D14" t="s">
        <v>157</v>
      </c>
      <c r="E14">
        <f t="shared" si="0"/>
        <v>354.64538599999992</v>
      </c>
      <c r="F14" t="e">
        <f t="shared" si="2"/>
        <v>#VALUE!</v>
      </c>
      <c r="G14">
        <v>120</v>
      </c>
      <c r="H14" t="e">
        <f t="shared" si="3"/>
        <v>#VALUE!</v>
      </c>
      <c r="I14">
        <f t="shared" si="1"/>
        <v>7.5167843762114614</v>
      </c>
    </row>
    <row r="15" spans="1:18" x14ac:dyDescent="0.25">
      <c r="A15">
        <v>1000</v>
      </c>
      <c r="B15">
        <v>1837.7604980000001</v>
      </c>
      <c r="C15">
        <v>-9.6901159999999997</v>
      </c>
      <c r="D15" t="s">
        <v>158</v>
      </c>
      <c r="E15">
        <f t="shared" si="0"/>
        <v>353.7604980000001</v>
      </c>
      <c r="F15" t="e">
        <f t="shared" si="2"/>
        <v>#VALUE!</v>
      </c>
      <c r="G15">
        <v>130</v>
      </c>
      <c r="H15" t="e">
        <f t="shared" si="3"/>
        <v>#VALUE!</v>
      </c>
      <c r="I15">
        <f t="shared" si="1"/>
        <v>7.5163029886579604</v>
      </c>
    </row>
    <row r="16" spans="1:18" x14ac:dyDescent="0.25">
      <c r="A16">
        <v>1000</v>
      </c>
      <c r="B16">
        <v>1842.9525149999999</v>
      </c>
      <c r="C16">
        <v>-10.090707</v>
      </c>
      <c r="D16" t="s">
        <v>159</v>
      </c>
      <c r="E16">
        <f t="shared" si="0"/>
        <v>358.95251499999995</v>
      </c>
      <c r="F16" t="e">
        <f t="shared" si="2"/>
        <v>#VALUE!</v>
      </c>
      <c r="G16">
        <v>140</v>
      </c>
      <c r="H16" t="e">
        <f t="shared" si="3"/>
        <v>#VALUE!</v>
      </c>
      <c r="I16">
        <f t="shared" si="1"/>
        <v>7.519124192280926</v>
      </c>
    </row>
    <row r="17" spans="1:9" x14ac:dyDescent="0.25">
      <c r="A17">
        <v>1000</v>
      </c>
      <c r="B17">
        <v>1842.602783</v>
      </c>
      <c r="C17">
        <v>-10.090652</v>
      </c>
      <c r="D17" t="s">
        <v>160</v>
      </c>
      <c r="E17">
        <f t="shared" si="0"/>
        <v>358.60278300000004</v>
      </c>
      <c r="F17" t="e">
        <f t="shared" si="2"/>
        <v>#VALUE!</v>
      </c>
      <c r="G17">
        <v>150</v>
      </c>
      <c r="H17" t="e">
        <f t="shared" si="3"/>
        <v>#VALUE!</v>
      </c>
      <c r="I17">
        <f t="shared" si="1"/>
        <v>7.5189344070394784</v>
      </c>
    </row>
    <row r="18" spans="1:9" x14ac:dyDescent="0.25">
      <c r="A18">
        <v>1000</v>
      </c>
      <c r="B18">
        <v>1841.5794679999999</v>
      </c>
      <c r="C18">
        <v>-10.024508000000001</v>
      </c>
      <c r="D18" t="s">
        <v>161</v>
      </c>
      <c r="E18">
        <f t="shared" si="0"/>
        <v>357.57946799999991</v>
      </c>
      <c r="F18" t="e">
        <f t="shared" si="2"/>
        <v>#VALUE!</v>
      </c>
      <c r="G18">
        <v>160</v>
      </c>
      <c r="H18" t="e">
        <f t="shared" si="3"/>
        <v>#VALUE!</v>
      </c>
      <c r="I18">
        <f t="shared" si="1"/>
        <v>7.518378888904599</v>
      </c>
    </row>
    <row r="19" spans="1:9" x14ac:dyDescent="0.25">
      <c r="A19">
        <v>1000</v>
      </c>
      <c r="B19">
        <v>1839.9332280000001</v>
      </c>
      <c r="C19">
        <v>-9.9262639999999998</v>
      </c>
      <c r="D19" t="s">
        <v>162</v>
      </c>
      <c r="E19">
        <f t="shared" si="0"/>
        <v>355.9332280000001</v>
      </c>
      <c r="F19" t="e">
        <f t="shared" si="2"/>
        <v>#VALUE!</v>
      </c>
      <c r="G19">
        <v>170</v>
      </c>
      <c r="H19" t="e">
        <f t="shared" si="3"/>
        <v>#VALUE!</v>
      </c>
      <c r="I19">
        <f t="shared" si="1"/>
        <v>7.5174845608141299</v>
      </c>
    </row>
    <row r="20" spans="1:9" x14ac:dyDescent="0.25">
      <c r="A20">
        <v>1000</v>
      </c>
      <c r="B20">
        <v>1840.1988530000001</v>
      </c>
      <c r="C20">
        <v>-9.9418360000000003</v>
      </c>
      <c r="D20" t="s">
        <v>163</v>
      </c>
      <c r="E20">
        <f t="shared" si="0"/>
        <v>356.1988530000001</v>
      </c>
      <c r="F20" t="e">
        <f t="shared" si="2"/>
        <v>#VALUE!</v>
      </c>
      <c r="G20">
        <v>180</v>
      </c>
      <c r="H20" t="e">
        <f t="shared" si="3"/>
        <v>#VALUE!</v>
      </c>
      <c r="I20">
        <f t="shared" si="1"/>
        <v>7.5176289170462516</v>
      </c>
    </row>
    <row r="21" spans="1:9" x14ac:dyDescent="0.25">
      <c r="A21">
        <v>1000</v>
      </c>
      <c r="B21">
        <v>1840.0789789999999</v>
      </c>
      <c r="C21">
        <v>-9.9363309999999991</v>
      </c>
      <c r="D21" t="s">
        <v>164</v>
      </c>
      <c r="E21">
        <f t="shared" si="0"/>
        <v>356.07897899999989</v>
      </c>
      <c r="F21" t="e">
        <f t="shared" si="2"/>
        <v>#VALUE!</v>
      </c>
      <c r="G21">
        <v>190</v>
      </c>
      <c r="H21" t="e">
        <f t="shared" si="3"/>
        <v>#VALUE!</v>
      </c>
      <c r="I21">
        <f t="shared" si="1"/>
        <v>7.5175637730514149</v>
      </c>
    </row>
    <row r="22" spans="1:9" x14ac:dyDescent="0.25">
      <c r="A22">
        <v>1000</v>
      </c>
      <c r="B22">
        <v>1838.8900149999999</v>
      </c>
      <c r="C22">
        <v>-9.8554480000000009</v>
      </c>
      <c r="D22" t="s">
        <v>165</v>
      </c>
      <c r="E22">
        <f t="shared" si="0"/>
        <v>354.89001499999995</v>
      </c>
      <c r="F22" t="e">
        <f t="shared" si="2"/>
        <v>#VALUE!</v>
      </c>
      <c r="G22">
        <v>200</v>
      </c>
      <c r="H22" t="e">
        <f t="shared" si="3"/>
        <v>#VALUE!</v>
      </c>
      <c r="I22">
        <f t="shared" si="1"/>
        <v>7.5169174158555094</v>
      </c>
    </row>
    <row r="23" spans="1:9" x14ac:dyDescent="0.25">
      <c r="A23">
        <v>1000</v>
      </c>
      <c r="B23">
        <v>1839.032471</v>
      </c>
      <c r="C23">
        <v>-9.8621269999999992</v>
      </c>
      <c r="D23" t="s">
        <v>166</v>
      </c>
      <c r="E23">
        <f t="shared" si="0"/>
        <v>355.03247099999999</v>
      </c>
      <c r="F23" t="e">
        <f t="shared" si="2"/>
        <v>#VALUE!</v>
      </c>
      <c r="G23">
        <v>210</v>
      </c>
      <c r="H23" t="e">
        <f t="shared" si="3"/>
        <v>#VALUE!</v>
      </c>
      <c r="I23">
        <f t="shared" si="1"/>
        <v>7.5169948813271787</v>
      </c>
    </row>
    <row r="24" spans="1:9" x14ac:dyDescent="0.25">
      <c r="A24">
        <v>1000</v>
      </c>
      <c r="B24">
        <v>1844.915283</v>
      </c>
      <c r="C24">
        <v>-10.332482000000001</v>
      </c>
      <c r="D24" t="s">
        <v>167</v>
      </c>
      <c r="E24">
        <f t="shared" si="0"/>
        <v>360.91528300000004</v>
      </c>
      <c r="F24" t="e">
        <f t="shared" si="2"/>
        <v>#VALUE!</v>
      </c>
      <c r="G24">
        <v>220</v>
      </c>
      <c r="H24" t="e">
        <f t="shared" si="3"/>
        <v>#VALUE!</v>
      </c>
      <c r="I24">
        <f t="shared" si="1"/>
        <v>7.5201886383472356</v>
      </c>
    </row>
    <row r="25" spans="1:9" x14ac:dyDescent="0.25">
      <c r="A25">
        <v>1000</v>
      </c>
      <c r="B25">
        <v>1840.534058</v>
      </c>
      <c r="C25">
        <v>-9.9818739999999995</v>
      </c>
      <c r="D25" t="s">
        <v>168</v>
      </c>
      <c r="E25">
        <f t="shared" si="0"/>
        <v>356.53405799999996</v>
      </c>
      <c r="F25" t="e">
        <f t="shared" si="2"/>
        <v>#VALUE!</v>
      </c>
      <c r="G25">
        <v>230</v>
      </c>
      <c r="H25" t="e">
        <f t="shared" si="3"/>
        <v>#VALUE!</v>
      </c>
      <c r="I25">
        <f t="shared" si="1"/>
        <v>7.5178110574020076</v>
      </c>
    </row>
    <row r="26" spans="1:9" x14ac:dyDescent="0.25">
      <c r="A26">
        <v>1000</v>
      </c>
      <c r="B26">
        <v>1839.0736079999999</v>
      </c>
      <c r="C26">
        <v>-9.9180399999999995</v>
      </c>
      <c r="D26" t="s">
        <v>169</v>
      </c>
      <c r="E26">
        <f t="shared" si="0"/>
        <v>355.07360799999992</v>
      </c>
      <c r="F26" t="e">
        <f t="shared" si="2"/>
        <v>#VALUE!</v>
      </c>
      <c r="G26">
        <v>240</v>
      </c>
      <c r="H26" t="e">
        <f t="shared" si="3"/>
        <v>#VALUE!</v>
      </c>
      <c r="I26">
        <f t="shared" si="1"/>
        <v>7.5170172499044403</v>
      </c>
    </row>
    <row r="27" spans="1:9" x14ac:dyDescent="0.25">
      <c r="A27">
        <v>1000</v>
      </c>
      <c r="B27">
        <v>1839.653442</v>
      </c>
      <c r="C27">
        <v>-9.9017300000000006</v>
      </c>
      <c r="D27" t="s">
        <v>170</v>
      </c>
      <c r="E27">
        <f t="shared" si="0"/>
        <v>355.65344200000004</v>
      </c>
      <c r="F27" t="e">
        <f t="shared" si="2"/>
        <v>#VALUE!</v>
      </c>
      <c r="G27">
        <v>250</v>
      </c>
      <c r="H27" t="e">
        <f t="shared" si="3"/>
        <v>#VALUE!</v>
      </c>
      <c r="I27">
        <f t="shared" si="1"/>
        <v>7.5173324861244266</v>
      </c>
    </row>
    <row r="28" spans="1:9" x14ac:dyDescent="0.25">
      <c r="A28">
        <v>1000</v>
      </c>
      <c r="B28">
        <v>1838.856689</v>
      </c>
      <c r="C28">
        <v>-9.8549830000000007</v>
      </c>
      <c r="D28" t="s">
        <v>171</v>
      </c>
      <c r="E28">
        <f t="shared" si="0"/>
        <v>354.85668899999996</v>
      </c>
      <c r="F28" t="e">
        <f t="shared" si="2"/>
        <v>#VALUE!</v>
      </c>
      <c r="G28">
        <v>260</v>
      </c>
      <c r="H28" t="e">
        <f t="shared" si="3"/>
        <v>#VALUE!</v>
      </c>
      <c r="I28">
        <f t="shared" si="1"/>
        <v>7.5168992928020835</v>
      </c>
    </row>
    <row r="29" spans="1:9" x14ac:dyDescent="0.25">
      <c r="A29">
        <v>1000</v>
      </c>
      <c r="B29">
        <v>1838.787842</v>
      </c>
      <c r="C29">
        <v>-9.869491</v>
      </c>
      <c r="D29" t="s">
        <v>172</v>
      </c>
      <c r="E29">
        <f t="shared" si="0"/>
        <v>354.78784199999996</v>
      </c>
      <c r="F29" t="e">
        <f t="shared" si="2"/>
        <v>#VALUE!</v>
      </c>
      <c r="G29">
        <v>270</v>
      </c>
      <c r="H29" t="e">
        <f t="shared" si="3"/>
        <v>#VALUE!</v>
      </c>
      <c r="I29">
        <f t="shared" si="1"/>
        <v>7.5168618519893959</v>
      </c>
    </row>
    <row r="30" spans="1:9" x14ac:dyDescent="0.25">
      <c r="A30">
        <v>1000</v>
      </c>
      <c r="B30">
        <v>1837.8039550000001</v>
      </c>
      <c r="C30">
        <v>-9.7893869999999996</v>
      </c>
      <c r="D30" t="s">
        <v>173</v>
      </c>
      <c r="E30">
        <f t="shared" si="0"/>
        <v>353.80395500000009</v>
      </c>
      <c r="F30" t="e">
        <f t="shared" si="2"/>
        <v>#VALUE!</v>
      </c>
      <c r="G30">
        <v>280</v>
      </c>
      <c r="H30" t="e">
        <f t="shared" si="3"/>
        <v>#VALUE!</v>
      </c>
      <c r="I30">
        <f t="shared" si="1"/>
        <v>7.5163266350940692</v>
      </c>
    </row>
    <row r="31" spans="1:9" x14ac:dyDescent="0.25">
      <c r="A31">
        <v>1000</v>
      </c>
      <c r="B31">
        <v>1837.7150879999999</v>
      </c>
      <c r="C31">
        <v>-9.7809720000000002</v>
      </c>
      <c r="D31" t="s">
        <v>174</v>
      </c>
      <c r="E31">
        <f t="shared" si="0"/>
        <v>353.71508799999992</v>
      </c>
      <c r="F31" t="e">
        <f t="shared" si="2"/>
        <v>#VALUE!</v>
      </c>
      <c r="G31">
        <v>290</v>
      </c>
      <c r="H31" t="e">
        <f t="shared" si="3"/>
        <v>#VALUE!</v>
      </c>
      <c r="I31">
        <f t="shared" si="1"/>
        <v>7.5162782789305034</v>
      </c>
    </row>
    <row r="32" spans="1:9" x14ac:dyDescent="0.25">
      <c r="A32">
        <v>1000</v>
      </c>
      <c r="B32">
        <v>1837.1898189999999</v>
      </c>
      <c r="C32">
        <v>-9.7737999999999996</v>
      </c>
      <c r="D32" t="s">
        <v>175</v>
      </c>
      <c r="E32">
        <f t="shared" si="0"/>
        <v>353.18981899999994</v>
      </c>
      <c r="F32" t="e">
        <f t="shared" si="2"/>
        <v>#VALUE!</v>
      </c>
      <c r="G32">
        <v>300</v>
      </c>
      <c r="H32" t="e">
        <f t="shared" si="3"/>
        <v>#VALUE!</v>
      </c>
      <c r="I32">
        <f t="shared" si="1"/>
        <v>7.515992410851263</v>
      </c>
    </row>
    <row r="33" spans="1:21" x14ac:dyDescent="0.25">
      <c r="A33">
        <v>1000</v>
      </c>
      <c r="B33">
        <v>1844.2210689999999</v>
      </c>
      <c r="C33">
        <v>-10.310611</v>
      </c>
      <c r="D33" t="s">
        <v>176</v>
      </c>
      <c r="E33">
        <f t="shared" si="0"/>
        <v>360.22106899999994</v>
      </c>
      <c r="F33" t="e">
        <f t="shared" si="2"/>
        <v>#VALUE!</v>
      </c>
      <c r="G33">
        <v>310</v>
      </c>
      <c r="H33" t="e">
        <f t="shared" si="3"/>
        <v>#VALUE!</v>
      </c>
      <c r="I33">
        <f t="shared" si="1"/>
        <v>7.5198122825056748</v>
      </c>
    </row>
    <row r="34" spans="1:21" x14ac:dyDescent="0.25">
      <c r="A34">
        <v>1000</v>
      </c>
      <c r="B34">
        <v>1851.082275</v>
      </c>
      <c r="C34">
        <v>-10.741611000000001</v>
      </c>
      <c r="D34" t="s">
        <v>177</v>
      </c>
      <c r="E34">
        <f t="shared" si="0"/>
        <v>367.08227499999998</v>
      </c>
      <c r="F34" t="e">
        <f t="shared" si="2"/>
        <v>#VALUE!</v>
      </c>
      <c r="G34">
        <v>320</v>
      </c>
      <c r="H34" t="e">
        <f t="shared" si="3"/>
        <v>#VALUE!</v>
      </c>
      <c r="I34">
        <f t="shared" ref="I34:I65" si="4">LN(B34)</f>
        <v>7.5235257605321877</v>
      </c>
    </row>
    <row r="35" spans="1:21" x14ac:dyDescent="0.25">
      <c r="A35">
        <v>1000</v>
      </c>
      <c r="B35">
        <v>1852.9729</v>
      </c>
      <c r="C35">
        <v>-10.848352999999999</v>
      </c>
      <c r="D35" t="s">
        <v>178</v>
      </c>
      <c r="E35">
        <f t="shared" si="0"/>
        <v>368.97289999999998</v>
      </c>
      <c r="F35" t="e">
        <f t="shared" si="2"/>
        <v>#VALUE!</v>
      </c>
      <c r="G35">
        <v>330</v>
      </c>
      <c r="H35" t="e">
        <f t="shared" si="3"/>
        <v>#VALUE!</v>
      </c>
      <c r="I35">
        <f t="shared" si="4"/>
        <v>7.5245466012458726</v>
      </c>
    </row>
    <row r="36" spans="1:21" x14ac:dyDescent="0.25">
      <c r="A36">
        <v>1000</v>
      </c>
      <c r="B36">
        <v>1852.357178</v>
      </c>
      <c r="C36">
        <v>-10.813518999999999</v>
      </c>
      <c r="D36" t="s">
        <v>179</v>
      </c>
      <c r="E36">
        <f t="shared" si="0"/>
        <v>368.35717799999998</v>
      </c>
      <c r="F36" t="e">
        <f t="shared" si="2"/>
        <v>#VALUE!</v>
      </c>
      <c r="G36">
        <v>340</v>
      </c>
      <c r="H36" t="e">
        <f t="shared" si="3"/>
        <v>#VALUE!</v>
      </c>
      <c r="I36">
        <f t="shared" si="4"/>
        <v>7.5242142573020372</v>
      </c>
    </row>
    <row r="37" spans="1:21" x14ac:dyDescent="0.25">
      <c r="A37">
        <v>1000</v>
      </c>
      <c r="B37">
        <v>1846.593384</v>
      </c>
      <c r="C37">
        <v>-10.441039999999999</v>
      </c>
      <c r="D37" t="s">
        <v>180</v>
      </c>
      <c r="E37">
        <f t="shared" si="0"/>
        <v>362.59338400000001</v>
      </c>
      <c r="F37" t="e">
        <f t="shared" si="2"/>
        <v>#VALUE!</v>
      </c>
      <c r="G37">
        <v>350</v>
      </c>
      <c r="H37" t="e">
        <f t="shared" si="3"/>
        <v>#VALUE!</v>
      </c>
      <c r="I37">
        <f t="shared" si="4"/>
        <v>7.5210978065312863</v>
      </c>
    </row>
    <row r="38" spans="1:21" x14ac:dyDescent="0.25">
      <c r="A38">
        <v>1000</v>
      </c>
      <c r="B38">
        <v>1842.697876</v>
      </c>
      <c r="C38">
        <v>-10.152151</v>
      </c>
      <c r="D38" t="s">
        <v>181</v>
      </c>
      <c r="E38">
        <f t="shared" si="0"/>
        <v>358.69787599999995</v>
      </c>
      <c r="F38" t="e">
        <f t="shared" si="2"/>
        <v>#VALUE!</v>
      </c>
      <c r="G38">
        <v>360</v>
      </c>
      <c r="H38" t="e">
        <f t="shared" si="3"/>
        <v>#VALUE!</v>
      </c>
      <c r="I38">
        <f t="shared" si="4"/>
        <v>7.5189860136837225</v>
      </c>
    </row>
    <row r="39" spans="1:21" x14ac:dyDescent="0.25">
      <c r="A39">
        <v>1000</v>
      </c>
      <c r="B39">
        <v>1840.405029</v>
      </c>
      <c r="C39">
        <v>-10.008853999999999</v>
      </c>
      <c r="D39" t="s">
        <v>182</v>
      </c>
      <c r="E39">
        <f t="shared" si="0"/>
        <v>356.40502900000001</v>
      </c>
      <c r="F39" t="e">
        <f t="shared" si="2"/>
        <v>#VALUE!</v>
      </c>
      <c r="G39">
        <v>370</v>
      </c>
      <c r="H39" t="e">
        <f t="shared" si="3"/>
        <v>#VALUE!</v>
      </c>
      <c r="I39">
        <f t="shared" si="4"/>
        <v>7.5177409508357194</v>
      </c>
    </row>
    <row r="40" spans="1:21" x14ac:dyDescent="0.25">
      <c r="A40">
        <v>1000</v>
      </c>
      <c r="B40">
        <v>1839.916138</v>
      </c>
      <c r="C40">
        <v>-9.9628999999999994</v>
      </c>
      <c r="D40" t="s">
        <v>183</v>
      </c>
      <c r="E40">
        <f t="shared" si="0"/>
        <v>355.91613800000005</v>
      </c>
      <c r="F40" t="e">
        <f t="shared" si="2"/>
        <v>#VALUE!</v>
      </c>
      <c r="G40">
        <v>380</v>
      </c>
      <c r="H40" t="e">
        <f t="shared" si="3"/>
        <v>#VALUE!</v>
      </c>
      <c r="I40">
        <f t="shared" si="4"/>
        <v>7.5174752723904472</v>
      </c>
      <c r="T40" s="4" t="s">
        <v>725</v>
      </c>
    </row>
    <row r="41" spans="1:21" x14ac:dyDescent="0.25">
      <c r="A41">
        <v>1000</v>
      </c>
      <c r="B41">
        <v>1840.1186520000001</v>
      </c>
      <c r="C41">
        <v>-9.9637200000000004</v>
      </c>
      <c r="D41" t="s">
        <v>184</v>
      </c>
      <c r="E41">
        <f t="shared" si="0"/>
        <v>356.11865200000011</v>
      </c>
      <c r="F41" t="e">
        <f t="shared" si="2"/>
        <v>#VALUE!</v>
      </c>
      <c r="G41">
        <v>390</v>
      </c>
      <c r="H41" t="e">
        <f t="shared" si="3"/>
        <v>#VALUE!</v>
      </c>
      <c r="I41">
        <f t="shared" si="4"/>
        <v>7.5175853333065854</v>
      </c>
      <c r="S41" t="s">
        <v>2</v>
      </c>
      <c r="T41" t="e">
        <f>1/ABS(T40)</f>
        <v>#VALUE!</v>
      </c>
      <c r="U41" s="3" t="s">
        <v>3</v>
      </c>
    </row>
    <row r="42" spans="1:21" x14ac:dyDescent="0.25">
      <c r="A42">
        <v>1000</v>
      </c>
      <c r="B42">
        <v>1839.349121</v>
      </c>
      <c r="C42">
        <v>-9.9249519999999993</v>
      </c>
      <c r="D42" t="s">
        <v>185</v>
      </c>
      <c r="E42">
        <f t="shared" si="0"/>
        <v>355.34912099999997</v>
      </c>
      <c r="F42" t="e">
        <f t="shared" si="2"/>
        <v>#VALUE!</v>
      </c>
      <c r="G42">
        <v>400</v>
      </c>
      <c r="H42" t="e">
        <f t="shared" si="3"/>
        <v>#VALUE!</v>
      </c>
      <c r="I42">
        <f t="shared" si="4"/>
        <v>7.5171670494358223</v>
      </c>
      <c r="T42" t="e">
        <f>T41/60</f>
        <v>#VALUE!</v>
      </c>
      <c r="U42" s="3" t="s">
        <v>4</v>
      </c>
    </row>
    <row r="43" spans="1:21" x14ac:dyDescent="0.25">
      <c r="A43">
        <v>1000</v>
      </c>
      <c r="B43">
        <v>1838.1016850000001</v>
      </c>
      <c r="C43">
        <v>-9.8117619999999999</v>
      </c>
      <c r="D43" t="s">
        <v>186</v>
      </c>
      <c r="E43">
        <f t="shared" si="0"/>
        <v>354.10168500000009</v>
      </c>
      <c r="F43" t="e">
        <f t="shared" si="2"/>
        <v>#VALUE!</v>
      </c>
      <c r="G43">
        <v>410</v>
      </c>
      <c r="H43" t="e">
        <f t="shared" si="3"/>
        <v>#VALUE!</v>
      </c>
      <c r="I43">
        <f t="shared" si="4"/>
        <v>7.516488625106768</v>
      </c>
      <c r="T43" t="e">
        <f>T42/60</f>
        <v>#VALUE!</v>
      </c>
      <c r="U43" s="3" t="s">
        <v>5</v>
      </c>
    </row>
    <row r="44" spans="1:21" x14ac:dyDescent="0.25">
      <c r="A44">
        <v>1000</v>
      </c>
      <c r="B44">
        <v>1840.275513</v>
      </c>
      <c r="C44">
        <v>-9.9902619999999995</v>
      </c>
      <c r="D44" t="s">
        <v>187</v>
      </c>
      <c r="E44">
        <f t="shared" si="0"/>
        <v>356.27551300000005</v>
      </c>
      <c r="F44" t="e">
        <f t="shared" si="2"/>
        <v>#VALUE!</v>
      </c>
      <c r="G44">
        <v>420</v>
      </c>
      <c r="H44" t="e">
        <f t="shared" si="3"/>
        <v>#VALUE!</v>
      </c>
      <c r="I44">
        <f t="shared" si="4"/>
        <v>7.5176705747199035</v>
      </c>
    </row>
    <row r="45" spans="1:21" x14ac:dyDescent="0.25">
      <c r="A45">
        <v>1000</v>
      </c>
      <c r="B45">
        <v>1839.2280270000001</v>
      </c>
      <c r="C45">
        <v>-9.93032</v>
      </c>
      <c r="D45" t="s">
        <v>188</v>
      </c>
      <c r="E45">
        <f t="shared" si="0"/>
        <v>355.22802700000011</v>
      </c>
      <c r="F45" t="e">
        <f t="shared" si="2"/>
        <v>#VALUE!</v>
      </c>
      <c r="G45">
        <v>430</v>
      </c>
      <c r="H45" t="e">
        <f t="shared" si="3"/>
        <v>#VALUE!</v>
      </c>
      <c r="I45">
        <f t="shared" si="4"/>
        <v>7.5171012120235989</v>
      </c>
    </row>
    <row r="46" spans="1:21" x14ac:dyDescent="0.25">
      <c r="A46">
        <v>1000</v>
      </c>
      <c r="B46">
        <v>1837.658936</v>
      </c>
      <c r="C46">
        <v>-9.7684320000000007</v>
      </c>
      <c r="D46" t="s">
        <v>189</v>
      </c>
      <c r="E46">
        <f t="shared" si="0"/>
        <v>353.65893600000004</v>
      </c>
      <c r="F46" t="e">
        <f t="shared" si="2"/>
        <v>#VALUE!</v>
      </c>
      <c r="G46">
        <v>440</v>
      </c>
      <c r="H46" t="e">
        <f t="shared" si="3"/>
        <v>#VALUE!</v>
      </c>
      <c r="I46">
        <f t="shared" si="4"/>
        <v>7.5162477231287603</v>
      </c>
    </row>
    <row r="47" spans="1:21" x14ac:dyDescent="0.25">
      <c r="A47">
        <v>1000</v>
      </c>
      <c r="B47">
        <v>1837.2120359999999</v>
      </c>
      <c r="C47">
        <v>-9.7325870000000005</v>
      </c>
      <c r="D47" t="s">
        <v>190</v>
      </c>
      <c r="E47">
        <f t="shared" si="0"/>
        <v>353.2120359999999</v>
      </c>
      <c r="F47" t="e">
        <f t="shared" si="2"/>
        <v>#VALUE!</v>
      </c>
      <c r="G47">
        <v>450</v>
      </c>
      <c r="H47" t="e">
        <f t="shared" si="3"/>
        <v>#VALUE!</v>
      </c>
      <c r="I47">
        <f t="shared" si="4"/>
        <v>7.5160045037038561</v>
      </c>
    </row>
    <row r="48" spans="1:21" x14ac:dyDescent="0.25">
      <c r="A48">
        <v>1000</v>
      </c>
      <c r="B48">
        <v>1836.973389</v>
      </c>
      <c r="C48">
        <v>-9.7215489999999996</v>
      </c>
      <c r="D48" t="s">
        <v>191</v>
      </c>
      <c r="E48">
        <f t="shared" si="0"/>
        <v>352.973389</v>
      </c>
      <c r="F48" t="e">
        <f t="shared" si="2"/>
        <v>#VALUE!</v>
      </c>
      <c r="G48">
        <v>460</v>
      </c>
      <c r="H48" t="e">
        <f t="shared" si="3"/>
        <v>#VALUE!</v>
      </c>
      <c r="I48">
        <f t="shared" si="4"/>
        <v>7.5158745989915294</v>
      </c>
    </row>
    <row r="49" spans="1:9" x14ac:dyDescent="0.25">
      <c r="A49">
        <v>1000</v>
      </c>
      <c r="B49">
        <v>1835.2154539999999</v>
      </c>
      <c r="C49">
        <v>-9.5694820000000007</v>
      </c>
      <c r="D49" t="s">
        <v>192</v>
      </c>
      <c r="E49">
        <f t="shared" si="0"/>
        <v>351.21545399999991</v>
      </c>
      <c r="F49" t="e">
        <f t="shared" si="2"/>
        <v>#VALUE!</v>
      </c>
      <c r="G49">
        <v>470</v>
      </c>
      <c r="H49" t="e">
        <f t="shared" si="3"/>
        <v>#VALUE!</v>
      </c>
      <c r="I49">
        <f t="shared" si="4"/>
        <v>7.5149171672202089</v>
      </c>
    </row>
    <row r="50" spans="1:9" x14ac:dyDescent="0.25">
      <c r="A50">
        <v>1000</v>
      </c>
      <c r="B50">
        <v>1834.327393</v>
      </c>
      <c r="C50">
        <v>-9.4954560000000008</v>
      </c>
      <c r="D50" t="s">
        <v>193</v>
      </c>
      <c r="E50">
        <f t="shared" si="0"/>
        <v>350.32739300000003</v>
      </c>
      <c r="F50" t="e">
        <f t="shared" si="2"/>
        <v>#VALUE!</v>
      </c>
      <c r="G50">
        <v>480</v>
      </c>
      <c r="H50" t="e">
        <f t="shared" si="3"/>
        <v>#VALUE!</v>
      </c>
      <c r="I50">
        <f t="shared" si="4"/>
        <v>7.514433149970996</v>
      </c>
    </row>
    <row r="51" spans="1:9" x14ac:dyDescent="0.25">
      <c r="A51">
        <v>1000</v>
      </c>
      <c r="B51">
        <v>1834.0555420000001</v>
      </c>
      <c r="C51">
        <v>-9.4392019999999999</v>
      </c>
      <c r="D51" t="s">
        <v>194</v>
      </c>
      <c r="E51">
        <f t="shared" si="0"/>
        <v>350.05554200000006</v>
      </c>
      <c r="F51" t="e">
        <f t="shared" si="2"/>
        <v>#VALUE!</v>
      </c>
      <c r="G51">
        <v>490</v>
      </c>
      <c r="H51" t="e">
        <f t="shared" si="3"/>
        <v>#VALUE!</v>
      </c>
      <c r="I51">
        <f t="shared" si="4"/>
        <v>7.5142849369816131</v>
      </c>
    </row>
    <row r="52" spans="1:9" x14ac:dyDescent="0.25">
      <c r="A52">
        <v>1000</v>
      </c>
      <c r="B52">
        <v>1834.5083010000001</v>
      </c>
      <c r="C52">
        <v>-9.5506709999999995</v>
      </c>
      <c r="D52" t="s">
        <v>195</v>
      </c>
      <c r="E52">
        <f t="shared" si="0"/>
        <v>350.50830100000007</v>
      </c>
      <c r="F52" t="e">
        <f t="shared" si="2"/>
        <v>#VALUE!</v>
      </c>
      <c r="G52">
        <v>500</v>
      </c>
      <c r="H52" t="e">
        <f t="shared" si="3"/>
        <v>#VALUE!</v>
      </c>
      <c r="I52">
        <f t="shared" si="4"/>
        <v>7.5145317687237743</v>
      </c>
    </row>
    <row r="53" spans="1:9" x14ac:dyDescent="0.25">
      <c r="A53">
        <v>1000</v>
      </c>
      <c r="B53">
        <v>1833.5081789999999</v>
      </c>
      <c r="C53">
        <v>-9.4310329999999993</v>
      </c>
      <c r="D53" t="s">
        <v>196</v>
      </c>
      <c r="E53">
        <f t="shared" si="0"/>
        <v>349.50817899999993</v>
      </c>
      <c r="F53" t="e">
        <f t="shared" si="2"/>
        <v>#VALUE!</v>
      </c>
      <c r="G53">
        <v>510</v>
      </c>
      <c r="H53" t="e">
        <f t="shared" si="3"/>
        <v>#VALUE!</v>
      </c>
      <c r="I53">
        <f t="shared" si="4"/>
        <v>7.5139864483686249</v>
      </c>
    </row>
    <row r="54" spans="1:9" x14ac:dyDescent="0.25">
      <c r="A54">
        <v>1000</v>
      </c>
      <c r="B54">
        <v>1832.707275</v>
      </c>
      <c r="C54">
        <v>-9.3596170000000001</v>
      </c>
      <c r="D54" t="s">
        <v>197</v>
      </c>
      <c r="E54">
        <f t="shared" si="0"/>
        <v>348.70727499999998</v>
      </c>
      <c r="F54" t="e">
        <f t="shared" si="2"/>
        <v>#VALUE!</v>
      </c>
      <c r="G54">
        <v>520</v>
      </c>
      <c r="H54" t="e">
        <f t="shared" si="3"/>
        <v>#VALUE!</v>
      </c>
      <c r="I54">
        <f t="shared" si="4"/>
        <v>7.5135495378690704</v>
      </c>
    </row>
    <row r="55" spans="1:9" x14ac:dyDescent="0.25">
      <c r="A55">
        <v>1000</v>
      </c>
      <c r="B55">
        <v>1832.5303960000001</v>
      </c>
      <c r="C55">
        <v>-9.3392769999999992</v>
      </c>
      <c r="D55" t="s">
        <v>198</v>
      </c>
      <c r="E55">
        <f t="shared" si="0"/>
        <v>348.53039600000011</v>
      </c>
      <c r="F55" t="e">
        <f t="shared" si="2"/>
        <v>#VALUE!</v>
      </c>
      <c r="G55">
        <v>530</v>
      </c>
      <c r="H55" t="e">
        <f t="shared" si="3"/>
        <v>#VALUE!</v>
      </c>
      <c r="I55">
        <f t="shared" si="4"/>
        <v>7.5134530207992301</v>
      </c>
    </row>
    <row r="56" spans="1:9" x14ac:dyDescent="0.25">
      <c r="A56">
        <v>1000</v>
      </c>
      <c r="B56">
        <v>1832.942749</v>
      </c>
      <c r="C56">
        <v>-9.3597950000000001</v>
      </c>
      <c r="D56" t="s">
        <v>199</v>
      </c>
      <c r="E56">
        <f t="shared" si="0"/>
        <v>348.94274900000005</v>
      </c>
      <c r="F56" t="e">
        <f t="shared" si="2"/>
        <v>#VALUE!</v>
      </c>
      <c r="G56">
        <v>540</v>
      </c>
      <c r="H56" t="e">
        <f t="shared" si="3"/>
        <v>#VALUE!</v>
      </c>
      <c r="I56">
        <f t="shared" si="4"/>
        <v>7.5136780138549302</v>
      </c>
    </row>
    <row r="57" spans="1:9" x14ac:dyDescent="0.25">
      <c r="A57">
        <v>1000</v>
      </c>
      <c r="B57">
        <v>1836.3743899999999</v>
      </c>
      <c r="C57">
        <v>-9.6385070000000006</v>
      </c>
      <c r="D57" t="s">
        <v>200</v>
      </c>
      <c r="E57">
        <f t="shared" si="0"/>
        <v>352.37438999999995</v>
      </c>
      <c r="F57" t="e">
        <f t="shared" si="2"/>
        <v>#VALUE!</v>
      </c>
      <c r="G57">
        <v>550</v>
      </c>
      <c r="H57" t="e">
        <f t="shared" si="3"/>
        <v>#VALUE!</v>
      </c>
      <c r="I57">
        <f t="shared" si="4"/>
        <v>7.5155484665143737</v>
      </c>
    </row>
    <row r="58" spans="1:9" x14ac:dyDescent="0.25">
      <c r="A58">
        <v>1000</v>
      </c>
      <c r="B58">
        <v>1838.402466</v>
      </c>
      <c r="C58">
        <v>-9.7528310000000005</v>
      </c>
      <c r="D58" t="s">
        <v>201</v>
      </c>
      <c r="E58">
        <f t="shared" si="0"/>
        <v>354.402466</v>
      </c>
      <c r="F58" t="e">
        <f t="shared" si="2"/>
        <v>#VALUE!</v>
      </c>
      <c r="G58">
        <v>560</v>
      </c>
      <c r="H58" t="e">
        <f t="shared" si="3"/>
        <v>#VALUE!</v>
      </c>
      <c r="I58">
        <f t="shared" si="4"/>
        <v>7.5166522484774037</v>
      </c>
    </row>
    <row r="59" spans="1:9" x14ac:dyDescent="0.25">
      <c r="A59">
        <v>1000</v>
      </c>
      <c r="B59">
        <v>1838.1729740000001</v>
      </c>
      <c r="C59">
        <v>-9.7583359999999999</v>
      </c>
      <c r="D59" t="s">
        <v>202</v>
      </c>
      <c r="E59">
        <f t="shared" si="0"/>
        <v>354.17297400000007</v>
      </c>
      <c r="F59" t="e">
        <f t="shared" si="2"/>
        <v>#VALUE!</v>
      </c>
      <c r="G59">
        <v>570</v>
      </c>
      <c r="H59" t="e">
        <f t="shared" si="3"/>
        <v>#VALUE!</v>
      </c>
      <c r="I59">
        <f t="shared" si="4"/>
        <v>7.5165274083896412</v>
      </c>
    </row>
    <row r="60" spans="1:9" x14ac:dyDescent="0.25">
      <c r="A60">
        <v>1000</v>
      </c>
      <c r="B60">
        <v>1840.9884030000001</v>
      </c>
      <c r="C60">
        <v>-9.9351280000000006</v>
      </c>
      <c r="D60" t="s">
        <v>203</v>
      </c>
      <c r="E60">
        <f t="shared" si="0"/>
        <v>356.98840300000006</v>
      </c>
      <c r="F60" t="e">
        <f t="shared" si="2"/>
        <v>#VALUE!</v>
      </c>
      <c r="G60">
        <v>580</v>
      </c>
      <c r="H60" t="e">
        <f t="shared" si="3"/>
        <v>#VALUE!</v>
      </c>
      <c r="I60">
        <f t="shared" si="4"/>
        <v>7.5180578819193755</v>
      </c>
    </row>
    <row r="61" spans="1:9" x14ac:dyDescent="0.25">
      <c r="A61">
        <v>1000</v>
      </c>
      <c r="B61">
        <v>1844.9798579999999</v>
      </c>
      <c r="C61">
        <v>-10.175687999999999</v>
      </c>
      <c r="D61" t="s">
        <v>204</v>
      </c>
      <c r="E61">
        <f t="shared" si="0"/>
        <v>360.97985799999992</v>
      </c>
      <c r="F61" t="e">
        <f t="shared" si="2"/>
        <v>#VALUE!</v>
      </c>
      <c r="G61">
        <v>590</v>
      </c>
      <c r="H61" t="e">
        <f t="shared" si="3"/>
        <v>#VALUE!</v>
      </c>
      <c r="I61">
        <f t="shared" si="4"/>
        <v>7.5202236393418653</v>
      </c>
    </row>
    <row r="62" spans="1:9" x14ac:dyDescent="0.25">
      <c r="A62">
        <v>1000</v>
      </c>
      <c r="B62">
        <v>1846.8237300000001</v>
      </c>
      <c r="C62">
        <v>-10.294601</v>
      </c>
      <c r="D62" t="s">
        <v>205</v>
      </c>
      <c r="E62">
        <f t="shared" si="0"/>
        <v>362.82373000000007</v>
      </c>
      <c r="F62" t="e">
        <f t="shared" si="2"/>
        <v>#VALUE!</v>
      </c>
      <c r="G62">
        <v>600</v>
      </c>
      <c r="H62" t="e">
        <f t="shared" si="3"/>
        <v>#VALUE!</v>
      </c>
      <c r="I62">
        <f t="shared" si="4"/>
        <v>7.5212225398030448</v>
      </c>
    </row>
    <row r="63" spans="1:9" x14ac:dyDescent="0.25">
      <c r="A63">
        <v>1000</v>
      </c>
      <c r="B63">
        <v>1862.3394780000001</v>
      </c>
      <c r="C63">
        <v>-11.129032</v>
      </c>
      <c r="D63" t="s">
        <v>206</v>
      </c>
      <c r="E63">
        <f t="shared" si="0"/>
        <v>378.3394780000001</v>
      </c>
      <c r="F63" t="e">
        <f t="shared" si="2"/>
        <v>#VALUE!</v>
      </c>
      <c r="G63">
        <v>610</v>
      </c>
      <c r="H63" t="e">
        <f t="shared" si="3"/>
        <v>#VALUE!</v>
      </c>
      <c r="I63">
        <f t="shared" si="4"/>
        <v>7.5295887602307365</v>
      </c>
    </row>
    <row r="64" spans="1:9" x14ac:dyDescent="0.25">
      <c r="A64">
        <v>1000</v>
      </c>
      <c r="B64">
        <v>1849.605591</v>
      </c>
      <c r="C64">
        <v>-10.418952000000001</v>
      </c>
      <c r="D64" t="s">
        <v>207</v>
      </c>
      <c r="E64">
        <f t="shared" si="0"/>
        <v>365.605591</v>
      </c>
      <c r="F64" t="e">
        <f t="shared" si="2"/>
        <v>#VALUE!</v>
      </c>
      <c r="G64">
        <v>620</v>
      </c>
      <c r="H64" t="e">
        <f t="shared" si="3"/>
        <v>#VALUE!</v>
      </c>
      <c r="I64">
        <f t="shared" si="4"/>
        <v>7.5227277012892335</v>
      </c>
    </row>
    <row r="65" spans="1:9" x14ac:dyDescent="0.25">
      <c r="A65">
        <v>1000</v>
      </c>
      <c r="B65">
        <v>1845.7357179999999</v>
      </c>
      <c r="C65">
        <v>-10.194661999999999</v>
      </c>
      <c r="D65" t="s">
        <v>208</v>
      </c>
      <c r="E65">
        <f t="shared" si="0"/>
        <v>361.73571799999991</v>
      </c>
      <c r="F65" t="e">
        <f t="shared" si="2"/>
        <v>#VALUE!</v>
      </c>
      <c r="G65">
        <v>630</v>
      </c>
      <c r="H65" t="e">
        <f t="shared" si="3"/>
        <v>#VALUE!</v>
      </c>
      <c r="I65">
        <f t="shared" si="4"/>
        <v>7.5206332401333666</v>
      </c>
    </row>
    <row r="66" spans="1:9" x14ac:dyDescent="0.25">
      <c r="A66">
        <v>1000</v>
      </c>
      <c r="B66">
        <v>1841.4282229999999</v>
      </c>
      <c r="C66">
        <v>-9.9046249999999993</v>
      </c>
      <c r="D66" t="s">
        <v>209</v>
      </c>
      <c r="E66">
        <f t="shared" ref="E66:E129" si="5">B66-$P$3</f>
        <v>357.42822299999989</v>
      </c>
      <c r="F66" t="e">
        <f t="shared" si="2"/>
        <v>#VALUE!</v>
      </c>
      <c r="G66">
        <v>640</v>
      </c>
      <c r="H66" t="e">
        <f t="shared" si="3"/>
        <v>#VALUE!</v>
      </c>
      <c r="I66">
        <f t="shared" ref="I66:I97" si="6">LN(B66)</f>
        <v>7.5182967576614548</v>
      </c>
    </row>
    <row r="67" spans="1:9" x14ac:dyDescent="0.25">
      <c r="A67">
        <v>1000</v>
      </c>
      <c r="B67">
        <v>1838.8486330000001</v>
      </c>
      <c r="C67">
        <v>-9.6931349999999998</v>
      </c>
      <c r="D67" t="s">
        <v>210</v>
      </c>
      <c r="E67">
        <f t="shared" si="5"/>
        <v>354.84863300000006</v>
      </c>
      <c r="F67" t="e">
        <f t="shared" ref="F67:F129" si="7">E67-$R$3</f>
        <v>#VALUE!</v>
      </c>
      <c r="G67">
        <v>650</v>
      </c>
      <c r="H67" t="e">
        <f t="shared" ref="H67:H129" si="8">LN(F67)</f>
        <v>#VALUE!</v>
      </c>
      <c r="I67">
        <f t="shared" si="6"/>
        <v>7.5168949118094295</v>
      </c>
    </row>
    <row r="68" spans="1:9" x14ac:dyDescent="0.25">
      <c r="A68">
        <v>1000</v>
      </c>
      <c r="B68">
        <v>1837.4060059999999</v>
      </c>
      <c r="C68">
        <v>-9.5659030000000005</v>
      </c>
      <c r="D68" t="s">
        <v>211</v>
      </c>
      <c r="E68">
        <f t="shared" si="5"/>
        <v>353.40600599999993</v>
      </c>
      <c r="F68" t="e">
        <f t="shared" si="7"/>
        <v>#VALUE!</v>
      </c>
      <c r="G68">
        <v>660</v>
      </c>
      <c r="H68" t="e">
        <f t="shared" si="8"/>
        <v>#VALUE!</v>
      </c>
      <c r="I68">
        <f t="shared" si="6"/>
        <v>7.5161100765813433</v>
      </c>
    </row>
    <row r="69" spans="1:9" x14ac:dyDescent="0.25">
      <c r="A69">
        <v>1000</v>
      </c>
      <c r="B69">
        <v>1836.1644289999999</v>
      </c>
      <c r="C69">
        <v>-9.4570969999999992</v>
      </c>
      <c r="D69" t="s">
        <v>212</v>
      </c>
      <c r="E69">
        <f t="shared" si="5"/>
        <v>352.16442899999993</v>
      </c>
      <c r="F69" t="e">
        <f t="shared" si="7"/>
        <v>#VALUE!</v>
      </c>
      <c r="G69">
        <v>670</v>
      </c>
      <c r="H69" t="e">
        <f t="shared" si="8"/>
        <v>#VALUE!</v>
      </c>
      <c r="I69">
        <f t="shared" si="6"/>
        <v>7.5154341254491994</v>
      </c>
    </row>
    <row r="70" spans="1:9" x14ac:dyDescent="0.25">
      <c r="A70">
        <v>1000</v>
      </c>
      <c r="B70">
        <v>1835.0947269999999</v>
      </c>
      <c r="C70">
        <v>-9.3483879999999999</v>
      </c>
      <c r="D70" t="s">
        <v>213</v>
      </c>
      <c r="E70">
        <f t="shared" si="5"/>
        <v>351.09472699999992</v>
      </c>
      <c r="F70" t="e">
        <f t="shared" si="7"/>
        <v>#VALUE!</v>
      </c>
      <c r="G70">
        <v>680</v>
      </c>
      <c r="H70" t="e">
        <f t="shared" si="8"/>
        <v>#VALUE!</v>
      </c>
      <c r="I70">
        <f t="shared" si="6"/>
        <v>7.5148513814996072</v>
      </c>
    </row>
    <row r="71" spans="1:9" x14ac:dyDescent="0.25">
      <c r="A71">
        <v>1000</v>
      </c>
      <c r="B71">
        <v>1834.6872559999999</v>
      </c>
      <c r="C71">
        <v>-9.3205480000000005</v>
      </c>
      <c r="D71" t="s">
        <v>214</v>
      </c>
      <c r="E71">
        <f t="shared" si="5"/>
        <v>350.68725599999993</v>
      </c>
      <c r="F71" t="e">
        <f t="shared" si="7"/>
        <v>#VALUE!</v>
      </c>
      <c r="G71">
        <v>690</v>
      </c>
      <c r="H71" t="e">
        <f t="shared" si="8"/>
        <v>#VALUE!</v>
      </c>
      <c r="I71">
        <f t="shared" si="6"/>
        <v>7.5146293132658206</v>
      </c>
    </row>
    <row r="72" spans="1:9" x14ac:dyDescent="0.25">
      <c r="A72">
        <v>1000</v>
      </c>
      <c r="B72">
        <v>1834.330688</v>
      </c>
      <c r="C72">
        <v>-9.2501300000000004</v>
      </c>
      <c r="D72" t="s">
        <v>215</v>
      </c>
      <c r="E72">
        <f t="shared" si="5"/>
        <v>350.33068800000001</v>
      </c>
      <c r="F72" t="e">
        <f t="shared" si="7"/>
        <v>#VALUE!</v>
      </c>
      <c r="G72">
        <v>700</v>
      </c>
      <c r="H72" t="e">
        <f t="shared" si="8"/>
        <v>#VALUE!</v>
      </c>
      <c r="I72">
        <f t="shared" si="6"/>
        <v>7.514434946268131</v>
      </c>
    </row>
    <row r="73" spans="1:9" x14ac:dyDescent="0.25">
      <c r="A73">
        <v>1000</v>
      </c>
      <c r="B73">
        <v>1838.3282469999999</v>
      </c>
      <c r="C73">
        <v>-9.5706290000000003</v>
      </c>
      <c r="D73" t="s">
        <v>216</v>
      </c>
      <c r="E73">
        <f t="shared" si="5"/>
        <v>354.32824699999992</v>
      </c>
      <c r="F73" t="e">
        <f t="shared" si="7"/>
        <v>#VALUE!</v>
      </c>
      <c r="G73">
        <v>710</v>
      </c>
      <c r="H73" t="e">
        <f t="shared" si="8"/>
        <v>#VALUE!</v>
      </c>
      <c r="I73">
        <f t="shared" si="6"/>
        <v>7.5166118761978957</v>
      </c>
    </row>
    <row r="74" spans="1:9" x14ac:dyDescent="0.25">
      <c r="A74">
        <v>1000</v>
      </c>
      <c r="B74">
        <v>1839.6279300000001</v>
      </c>
      <c r="C74">
        <v>-9.6221689999999995</v>
      </c>
      <c r="D74" t="s">
        <v>217</v>
      </c>
      <c r="E74">
        <f t="shared" si="5"/>
        <v>355.62793000000011</v>
      </c>
      <c r="F74" t="e">
        <f t="shared" si="7"/>
        <v>#VALUE!</v>
      </c>
      <c r="G74">
        <v>720</v>
      </c>
      <c r="H74" t="e">
        <f t="shared" si="8"/>
        <v>#VALUE!</v>
      </c>
      <c r="I74">
        <f t="shared" si="6"/>
        <v>7.5173186181989156</v>
      </c>
    </row>
    <row r="75" spans="1:9" x14ac:dyDescent="0.25">
      <c r="A75">
        <v>1000</v>
      </c>
      <c r="B75">
        <v>1837.5217290000001</v>
      </c>
      <c r="C75">
        <v>-9.4811669999999992</v>
      </c>
      <c r="D75" t="s">
        <v>218</v>
      </c>
      <c r="E75">
        <f t="shared" si="5"/>
        <v>353.52172900000005</v>
      </c>
      <c r="F75" t="e">
        <f t="shared" si="7"/>
        <v>#VALUE!</v>
      </c>
      <c r="G75">
        <v>730</v>
      </c>
      <c r="H75" t="e">
        <f t="shared" si="8"/>
        <v>#VALUE!</v>
      </c>
      <c r="I75">
        <f t="shared" si="6"/>
        <v>7.5161730563231961</v>
      </c>
    </row>
    <row r="76" spans="1:9" x14ac:dyDescent="0.25">
      <c r="A76">
        <v>1000</v>
      </c>
      <c r="B76">
        <v>1837.844482</v>
      </c>
      <c r="C76">
        <v>-9.476604</v>
      </c>
      <c r="D76" t="s">
        <v>219</v>
      </c>
      <c r="E76">
        <f t="shared" si="5"/>
        <v>353.84448199999997</v>
      </c>
      <c r="F76" t="e">
        <f t="shared" si="7"/>
        <v>#VALUE!</v>
      </c>
      <c r="G76">
        <v>740</v>
      </c>
      <c r="H76" t="e">
        <f t="shared" si="8"/>
        <v>#VALUE!</v>
      </c>
      <c r="I76">
        <f t="shared" si="6"/>
        <v>7.5163486867133669</v>
      </c>
    </row>
    <row r="77" spans="1:9" x14ac:dyDescent="0.25">
      <c r="A77">
        <v>1000</v>
      </c>
      <c r="B77">
        <v>1838.3798830000001</v>
      </c>
      <c r="C77">
        <v>-9.5025320000000004</v>
      </c>
      <c r="D77" t="s">
        <v>220</v>
      </c>
      <c r="E77">
        <f t="shared" si="5"/>
        <v>354.37988300000006</v>
      </c>
      <c r="F77" t="e">
        <f t="shared" si="7"/>
        <v>#VALUE!</v>
      </c>
      <c r="G77">
        <v>750</v>
      </c>
      <c r="H77" t="e">
        <f t="shared" si="8"/>
        <v>#VALUE!</v>
      </c>
      <c r="I77">
        <f t="shared" si="6"/>
        <v>7.5166399643670827</v>
      </c>
    </row>
    <row r="78" spans="1:9" x14ac:dyDescent="0.25">
      <c r="A78">
        <v>1000</v>
      </c>
      <c r="B78">
        <v>1837.403198</v>
      </c>
      <c r="C78">
        <v>-9.4093680000000006</v>
      </c>
      <c r="D78" t="s">
        <v>221</v>
      </c>
      <c r="E78">
        <f t="shared" si="5"/>
        <v>353.40319799999997</v>
      </c>
      <c r="F78" t="e">
        <f t="shared" si="7"/>
        <v>#VALUE!</v>
      </c>
      <c r="G78">
        <v>760</v>
      </c>
      <c r="H78" t="e">
        <f t="shared" si="8"/>
        <v>#VALUE!</v>
      </c>
      <c r="I78">
        <f t="shared" si="6"/>
        <v>7.5161085483387362</v>
      </c>
    </row>
    <row r="79" spans="1:9" x14ac:dyDescent="0.25">
      <c r="A79">
        <v>1000</v>
      </c>
      <c r="B79">
        <v>1838.0180660000001</v>
      </c>
      <c r="C79">
        <v>-9.4249279999999995</v>
      </c>
      <c r="D79" t="s">
        <v>222</v>
      </c>
      <c r="E79">
        <f t="shared" si="5"/>
        <v>354.01806600000009</v>
      </c>
      <c r="F79" t="e">
        <f t="shared" si="7"/>
        <v>#VALUE!</v>
      </c>
      <c r="G79">
        <v>770</v>
      </c>
      <c r="H79" t="e">
        <f t="shared" si="8"/>
        <v>#VALUE!</v>
      </c>
      <c r="I79">
        <f t="shared" si="6"/>
        <v>7.5164431320294591</v>
      </c>
    </row>
    <row r="80" spans="1:9" x14ac:dyDescent="0.25">
      <c r="A80">
        <v>1000</v>
      </c>
      <c r="B80">
        <v>1836.6035159999999</v>
      </c>
      <c r="C80">
        <v>-9.3089370000000002</v>
      </c>
      <c r="D80" t="s">
        <v>223</v>
      </c>
      <c r="E80">
        <f t="shared" si="5"/>
        <v>352.6035159999999</v>
      </c>
      <c r="F80" t="e">
        <f t="shared" si="7"/>
        <v>#VALUE!</v>
      </c>
      <c r="G80">
        <v>780</v>
      </c>
      <c r="H80" t="e">
        <f t="shared" si="8"/>
        <v>#VALUE!</v>
      </c>
      <c r="I80">
        <f t="shared" si="6"/>
        <v>7.515673229584646</v>
      </c>
    </row>
    <row r="81" spans="1:9" x14ac:dyDescent="0.25">
      <c r="A81">
        <v>1000</v>
      </c>
      <c r="B81">
        <v>1836.869019</v>
      </c>
      <c r="C81">
        <v>-9.3114640000000009</v>
      </c>
      <c r="D81" t="s">
        <v>224</v>
      </c>
      <c r="E81">
        <f t="shared" si="5"/>
        <v>352.86901899999998</v>
      </c>
      <c r="F81" t="e">
        <f t="shared" si="7"/>
        <v>#VALUE!</v>
      </c>
      <c r="G81">
        <v>790</v>
      </c>
      <c r="H81" t="e">
        <f t="shared" si="8"/>
        <v>#VALUE!</v>
      </c>
      <c r="I81">
        <f t="shared" si="6"/>
        <v>7.5158177810943867</v>
      </c>
    </row>
    <row r="82" spans="1:9" x14ac:dyDescent="0.25">
      <c r="A82">
        <v>1000</v>
      </c>
      <c r="B82">
        <v>1836.3405760000001</v>
      </c>
      <c r="C82">
        <v>-9.2802769999999999</v>
      </c>
      <c r="D82" t="s">
        <v>225</v>
      </c>
      <c r="E82">
        <f t="shared" si="5"/>
        <v>352.34057600000006</v>
      </c>
      <c r="F82" t="e">
        <f t="shared" si="7"/>
        <v>#VALUE!</v>
      </c>
      <c r="G82">
        <v>800</v>
      </c>
      <c r="H82" t="e">
        <f t="shared" si="8"/>
        <v>#VALUE!</v>
      </c>
      <c r="I82">
        <f t="shared" si="6"/>
        <v>7.515530052888316</v>
      </c>
    </row>
    <row r="83" spans="1:9" x14ac:dyDescent="0.25">
      <c r="A83">
        <v>1000</v>
      </c>
      <c r="B83">
        <v>1842.344482</v>
      </c>
      <c r="C83">
        <v>-9.7093769999999999</v>
      </c>
      <c r="D83" t="s">
        <v>226</v>
      </c>
      <c r="E83">
        <f t="shared" si="5"/>
        <v>358.34448199999997</v>
      </c>
      <c r="F83" t="e">
        <f t="shared" si="7"/>
        <v>#VALUE!</v>
      </c>
      <c r="G83">
        <v>810</v>
      </c>
      <c r="H83" t="e">
        <f t="shared" si="8"/>
        <v>#VALUE!</v>
      </c>
      <c r="I83">
        <f t="shared" si="6"/>
        <v>7.5187942145309581</v>
      </c>
    </row>
    <row r="84" spans="1:9" x14ac:dyDescent="0.25">
      <c r="A84">
        <v>1000</v>
      </c>
      <c r="B84">
        <v>1841.744751</v>
      </c>
      <c r="C84">
        <v>-9.6395999999999997</v>
      </c>
      <c r="D84" t="s">
        <v>227</v>
      </c>
      <c r="E84">
        <f t="shared" si="5"/>
        <v>357.74475099999995</v>
      </c>
      <c r="F84" t="e">
        <f t="shared" si="7"/>
        <v>#VALUE!</v>
      </c>
      <c r="G84">
        <v>820</v>
      </c>
      <c r="H84" t="e">
        <f t="shared" si="8"/>
        <v>#VALUE!</v>
      </c>
      <c r="I84">
        <f t="shared" si="6"/>
        <v>7.5184686355520745</v>
      </c>
    </row>
    <row r="85" spans="1:9" x14ac:dyDescent="0.25">
      <c r="A85">
        <v>1000</v>
      </c>
      <c r="B85">
        <v>1845.549438</v>
      </c>
      <c r="C85">
        <v>-9.8645460000000007</v>
      </c>
      <c r="D85" t="s">
        <v>228</v>
      </c>
      <c r="E85">
        <f t="shared" si="5"/>
        <v>361.54943800000001</v>
      </c>
      <c r="F85" t="e">
        <f t="shared" si="7"/>
        <v>#VALUE!</v>
      </c>
      <c r="G85">
        <v>830</v>
      </c>
      <c r="H85" t="e">
        <f t="shared" si="8"/>
        <v>#VALUE!</v>
      </c>
      <c r="I85">
        <f t="shared" si="6"/>
        <v>7.5205323105154767</v>
      </c>
    </row>
    <row r="86" spans="1:9" x14ac:dyDescent="0.25">
      <c r="A86">
        <v>1000</v>
      </c>
      <c r="B86">
        <v>1844.2958980000001</v>
      </c>
      <c r="C86">
        <v>-9.7930469999999996</v>
      </c>
      <c r="D86" t="s">
        <v>229</v>
      </c>
      <c r="E86">
        <f t="shared" si="5"/>
        <v>360.29589800000008</v>
      </c>
      <c r="F86" t="e">
        <f t="shared" si="7"/>
        <v>#VALUE!</v>
      </c>
      <c r="G86">
        <v>840</v>
      </c>
      <c r="H86" t="e">
        <f t="shared" si="8"/>
        <v>#VALUE!</v>
      </c>
      <c r="I86">
        <f t="shared" si="6"/>
        <v>7.5198528565362031</v>
      </c>
    </row>
    <row r="87" spans="1:9" x14ac:dyDescent="0.25">
      <c r="A87">
        <v>1000</v>
      </c>
      <c r="B87">
        <v>1841.2280270000001</v>
      </c>
      <c r="C87">
        <v>-9.5521060000000002</v>
      </c>
      <c r="D87" t="s">
        <v>230</v>
      </c>
      <c r="E87">
        <f t="shared" si="5"/>
        <v>357.22802700000011</v>
      </c>
      <c r="F87" t="e">
        <f t="shared" si="7"/>
        <v>#VALUE!</v>
      </c>
      <c r="G87">
        <v>850</v>
      </c>
      <c r="H87" t="e">
        <f t="shared" si="8"/>
        <v>#VALUE!</v>
      </c>
      <c r="I87">
        <f t="shared" si="6"/>
        <v>7.5181880339649672</v>
      </c>
    </row>
    <row r="88" spans="1:9" x14ac:dyDescent="0.25">
      <c r="A88">
        <v>1000</v>
      </c>
      <c r="B88">
        <v>1838.7617190000001</v>
      </c>
      <c r="C88">
        <v>-9.3650540000000007</v>
      </c>
      <c r="D88" t="s">
        <v>231</v>
      </c>
      <c r="E88">
        <f t="shared" si="5"/>
        <v>354.76171900000008</v>
      </c>
      <c r="F88" t="e">
        <f t="shared" si="7"/>
        <v>#VALUE!</v>
      </c>
      <c r="G88">
        <v>860</v>
      </c>
      <c r="H88" t="e">
        <f t="shared" si="8"/>
        <v>#VALUE!</v>
      </c>
      <c r="I88">
        <f t="shared" si="6"/>
        <v>7.5168476452467994</v>
      </c>
    </row>
    <row r="89" spans="1:9" x14ac:dyDescent="0.25">
      <c r="A89">
        <v>1000</v>
      </c>
      <c r="B89">
        <v>1837.2314449999999</v>
      </c>
      <c r="C89">
        <v>-9.2435860000000005</v>
      </c>
      <c r="D89" t="s">
        <v>232</v>
      </c>
      <c r="E89">
        <f t="shared" si="5"/>
        <v>353.23144499999989</v>
      </c>
      <c r="F89" t="e">
        <f t="shared" si="7"/>
        <v>#VALUE!</v>
      </c>
      <c r="G89">
        <v>870</v>
      </c>
      <c r="H89" t="e">
        <f t="shared" si="8"/>
        <v>#VALUE!</v>
      </c>
      <c r="I89">
        <f t="shared" si="6"/>
        <v>7.5160150680247391</v>
      </c>
    </row>
    <row r="90" spans="1:9" x14ac:dyDescent="0.25">
      <c r="A90">
        <v>1000</v>
      </c>
      <c r="B90">
        <v>1836.9411620000001</v>
      </c>
      <c r="C90">
        <v>-9.210445</v>
      </c>
      <c r="D90" t="s">
        <v>233</v>
      </c>
      <c r="E90">
        <f t="shared" si="5"/>
        <v>352.94116200000008</v>
      </c>
      <c r="F90" t="e">
        <f t="shared" si="7"/>
        <v>#VALUE!</v>
      </c>
      <c r="G90">
        <v>880</v>
      </c>
      <c r="H90" t="e">
        <f t="shared" si="8"/>
        <v>#VALUE!</v>
      </c>
      <c r="I90">
        <f t="shared" si="6"/>
        <v>7.5158570553064195</v>
      </c>
    </row>
    <row r="91" spans="1:9" x14ac:dyDescent="0.25">
      <c r="A91">
        <v>1000</v>
      </c>
      <c r="B91">
        <v>1840.979004</v>
      </c>
      <c r="C91">
        <v>-9.4452940000000005</v>
      </c>
      <c r="D91" t="s">
        <v>234</v>
      </c>
      <c r="E91">
        <f t="shared" si="5"/>
        <v>356.97900400000003</v>
      </c>
      <c r="F91" t="e">
        <f t="shared" si="7"/>
        <v>#VALUE!</v>
      </c>
      <c r="G91">
        <v>890</v>
      </c>
      <c r="H91" t="e">
        <f t="shared" si="8"/>
        <v>#VALUE!</v>
      </c>
      <c r="I91">
        <f t="shared" si="6"/>
        <v>7.5180527764966696</v>
      </c>
    </row>
    <row r="92" spans="1:9" x14ac:dyDescent="0.25">
      <c r="A92">
        <v>1000</v>
      </c>
      <c r="B92">
        <v>1840.2376710000001</v>
      </c>
      <c r="C92">
        <v>-9.3946149999999999</v>
      </c>
      <c r="D92" t="s">
        <v>235</v>
      </c>
      <c r="E92">
        <f t="shared" si="5"/>
        <v>356.23767100000009</v>
      </c>
      <c r="F92" t="e">
        <f t="shared" si="7"/>
        <v>#VALUE!</v>
      </c>
      <c r="G92">
        <v>900</v>
      </c>
      <c r="H92" t="e">
        <f t="shared" si="8"/>
        <v>#VALUE!</v>
      </c>
      <c r="I92">
        <f t="shared" si="6"/>
        <v>7.5176500112831706</v>
      </c>
    </row>
    <row r="93" spans="1:9" x14ac:dyDescent="0.25">
      <c r="A93">
        <v>1000</v>
      </c>
      <c r="B93">
        <v>1841.6397710000001</v>
      </c>
      <c r="C93">
        <v>-9.4932160000000003</v>
      </c>
      <c r="D93" t="s">
        <v>236</v>
      </c>
      <c r="E93">
        <f t="shared" si="5"/>
        <v>357.63977100000011</v>
      </c>
      <c r="F93" t="e">
        <f t="shared" si="7"/>
        <v>#VALUE!</v>
      </c>
      <c r="G93">
        <v>910</v>
      </c>
      <c r="H93" t="e">
        <f t="shared" si="8"/>
        <v>#VALUE!</v>
      </c>
      <c r="I93">
        <f t="shared" si="6"/>
        <v>7.5184116336293041</v>
      </c>
    </row>
    <row r="94" spans="1:9" x14ac:dyDescent="0.25">
      <c r="A94">
        <v>1000</v>
      </c>
      <c r="B94">
        <v>1841.5373540000001</v>
      </c>
      <c r="C94">
        <v>-9.4168819999999993</v>
      </c>
      <c r="D94" t="s">
        <v>237</v>
      </c>
      <c r="E94">
        <f t="shared" si="5"/>
        <v>357.53735400000005</v>
      </c>
      <c r="F94" t="e">
        <f t="shared" si="7"/>
        <v>#VALUE!</v>
      </c>
      <c r="G94">
        <v>920</v>
      </c>
      <c r="H94" t="e">
        <f t="shared" si="8"/>
        <v>#VALUE!</v>
      </c>
      <c r="I94">
        <f t="shared" si="6"/>
        <v>7.518356020230029</v>
      </c>
    </row>
    <row r="95" spans="1:9" x14ac:dyDescent="0.25">
      <c r="A95">
        <v>1000</v>
      </c>
      <c r="B95">
        <v>1840.8585210000001</v>
      </c>
      <c r="C95">
        <v>-9.3496310000000005</v>
      </c>
      <c r="D95" t="s">
        <v>238</v>
      </c>
      <c r="E95">
        <f t="shared" si="5"/>
        <v>356.85852100000011</v>
      </c>
      <c r="F95" t="e">
        <f t="shared" si="7"/>
        <v>#VALUE!</v>
      </c>
      <c r="G95">
        <v>930</v>
      </c>
      <c r="H95" t="e">
        <f t="shared" si="8"/>
        <v>#VALUE!</v>
      </c>
      <c r="I95">
        <f t="shared" si="6"/>
        <v>7.5179873292849315</v>
      </c>
    </row>
    <row r="96" spans="1:9" x14ac:dyDescent="0.25">
      <c r="A96">
        <v>1000</v>
      </c>
      <c r="B96">
        <v>1839.6235349999999</v>
      </c>
      <c r="C96">
        <v>-9.2998530000000006</v>
      </c>
      <c r="D96" t="s">
        <v>239</v>
      </c>
      <c r="E96">
        <f t="shared" si="5"/>
        <v>355.62353499999995</v>
      </c>
      <c r="F96" t="e">
        <f t="shared" si="7"/>
        <v>#VALUE!</v>
      </c>
      <c r="G96">
        <v>940</v>
      </c>
      <c r="H96" t="e">
        <f t="shared" si="8"/>
        <v>#VALUE!</v>
      </c>
      <c r="I96">
        <f t="shared" si="6"/>
        <v>7.5173162291260063</v>
      </c>
    </row>
    <row r="97" spans="1:9" x14ac:dyDescent="0.25">
      <c r="A97">
        <v>1000</v>
      </c>
      <c r="B97">
        <v>1839.1226810000001</v>
      </c>
      <c r="C97">
        <v>-9.2253220000000002</v>
      </c>
      <c r="D97" t="s">
        <v>240</v>
      </c>
      <c r="E97">
        <f t="shared" si="5"/>
        <v>355.12268100000006</v>
      </c>
      <c r="F97" t="e">
        <f t="shared" si="7"/>
        <v>#VALUE!</v>
      </c>
      <c r="G97">
        <v>950</v>
      </c>
      <c r="H97" t="e">
        <f t="shared" si="8"/>
        <v>#VALUE!</v>
      </c>
      <c r="I97">
        <f t="shared" si="6"/>
        <v>7.5170439330916041</v>
      </c>
    </row>
    <row r="98" spans="1:9" x14ac:dyDescent="0.25">
      <c r="A98">
        <v>1000</v>
      </c>
      <c r="B98">
        <v>1838.800293</v>
      </c>
      <c r="C98">
        <v>-9.171049</v>
      </c>
      <c r="D98" t="s">
        <v>241</v>
      </c>
      <c r="E98">
        <f t="shared" si="5"/>
        <v>354.80029300000001</v>
      </c>
      <c r="F98" t="e">
        <f t="shared" si="7"/>
        <v>#VALUE!</v>
      </c>
      <c r="G98">
        <v>960</v>
      </c>
      <c r="H98" t="e">
        <f t="shared" si="8"/>
        <v>#VALUE!</v>
      </c>
      <c r="I98">
        <f t="shared" ref="I98:I129" si="9">LN(B98)</f>
        <v>7.5168686232751103</v>
      </c>
    </row>
    <row r="99" spans="1:9" x14ac:dyDescent="0.25">
      <c r="A99">
        <v>1000</v>
      </c>
      <c r="B99">
        <v>1837.8364260000001</v>
      </c>
      <c r="C99">
        <v>-9.1019279999999991</v>
      </c>
      <c r="D99" t="s">
        <v>242</v>
      </c>
      <c r="E99">
        <f t="shared" si="5"/>
        <v>353.83642600000007</v>
      </c>
      <c r="F99" t="e">
        <f t="shared" si="7"/>
        <v>#VALUE!</v>
      </c>
      <c r="G99">
        <v>970</v>
      </c>
      <c r="H99" t="e">
        <f t="shared" si="8"/>
        <v>#VALUE!</v>
      </c>
      <c r="I99">
        <f t="shared" si="9"/>
        <v>7.5163443033078421</v>
      </c>
    </row>
    <row r="100" spans="1:9" x14ac:dyDescent="0.25">
      <c r="A100">
        <v>1000</v>
      </c>
      <c r="B100">
        <v>1846.637817</v>
      </c>
      <c r="C100">
        <v>-9.6876440000000006</v>
      </c>
      <c r="D100" t="s">
        <v>243</v>
      </c>
      <c r="E100">
        <f t="shared" si="5"/>
        <v>362.63781700000004</v>
      </c>
      <c r="F100" t="e">
        <f t="shared" si="7"/>
        <v>#VALUE!</v>
      </c>
      <c r="G100">
        <v>980</v>
      </c>
      <c r="H100" t="e">
        <f t="shared" si="8"/>
        <v>#VALUE!</v>
      </c>
      <c r="I100">
        <f t="shared" si="9"/>
        <v>7.5211218683880094</v>
      </c>
    </row>
    <row r="101" spans="1:9" x14ac:dyDescent="0.25">
      <c r="A101">
        <v>1000</v>
      </c>
      <c r="B101">
        <v>1847.306885</v>
      </c>
      <c r="C101">
        <v>-9.7317940000000007</v>
      </c>
      <c r="D101" t="s">
        <v>244</v>
      </c>
      <c r="E101">
        <f t="shared" si="5"/>
        <v>363.30688499999997</v>
      </c>
      <c r="F101" t="e">
        <f t="shared" si="7"/>
        <v>#VALUE!</v>
      </c>
      <c r="G101">
        <v>990</v>
      </c>
      <c r="H101" t="e">
        <f t="shared" si="8"/>
        <v>#VALUE!</v>
      </c>
      <c r="I101">
        <f t="shared" si="9"/>
        <v>7.5214841196187621</v>
      </c>
    </row>
    <row r="102" spans="1:9" x14ac:dyDescent="0.25">
      <c r="A102">
        <v>1000</v>
      </c>
      <c r="B102">
        <v>1846.418091</v>
      </c>
      <c r="C102">
        <v>-9.6150929999999999</v>
      </c>
      <c r="D102" t="s">
        <v>245</v>
      </c>
      <c r="E102">
        <f t="shared" si="5"/>
        <v>362.418091</v>
      </c>
      <c r="F102" t="e">
        <f t="shared" si="7"/>
        <v>#VALUE!</v>
      </c>
      <c r="G102">
        <v>1000</v>
      </c>
      <c r="H102" t="e">
        <f t="shared" si="8"/>
        <v>#VALUE!</v>
      </c>
      <c r="I102">
        <f t="shared" si="9"/>
        <v>7.5210028742510495</v>
      </c>
    </row>
    <row r="103" spans="1:9" x14ac:dyDescent="0.25">
      <c r="A103">
        <v>1000</v>
      </c>
      <c r="B103">
        <v>1843.169312</v>
      </c>
      <c r="C103">
        <v>-9.3973739999999992</v>
      </c>
      <c r="D103" t="s">
        <v>246</v>
      </c>
      <c r="E103">
        <f t="shared" si="5"/>
        <v>359.16931199999999</v>
      </c>
      <c r="F103" t="e">
        <f t="shared" si="7"/>
        <v>#VALUE!</v>
      </c>
      <c r="G103">
        <v>1010</v>
      </c>
      <c r="H103" t="e">
        <f t="shared" si="8"/>
        <v>#VALUE!</v>
      </c>
      <c r="I103">
        <f t="shared" si="9"/>
        <v>7.519241821057415</v>
      </c>
    </row>
    <row r="104" spans="1:9" x14ac:dyDescent="0.25">
      <c r="A104">
        <v>1000</v>
      </c>
      <c r="B104">
        <v>1842.1292719999999</v>
      </c>
      <c r="C104">
        <v>-9.251277</v>
      </c>
      <c r="D104" t="s">
        <v>247</v>
      </c>
      <c r="E104">
        <f t="shared" si="5"/>
        <v>358.1292719999999</v>
      </c>
      <c r="F104" t="e">
        <f t="shared" si="7"/>
        <v>#VALUE!</v>
      </c>
      <c r="G104">
        <v>1020</v>
      </c>
      <c r="H104" t="e">
        <f t="shared" si="8"/>
        <v>#VALUE!</v>
      </c>
      <c r="I104">
        <f t="shared" si="9"/>
        <v>7.518677394591605</v>
      </c>
    </row>
    <row r="105" spans="1:9" x14ac:dyDescent="0.25">
      <c r="A105">
        <v>1000</v>
      </c>
      <c r="B105">
        <v>1840.0711670000001</v>
      </c>
      <c r="C105">
        <v>-9.1097280000000005</v>
      </c>
      <c r="D105" t="s">
        <v>248</v>
      </c>
      <c r="E105">
        <f t="shared" si="5"/>
        <v>356.07116700000006</v>
      </c>
      <c r="F105" t="e">
        <f t="shared" si="7"/>
        <v>#VALUE!</v>
      </c>
      <c r="G105">
        <v>1030</v>
      </c>
      <c r="H105" t="e">
        <f t="shared" si="8"/>
        <v>#VALUE!</v>
      </c>
      <c r="I105">
        <f t="shared" si="9"/>
        <v>7.5175595275724589</v>
      </c>
    </row>
    <row r="106" spans="1:9" x14ac:dyDescent="0.25">
      <c r="A106">
        <v>1000</v>
      </c>
      <c r="B106">
        <v>1839.3720699999999</v>
      </c>
      <c r="C106">
        <v>-9.0505239999999993</v>
      </c>
      <c r="D106" t="s">
        <v>249</v>
      </c>
      <c r="E106">
        <f t="shared" si="5"/>
        <v>355.37206999999989</v>
      </c>
      <c r="F106" t="e">
        <f t="shared" si="7"/>
        <v>#VALUE!</v>
      </c>
      <c r="G106">
        <v>1040</v>
      </c>
      <c r="H106" t="e">
        <f t="shared" si="8"/>
        <v>#VALUE!</v>
      </c>
      <c r="I106">
        <f t="shared" si="9"/>
        <v>7.5171795260540861</v>
      </c>
    </row>
    <row r="107" spans="1:9" x14ac:dyDescent="0.25">
      <c r="A107">
        <v>1000</v>
      </c>
      <c r="B107">
        <v>1839.086914</v>
      </c>
      <c r="C107">
        <v>-8.9934910000000006</v>
      </c>
      <c r="D107" t="s">
        <v>250</v>
      </c>
      <c r="E107">
        <f t="shared" si="5"/>
        <v>355.08691399999998</v>
      </c>
      <c r="F107" t="e">
        <f t="shared" si="7"/>
        <v>#VALUE!</v>
      </c>
      <c r="G107">
        <v>1050</v>
      </c>
      <c r="H107" t="e">
        <f t="shared" si="8"/>
        <v>#VALUE!</v>
      </c>
      <c r="I107">
        <f t="shared" si="9"/>
        <v>7.5170244850427217</v>
      </c>
    </row>
    <row r="108" spans="1:9" x14ac:dyDescent="0.25">
      <c r="A108">
        <v>1000</v>
      </c>
      <c r="B108">
        <v>1838.1295170000001</v>
      </c>
      <c r="C108">
        <v>-8.9076909999999998</v>
      </c>
      <c r="D108" t="s">
        <v>251</v>
      </c>
      <c r="E108">
        <f t="shared" si="5"/>
        <v>354.12951700000008</v>
      </c>
      <c r="F108" t="e">
        <f t="shared" si="7"/>
        <v>#VALUE!</v>
      </c>
      <c r="G108">
        <v>1060</v>
      </c>
      <c r="H108" t="e">
        <f t="shared" si="8"/>
        <v>#VALUE!</v>
      </c>
      <c r="I108">
        <f t="shared" si="9"/>
        <v>7.5165037667006835</v>
      </c>
    </row>
    <row r="109" spans="1:9" x14ac:dyDescent="0.25">
      <c r="A109">
        <v>1000</v>
      </c>
      <c r="B109">
        <v>1838.280884</v>
      </c>
      <c r="C109">
        <v>-8.8479259999999993</v>
      </c>
      <c r="D109" t="s">
        <v>252</v>
      </c>
      <c r="E109">
        <f t="shared" si="5"/>
        <v>354.28088400000001</v>
      </c>
      <c r="F109" t="e">
        <f t="shared" si="7"/>
        <v>#VALUE!</v>
      </c>
      <c r="G109">
        <v>1070</v>
      </c>
      <c r="H109" t="e">
        <f t="shared" si="8"/>
        <v>#VALUE!</v>
      </c>
      <c r="I109">
        <f t="shared" si="9"/>
        <v>7.5165861116967942</v>
      </c>
    </row>
    <row r="110" spans="1:9" x14ac:dyDescent="0.25">
      <c r="A110">
        <v>1000</v>
      </c>
      <c r="B110">
        <v>1837.7344969999999</v>
      </c>
      <c r="C110">
        <v>-8.8102099999999997</v>
      </c>
      <c r="D110" t="s">
        <v>253</v>
      </c>
      <c r="E110">
        <f t="shared" si="5"/>
        <v>353.73449699999992</v>
      </c>
      <c r="F110" t="e">
        <f t="shared" si="7"/>
        <v>#VALUE!</v>
      </c>
      <c r="G110">
        <v>1080</v>
      </c>
      <c r="H110" t="e">
        <f t="shared" si="8"/>
        <v>#VALUE!</v>
      </c>
      <c r="I110">
        <f t="shared" si="9"/>
        <v>7.5162888403595485</v>
      </c>
    </row>
    <row r="111" spans="1:9" x14ac:dyDescent="0.25">
      <c r="A111">
        <v>1000</v>
      </c>
      <c r="B111">
        <v>1837.4754640000001</v>
      </c>
      <c r="C111">
        <v>-8.7429319999999997</v>
      </c>
      <c r="D111" t="s">
        <v>254</v>
      </c>
      <c r="E111">
        <f t="shared" si="5"/>
        <v>353.4754640000001</v>
      </c>
      <c r="F111" t="e">
        <f t="shared" si="7"/>
        <v>#VALUE!</v>
      </c>
      <c r="G111">
        <v>1090</v>
      </c>
      <c r="H111" t="e">
        <f t="shared" si="8"/>
        <v>#VALUE!</v>
      </c>
      <c r="I111">
        <f t="shared" si="9"/>
        <v>7.5161478780726707</v>
      </c>
    </row>
    <row r="112" spans="1:9" x14ac:dyDescent="0.25">
      <c r="A112">
        <v>1000</v>
      </c>
      <c r="B112">
        <v>1837.026001</v>
      </c>
      <c r="C112">
        <v>-8.711487</v>
      </c>
      <c r="D112" t="s">
        <v>255</v>
      </c>
      <c r="E112">
        <f t="shared" si="5"/>
        <v>353.02600099999995</v>
      </c>
      <c r="F112" t="e">
        <f t="shared" si="7"/>
        <v>#VALUE!</v>
      </c>
      <c r="G112">
        <v>1100</v>
      </c>
      <c r="H112" t="e">
        <f t="shared" si="8"/>
        <v>#VALUE!</v>
      </c>
      <c r="I112">
        <f t="shared" si="9"/>
        <v>7.5159032391704832</v>
      </c>
    </row>
    <row r="113" spans="1:9" x14ac:dyDescent="0.25">
      <c r="A113">
        <v>1000</v>
      </c>
      <c r="B113">
        <v>1837.3251949999999</v>
      </c>
      <c r="C113">
        <v>-8.6784829999999999</v>
      </c>
      <c r="D113" t="s">
        <v>256</v>
      </c>
      <c r="E113">
        <f t="shared" si="5"/>
        <v>353.32519499999989</v>
      </c>
      <c r="F113" t="e">
        <f t="shared" si="7"/>
        <v>#VALUE!</v>
      </c>
      <c r="G113">
        <v>1110</v>
      </c>
      <c r="H113" t="e">
        <f t="shared" si="8"/>
        <v>#VALUE!</v>
      </c>
      <c r="I113">
        <f t="shared" si="9"/>
        <v>7.5160660945888695</v>
      </c>
    </row>
    <row r="114" spans="1:9" x14ac:dyDescent="0.25">
      <c r="A114">
        <v>1000</v>
      </c>
      <c r="B114">
        <v>1836.375</v>
      </c>
      <c r="C114">
        <v>-8.6442779999999999</v>
      </c>
      <c r="D114" t="s">
        <v>257</v>
      </c>
      <c r="E114">
        <f t="shared" si="5"/>
        <v>352.375</v>
      </c>
      <c r="F114" t="e">
        <f t="shared" si="7"/>
        <v>#VALUE!</v>
      </c>
      <c r="G114">
        <v>1120</v>
      </c>
      <c r="H114" t="e">
        <f t="shared" si="8"/>
        <v>#VALUE!</v>
      </c>
      <c r="I114">
        <f t="shared" si="9"/>
        <v>7.5155487986905909</v>
      </c>
    </row>
    <row r="115" spans="1:9" x14ac:dyDescent="0.25">
      <c r="A115">
        <v>1000</v>
      </c>
      <c r="B115">
        <v>1836.417236</v>
      </c>
      <c r="C115">
        <v>-8.5885569999999998</v>
      </c>
      <c r="D115" t="s">
        <v>258</v>
      </c>
      <c r="E115">
        <f t="shared" si="5"/>
        <v>352.417236</v>
      </c>
      <c r="F115" t="e">
        <f t="shared" si="7"/>
        <v>#VALUE!</v>
      </c>
      <c r="G115">
        <v>1130</v>
      </c>
      <c r="H115" t="e">
        <f t="shared" si="8"/>
        <v>#VALUE!</v>
      </c>
      <c r="I115">
        <f t="shared" si="9"/>
        <v>7.5155717980857588</v>
      </c>
    </row>
    <row r="116" spans="1:9" x14ac:dyDescent="0.25">
      <c r="A116">
        <v>1000</v>
      </c>
      <c r="B116">
        <v>1836.741943</v>
      </c>
      <c r="C116">
        <v>-8.5671789999999994</v>
      </c>
      <c r="D116" t="s">
        <v>259</v>
      </c>
      <c r="E116">
        <f t="shared" si="5"/>
        <v>352.74194299999999</v>
      </c>
      <c r="F116" t="e">
        <f t="shared" si="7"/>
        <v>#VALUE!</v>
      </c>
      <c r="G116">
        <v>1140</v>
      </c>
      <c r="H116" t="e">
        <f t="shared" si="8"/>
        <v>#VALUE!</v>
      </c>
      <c r="I116">
        <f t="shared" si="9"/>
        <v>7.5157485979384315</v>
      </c>
    </row>
    <row r="117" spans="1:9" x14ac:dyDescent="0.25">
      <c r="A117">
        <v>1000</v>
      </c>
      <c r="B117">
        <v>1836.669922</v>
      </c>
      <c r="C117">
        <v>-8.5349810000000002</v>
      </c>
      <c r="D117" t="s">
        <v>260</v>
      </c>
      <c r="E117">
        <f t="shared" si="5"/>
        <v>352.66992200000004</v>
      </c>
      <c r="F117" t="e">
        <f t="shared" si="7"/>
        <v>#VALUE!</v>
      </c>
      <c r="G117">
        <v>1150</v>
      </c>
      <c r="H117" t="e">
        <f t="shared" si="8"/>
        <v>#VALUE!</v>
      </c>
      <c r="I117">
        <f t="shared" si="9"/>
        <v>7.5157093858910731</v>
      </c>
    </row>
    <row r="118" spans="1:9" x14ac:dyDescent="0.25">
      <c r="A118">
        <v>1000</v>
      </c>
      <c r="B118">
        <v>1836.496948</v>
      </c>
      <c r="C118">
        <v>-8.5036719999999999</v>
      </c>
      <c r="D118" t="s">
        <v>261</v>
      </c>
      <c r="E118">
        <f t="shared" si="5"/>
        <v>352.49694799999997</v>
      </c>
      <c r="F118" t="e">
        <f t="shared" si="7"/>
        <v>#VALUE!</v>
      </c>
      <c r="G118">
        <v>1160</v>
      </c>
      <c r="H118" t="e">
        <f t="shared" si="8"/>
        <v>#VALUE!</v>
      </c>
      <c r="I118">
        <f t="shared" si="9"/>
        <v>7.5156152034015484</v>
      </c>
    </row>
    <row r="119" spans="1:9" x14ac:dyDescent="0.25">
      <c r="A119">
        <v>1000</v>
      </c>
      <c r="B119">
        <v>1838.5922849999999</v>
      </c>
      <c r="C119">
        <v>-8.6413960000000003</v>
      </c>
      <c r="D119" t="s">
        <v>262</v>
      </c>
      <c r="E119">
        <f t="shared" si="5"/>
        <v>354.59228499999995</v>
      </c>
      <c r="F119" t="e">
        <f t="shared" si="7"/>
        <v>#VALUE!</v>
      </c>
      <c r="G119">
        <v>1170</v>
      </c>
      <c r="H119" t="e">
        <f t="shared" si="8"/>
        <v>#VALUE!</v>
      </c>
      <c r="I119">
        <f t="shared" si="9"/>
        <v>7.5167554952933617</v>
      </c>
    </row>
    <row r="120" spans="1:9" x14ac:dyDescent="0.25">
      <c r="A120">
        <v>1000</v>
      </c>
      <c r="B120">
        <v>1842.712769</v>
      </c>
      <c r="C120">
        <v>-9.0190359999999998</v>
      </c>
      <c r="D120" t="s">
        <v>263</v>
      </c>
      <c r="E120">
        <f t="shared" si="5"/>
        <v>358.71276899999998</v>
      </c>
      <c r="F120" t="e">
        <f t="shared" si="7"/>
        <v>#VALUE!</v>
      </c>
      <c r="G120">
        <v>1180</v>
      </c>
      <c r="H120" t="e">
        <f t="shared" si="8"/>
        <v>#VALUE!</v>
      </c>
      <c r="I120">
        <f t="shared" si="9"/>
        <v>7.5189940958224231</v>
      </c>
    </row>
    <row r="121" spans="1:9" x14ac:dyDescent="0.25">
      <c r="A121">
        <v>1000</v>
      </c>
      <c r="B121">
        <v>1841.557129</v>
      </c>
      <c r="C121">
        <v>-8.8441709999999993</v>
      </c>
      <c r="D121" t="s">
        <v>264</v>
      </c>
      <c r="E121">
        <f t="shared" si="5"/>
        <v>357.55712900000003</v>
      </c>
      <c r="F121" t="e">
        <f t="shared" si="7"/>
        <v>#VALUE!</v>
      </c>
      <c r="G121">
        <v>1190</v>
      </c>
      <c r="H121" t="e">
        <f t="shared" si="8"/>
        <v>#VALUE!</v>
      </c>
      <c r="I121">
        <f t="shared" si="9"/>
        <v>7.5183667584829257</v>
      </c>
    </row>
    <row r="122" spans="1:9" x14ac:dyDescent="0.25">
      <c r="A122">
        <v>1000</v>
      </c>
      <c r="B122">
        <v>1840.222534</v>
      </c>
      <c r="C122">
        <v>-8.7081800000000005</v>
      </c>
      <c r="D122" t="s">
        <v>265</v>
      </c>
      <c r="E122">
        <f t="shared" si="5"/>
        <v>356.222534</v>
      </c>
      <c r="F122" t="e">
        <f t="shared" si="7"/>
        <v>#VALUE!</v>
      </c>
      <c r="G122">
        <v>1200</v>
      </c>
      <c r="H122" t="e">
        <f t="shared" si="8"/>
        <v>#VALUE!</v>
      </c>
      <c r="I122">
        <f t="shared" si="9"/>
        <v>7.517641785681394</v>
      </c>
    </row>
    <row r="123" spans="1:9" x14ac:dyDescent="0.25">
      <c r="A123">
        <v>1000</v>
      </c>
      <c r="B123">
        <v>1839.6007079999999</v>
      </c>
      <c r="C123">
        <v>-8.6288</v>
      </c>
      <c r="D123" t="s">
        <v>266</v>
      </c>
      <c r="E123">
        <f t="shared" si="5"/>
        <v>355.60070799999994</v>
      </c>
      <c r="F123" t="e">
        <f t="shared" si="7"/>
        <v>#VALUE!</v>
      </c>
      <c r="G123">
        <v>1210</v>
      </c>
      <c r="H123" t="e">
        <f t="shared" si="8"/>
        <v>#VALUE!</v>
      </c>
      <c r="I123">
        <f t="shared" si="9"/>
        <v>7.5173038205319695</v>
      </c>
    </row>
    <row r="124" spans="1:9" x14ac:dyDescent="0.25">
      <c r="A124">
        <v>1000</v>
      </c>
      <c r="B124">
        <v>1839.2666019999999</v>
      </c>
      <c r="C124">
        <v>-8.5920400000000008</v>
      </c>
      <c r="D124" t="s">
        <v>267</v>
      </c>
      <c r="E124">
        <f t="shared" si="5"/>
        <v>355.26660199999992</v>
      </c>
      <c r="F124" t="e">
        <f t="shared" si="7"/>
        <v>#VALUE!</v>
      </c>
      <c r="G124">
        <v>1220</v>
      </c>
      <c r="H124" t="e">
        <f t="shared" si="8"/>
        <v>#VALUE!</v>
      </c>
      <c r="I124">
        <f t="shared" si="9"/>
        <v>7.517122185277004</v>
      </c>
    </row>
    <row r="125" spans="1:9" x14ac:dyDescent="0.25">
      <c r="A125">
        <v>1000</v>
      </c>
      <c r="B125">
        <v>1839.0708010000001</v>
      </c>
      <c r="C125">
        <v>-8.5323580000000003</v>
      </c>
      <c r="D125" t="s">
        <v>268</v>
      </c>
      <c r="E125">
        <f t="shared" si="5"/>
        <v>355.07080100000007</v>
      </c>
      <c r="F125" t="e">
        <f t="shared" si="7"/>
        <v>#VALUE!</v>
      </c>
      <c r="G125">
        <v>1230</v>
      </c>
      <c r="H125" t="e">
        <f t="shared" si="8"/>
        <v>#VALUE!</v>
      </c>
      <c r="I125">
        <f t="shared" si="9"/>
        <v>7.5170157235913386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4"/>
  <sheetViews>
    <sheetView zoomScale="70" zoomScaleNormal="70" workbookViewId="0">
      <selection activeCell="R4" sqref="R4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3.42578125" customWidth="1"/>
    <col min="18" max="18" width="9.42578125" bestFit="1" customWidth="1"/>
    <col min="26" max="26" width="23.28515625" bestFit="1" customWidth="1"/>
    <col min="28" max="28" width="12.28515625" bestFit="1" customWidth="1"/>
    <col min="30" max="30" width="12.285156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2432.8432619999999</v>
      </c>
      <c r="C2">
        <v>-22.830976</v>
      </c>
      <c r="D2" t="s">
        <v>269</v>
      </c>
      <c r="E2">
        <f t="shared" ref="E2:E21" si="0">B2-$P$3</f>
        <v>954.84326199999987</v>
      </c>
      <c r="F2">
        <f t="shared" ref="F2:F56" si="1">E2-$R$3</f>
        <v>380.11158199999988</v>
      </c>
      <c r="G2">
        <v>0</v>
      </c>
      <c r="H2">
        <f>LN(F2)</f>
        <v>5.9404648464596761</v>
      </c>
      <c r="I2">
        <f t="shared" ref="I2:I21" si="2">LN(B2)</f>
        <v>7.796815919006753</v>
      </c>
      <c r="L2" s="1" t="s">
        <v>0</v>
      </c>
      <c r="M2" s="1" t="s">
        <v>6</v>
      </c>
      <c r="P2" t="s">
        <v>14</v>
      </c>
      <c r="R2" t="s">
        <v>15</v>
      </c>
    </row>
    <row r="3" spans="1:18" x14ac:dyDescent="0.25">
      <c r="A3">
        <v>1000</v>
      </c>
      <c r="B3">
        <v>2419.08374</v>
      </c>
      <c r="C3">
        <v>-22.819105</v>
      </c>
      <c r="D3" t="s">
        <v>270</v>
      </c>
      <c r="E3">
        <f t="shared" si="0"/>
        <v>941.08374000000003</v>
      </c>
      <c r="F3">
        <f t="shared" si="1"/>
        <v>366.35206000000005</v>
      </c>
      <c r="G3">
        <v>10</v>
      </c>
      <c r="H3">
        <f t="shared" ref="H3:H66" si="3">LN(F3)</f>
        <v>5.9035947836282423</v>
      </c>
      <c r="I3">
        <f t="shared" si="2"/>
        <v>7.7911441276214344</v>
      </c>
      <c r="K3" t="s">
        <v>2</v>
      </c>
      <c r="L3">
        <f>1/(0.00007)</f>
        <v>14285.714285714286</v>
      </c>
      <c r="M3">
        <f>1/(0.0002)</f>
        <v>5000</v>
      </c>
      <c r="N3" s="3" t="s">
        <v>3</v>
      </c>
      <c r="P3">
        <v>1478</v>
      </c>
      <c r="R3" s="4">
        <v>574.73167999999998</v>
      </c>
    </row>
    <row r="4" spans="1:18" x14ac:dyDescent="0.25">
      <c r="A4">
        <v>1000</v>
      </c>
      <c r="B4">
        <v>2405.0854490000002</v>
      </c>
      <c r="C4">
        <v>-22.705029</v>
      </c>
      <c r="D4" t="s">
        <v>271</v>
      </c>
      <c r="E4">
        <f t="shared" si="0"/>
        <v>927.08544900000015</v>
      </c>
      <c r="F4">
        <f t="shared" si="1"/>
        <v>352.35376900000017</v>
      </c>
      <c r="G4">
        <v>20</v>
      </c>
      <c r="H4">
        <f t="shared" si="3"/>
        <v>5.8646356964662125</v>
      </c>
      <c r="I4">
        <f t="shared" si="2"/>
        <v>7.7853407116384252</v>
      </c>
      <c r="L4">
        <f>L3/60</f>
        <v>238.0952380952381</v>
      </c>
      <c r="M4">
        <f>M3/60</f>
        <v>83.333333333333329</v>
      </c>
      <c r="N4" s="3" t="s">
        <v>4</v>
      </c>
    </row>
    <row r="5" spans="1:18" x14ac:dyDescent="0.25">
      <c r="A5">
        <v>1000</v>
      </c>
      <c r="B5">
        <v>2389.3305660000001</v>
      </c>
      <c r="C5">
        <v>-22.435359999999999</v>
      </c>
      <c r="D5" t="s">
        <v>272</v>
      </c>
      <c r="E5">
        <f t="shared" si="0"/>
        <v>911.33056600000009</v>
      </c>
      <c r="F5">
        <f t="shared" si="1"/>
        <v>336.59888600000011</v>
      </c>
      <c r="G5">
        <v>30</v>
      </c>
      <c r="H5">
        <f t="shared" si="3"/>
        <v>5.8188919721849786</v>
      </c>
      <c r="I5">
        <f t="shared" si="2"/>
        <v>7.7787685077828614</v>
      </c>
      <c r="L5">
        <f>L4/60</f>
        <v>3.9682539682539684</v>
      </c>
      <c r="M5">
        <f>M4/60</f>
        <v>1.3888888888888888</v>
      </c>
      <c r="N5" s="3" t="s">
        <v>5</v>
      </c>
    </row>
    <row r="6" spans="1:18" x14ac:dyDescent="0.25">
      <c r="A6">
        <v>1000</v>
      </c>
      <c r="B6">
        <v>2374.0253910000001</v>
      </c>
      <c r="C6">
        <v>-22.189938000000001</v>
      </c>
      <c r="D6" t="s">
        <v>273</v>
      </c>
      <c r="E6">
        <f t="shared" si="0"/>
        <v>896.02539100000013</v>
      </c>
      <c r="F6">
        <f t="shared" si="1"/>
        <v>321.29371100000014</v>
      </c>
      <c r="G6">
        <v>40</v>
      </c>
      <c r="H6">
        <f t="shared" si="3"/>
        <v>5.7723556923230266</v>
      </c>
      <c r="I6">
        <f t="shared" si="2"/>
        <v>7.7723422705631338</v>
      </c>
    </row>
    <row r="7" spans="1:18" x14ac:dyDescent="0.25">
      <c r="A7">
        <v>1000</v>
      </c>
      <c r="B7">
        <v>2365.4309079999998</v>
      </c>
      <c r="C7">
        <v>-22.056979999999999</v>
      </c>
      <c r="D7" t="s">
        <v>274</v>
      </c>
      <c r="E7">
        <f t="shared" si="0"/>
        <v>887.43090799999982</v>
      </c>
      <c r="F7">
        <f t="shared" si="1"/>
        <v>312.69922799999983</v>
      </c>
      <c r="G7">
        <v>50</v>
      </c>
      <c r="H7">
        <f t="shared" si="3"/>
        <v>5.7452417956407924</v>
      </c>
      <c r="I7">
        <f t="shared" si="2"/>
        <v>7.7687154864434085</v>
      </c>
    </row>
    <row r="8" spans="1:18" x14ac:dyDescent="0.25">
      <c r="A8">
        <v>1000</v>
      </c>
      <c r="B8">
        <v>2356.9975589999999</v>
      </c>
      <c r="C8">
        <v>-21.950415</v>
      </c>
      <c r="D8" t="s">
        <v>275</v>
      </c>
      <c r="E8">
        <f t="shared" si="0"/>
        <v>878.99755899999991</v>
      </c>
      <c r="F8">
        <f t="shared" si="1"/>
        <v>304.26587899999993</v>
      </c>
      <c r="G8">
        <v>60</v>
      </c>
      <c r="H8">
        <f t="shared" si="3"/>
        <v>5.7179019211384556</v>
      </c>
      <c r="I8">
        <f t="shared" si="2"/>
        <v>7.7651438672970716</v>
      </c>
    </row>
    <row r="9" spans="1:18" x14ac:dyDescent="0.25">
      <c r="A9">
        <v>1000</v>
      </c>
      <c r="B9">
        <v>2349.9807129999999</v>
      </c>
      <c r="C9">
        <v>-21.83832</v>
      </c>
      <c r="D9" t="s">
        <v>276</v>
      </c>
      <c r="E9">
        <f t="shared" si="0"/>
        <v>871.98071299999992</v>
      </c>
      <c r="F9">
        <f t="shared" si="1"/>
        <v>297.24903299999994</v>
      </c>
      <c r="G9">
        <v>70</v>
      </c>
      <c r="H9">
        <f t="shared" si="3"/>
        <v>5.6945702824116884</v>
      </c>
      <c r="I9">
        <f t="shared" si="2"/>
        <v>7.7621623998704825</v>
      </c>
    </row>
    <row r="10" spans="1:18" x14ac:dyDescent="0.25">
      <c r="A10">
        <v>1000</v>
      </c>
      <c r="B10">
        <v>2340.201172</v>
      </c>
      <c r="C10">
        <v>-21.623974</v>
      </c>
      <c r="D10" t="s">
        <v>277</v>
      </c>
      <c r="E10">
        <f t="shared" si="0"/>
        <v>862.20117200000004</v>
      </c>
      <c r="F10">
        <f t="shared" si="1"/>
        <v>287.46949200000006</v>
      </c>
      <c r="G10">
        <v>80</v>
      </c>
      <c r="H10">
        <f t="shared" si="3"/>
        <v>5.6611167398242248</v>
      </c>
      <c r="I10">
        <f t="shared" si="2"/>
        <v>7.7579921755966286</v>
      </c>
    </row>
    <row r="11" spans="1:18" x14ac:dyDescent="0.25">
      <c r="A11">
        <v>1000</v>
      </c>
      <c r="B11">
        <v>2328.459961</v>
      </c>
      <c r="C11">
        <v>-21.376460999999999</v>
      </c>
      <c r="D11" t="s">
        <v>278</v>
      </c>
      <c r="E11">
        <f t="shared" si="0"/>
        <v>850.45996100000002</v>
      </c>
      <c r="F11">
        <f t="shared" si="1"/>
        <v>275.72828100000004</v>
      </c>
      <c r="G11">
        <v>90</v>
      </c>
      <c r="H11">
        <f t="shared" si="3"/>
        <v>5.6194158916589947</v>
      </c>
      <c r="I11">
        <f t="shared" si="2"/>
        <v>7.7529623670845567</v>
      </c>
    </row>
    <row r="12" spans="1:18" x14ac:dyDescent="0.25">
      <c r="A12">
        <v>1000</v>
      </c>
      <c r="B12">
        <v>2318.570557</v>
      </c>
      <c r="C12">
        <v>-21.165980999999999</v>
      </c>
      <c r="D12" t="s">
        <v>279</v>
      </c>
      <c r="E12">
        <f t="shared" si="0"/>
        <v>840.57055700000001</v>
      </c>
      <c r="F12">
        <f t="shared" si="1"/>
        <v>265.83887700000002</v>
      </c>
      <c r="G12">
        <v>100</v>
      </c>
      <c r="H12">
        <f t="shared" si="3"/>
        <v>5.5828903996919452</v>
      </c>
      <c r="I12">
        <f t="shared" si="2"/>
        <v>7.7487061355444418</v>
      </c>
    </row>
    <row r="13" spans="1:18" x14ac:dyDescent="0.25">
      <c r="A13">
        <v>1000</v>
      </c>
      <c r="B13">
        <v>2312.9536130000001</v>
      </c>
      <c r="C13">
        <v>-21.038546</v>
      </c>
      <c r="D13" t="s">
        <v>280</v>
      </c>
      <c r="E13">
        <f t="shared" si="0"/>
        <v>834.95361300000013</v>
      </c>
      <c r="F13">
        <f t="shared" si="1"/>
        <v>260.22193300000015</v>
      </c>
      <c r="G13">
        <v>110</v>
      </c>
      <c r="H13">
        <f t="shared" si="3"/>
        <v>5.5615348553776149</v>
      </c>
      <c r="I13">
        <f t="shared" si="2"/>
        <v>7.7462806071232899</v>
      </c>
    </row>
    <row r="14" spans="1:18" x14ac:dyDescent="0.25">
      <c r="A14">
        <v>1000</v>
      </c>
      <c r="B14">
        <v>2307.9187010000001</v>
      </c>
      <c r="C14">
        <v>-20.948768999999999</v>
      </c>
      <c r="D14" t="s">
        <v>281</v>
      </c>
      <c r="E14">
        <f t="shared" si="0"/>
        <v>829.91870100000006</v>
      </c>
      <c r="F14">
        <f t="shared" si="1"/>
        <v>255.18702100000007</v>
      </c>
      <c r="G14">
        <v>120</v>
      </c>
      <c r="H14">
        <f t="shared" si="3"/>
        <v>5.5419966920268449</v>
      </c>
      <c r="I14">
        <f t="shared" si="2"/>
        <v>7.7441014021375629</v>
      </c>
    </row>
    <row r="15" spans="1:18" x14ac:dyDescent="0.25">
      <c r="A15">
        <v>1000</v>
      </c>
      <c r="B15">
        <v>2299.6652829999998</v>
      </c>
      <c r="C15">
        <v>-20.791224</v>
      </c>
      <c r="D15" t="s">
        <v>282</v>
      </c>
      <c r="E15">
        <f t="shared" si="0"/>
        <v>821.66528299999982</v>
      </c>
      <c r="F15">
        <f t="shared" si="1"/>
        <v>246.93360299999983</v>
      </c>
      <c r="G15">
        <v>130</v>
      </c>
      <c r="H15">
        <f t="shared" si="3"/>
        <v>5.5091194867258979</v>
      </c>
      <c r="I15">
        <f t="shared" si="2"/>
        <v>7.7405188621964145</v>
      </c>
    </row>
    <row r="16" spans="1:18" x14ac:dyDescent="0.25">
      <c r="A16">
        <v>1000</v>
      </c>
      <c r="B16">
        <v>2286.639893</v>
      </c>
      <c r="C16">
        <v>-20.473756999999999</v>
      </c>
      <c r="D16" t="s">
        <v>283</v>
      </c>
      <c r="E16">
        <f t="shared" si="0"/>
        <v>808.63989300000003</v>
      </c>
      <c r="F16">
        <f t="shared" si="1"/>
        <v>233.90821300000005</v>
      </c>
      <c r="G16">
        <v>140</v>
      </c>
      <c r="H16">
        <f t="shared" si="3"/>
        <v>5.4549287862699565</v>
      </c>
      <c r="I16">
        <f t="shared" si="2"/>
        <v>7.7348387233826923</v>
      </c>
    </row>
    <row r="17" spans="1:9" x14ac:dyDescent="0.25">
      <c r="A17">
        <v>1000</v>
      </c>
      <c r="B17">
        <v>2282.7065429999998</v>
      </c>
      <c r="C17">
        <v>-20.400879</v>
      </c>
      <c r="D17" t="s">
        <v>284</v>
      </c>
      <c r="E17">
        <f t="shared" si="0"/>
        <v>804.70654299999978</v>
      </c>
      <c r="F17">
        <f t="shared" si="1"/>
        <v>229.9748629999998</v>
      </c>
      <c r="G17">
        <v>150</v>
      </c>
      <c r="H17">
        <f t="shared" si="3"/>
        <v>5.4379700116461169</v>
      </c>
      <c r="I17">
        <f t="shared" si="2"/>
        <v>7.7331170981889681</v>
      </c>
    </row>
    <row r="18" spans="1:9" x14ac:dyDescent="0.25">
      <c r="A18">
        <v>1000</v>
      </c>
      <c r="B18">
        <v>2277.4165039999998</v>
      </c>
      <c r="C18">
        <v>-20.320212999999999</v>
      </c>
      <c r="D18" t="s">
        <v>285</v>
      </c>
      <c r="E18">
        <f t="shared" si="0"/>
        <v>799.4165039999998</v>
      </c>
      <c r="F18">
        <f t="shared" si="1"/>
        <v>224.68482399999982</v>
      </c>
      <c r="G18">
        <v>160</v>
      </c>
      <c r="H18">
        <f t="shared" si="3"/>
        <v>5.4146986379696154</v>
      </c>
      <c r="I18">
        <f t="shared" si="2"/>
        <v>7.7307969672107006</v>
      </c>
    </row>
    <row r="19" spans="1:9" x14ac:dyDescent="0.25">
      <c r="A19">
        <v>1000</v>
      </c>
      <c r="B19">
        <v>2272.860596</v>
      </c>
      <c r="C19">
        <v>-20.196096000000001</v>
      </c>
      <c r="D19" t="s">
        <v>286</v>
      </c>
      <c r="E19">
        <f t="shared" si="0"/>
        <v>794.86059599999999</v>
      </c>
      <c r="F19">
        <f t="shared" si="1"/>
        <v>220.128916</v>
      </c>
      <c r="G19">
        <v>170</v>
      </c>
      <c r="H19">
        <f t="shared" si="3"/>
        <v>5.3942133565502388</v>
      </c>
      <c r="I19">
        <f t="shared" si="2"/>
        <v>7.7287944915714055</v>
      </c>
    </row>
    <row r="20" spans="1:9" x14ac:dyDescent="0.25">
      <c r="A20">
        <v>1000</v>
      </c>
      <c r="B20">
        <v>2267.1198730000001</v>
      </c>
      <c r="C20">
        <v>-20.075583000000002</v>
      </c>
      <c r="D20" t="s">
        <v>287</v>
      </c>
      <c r="E20">
        <f t="shared" si="0"/>
        <v>789.1198730000001</v>
      </c>
      <c r="F20">
        <f t="shared" si="1"/>
        <v>214.38819300000011</v>
      </c>
      <c r="G20">
        <v>180</v>
      </c>
      <c r="H20">
        <f t="shared" si="3"/>
        <v>5.3677883577175551</v>
      </c>
      <c r="I20">
        <f t="shared" si="2"/>
        <v>7.7262655264805451</v>
      </c>
    </row>
    <row r="21" spans="1:9" x14ac:dyDescent="0.25">
      <c r="A21">
        <v>1000</v>
      </c>
      <c r="B21">
        <v>2261.0209960000002</v>
      </c>
      <c r="C21">
        <v>-19.889364</v>
      </c>
      <c r="D21" t="s">
        <v>288</v>
      </c>
      <c r="E21">
        <f t="shared" si="0"/>
        <v>783.0209960000002</v>
      </c>
      <c r="F21">
        <f t="shared" si="1"/>
        <v>208.28931600000021</v>
      </c>
      <c r="G21">
        <v>190</v>
      </c>
      <c r="H21">
        <f t="shared" si="3"/>
        <v>5.3389280555448533</v>
      </c>
      <c r="I21">
        <f t="shared" si="2"/>
        <v>7.7235717583914214</v>
      </c>
    </row>
    <row r="22" spans="1:9" x14ac:dyDescent="0.25">
      <c r="A22">
        <v>1000</v>
      </c>
      <c r="B22">
        <v>2256.0561520000001</v>
      </c>
      <c r="C22">
        <v>-19.822566999999999</v>
      </c>
      <c r="D22" t="s">
        <v>289</v>
      </c>
      <c r="E22">
        <f t="shared" ref="E22:E56" si="4">B22-$P$3</f>
        <v>778.05615200000011</v>
      </c>
      <c r="F22">
        <f t="shared" si="1"/>
        <v>203.32447200000013</v>
      </c>
      <c r="G22">
        <v>200</v>
      </c>
      <c r="H22">
        <f t="shared" ref="H22:H56" si="5">LN(F22)</f>
        <v>5.3148030872217289</v>
      </c>
      <c r="I22">
        <f t="shared" ref="I22:I56" si="6">LN(B22)</f>
        <v>7.7213735023791186</v>
      </c>
    </row>
    <row r="23" spans="1:9" x14ac:dyDescent="0.25">
      <c r="A23">
        <v>1000</v>
      </c>
      <c r="B23">
        <v>2253.4196780000002</v>
      </c>
      <c r="C23">
        <v>-19.742804</v>
      </c>
      <c r="D23" t="s">
        <v>290</v>
      </c>
      <c r="E23">
        <f t="shared" si="4"/>
        <v>775.4196780000002</v>
      </c>
      <c r="F23">
        <f t="shared" si="1"/>
        <v>200.68799800000022</v>
      </c>
      <c r="G23">
        <v>210</v>
      </c>
      <c r="H23">
        <f t="shared" si="5"/>
        <v>5.3017514533166024</v>
      </c>
      <c r="I23">
        <f t="shared" si="6"/>
        <v>7.7202041982738132</v>
      </c>
    </row>
    <row r="24" spans="1:9" x14ac:dyDescent="0.25">
      <c r="A24">
        <v>1000</v>
      </c>
      <c r="B24">
        <v>2249.9284670000002</v>
      </c>
      <c r="C24">
        <v>-19.700209000000001</v>
      </c>
      <c r="D24" t="s">
        <v>291</v>
      </c>
      <c r="E24">
        <f t="shared" si="4"/>
        <v>771.92846700000018</v>
      </c>
      <c r="F24">
        <f t="shared" si="1"/>
        <v>197.1967870000002</v>
      </c>
      <c r="G24">
        <v>220</v>
      </c>
      <c r="H24">
        <f t="shared" si="5"/>
        <v>5.2842021489323541</v>
      </c>
      <c r="I24">
        <f t="shared" si="6"/>
        <v>7.7186537022486306</v>
      </c>
    </row>
    <row r="25" spans="1:9" x14ac:dyDescent="0.25">
      <c r="A25">
        <v>1000</v>
      </c>
      <c r="B25">
        <v>2247.0490719999998</v>
      </c>
      <c r="C25">
        <v>-19.628409999999999</v>
      </c>
      <c r="D25" t="s">
        <v>292</v>
      </c>
      <c r="E25">
        <f t="shared" si="4"/>
        <v>769.0490719999998</v>
      </c>
      <c r="F25">
        <f t="shared" si="1"/>
        <v>194.31739199999981</v>
      </c>
      <c r="G25">
        <v>230</v>
      </c>
      <c r="H25">
        <f t="shared" si="5"/>
        <v>5.2694928634428795</v>
      </c>
      <c r="I25">
        <f t="shared" si="6"/>
        <v>7.7173731108431705</v>
      </c>
    </row>
    <row r="26" spans="1:9" x14ac:dyDescent="0.25">
      <c r="A26">
        <v>1000</v>
      </c>
      <c r="B26">
        <v>2244.1484380000002</v>
      </c>
      <c r="C26">
        <v>-19.531202</v>
      </c>
      <c r="D26" t="s">
        <v>293</v>
      </c>
      <c r="E26">
        <f t="shared" si="4"/>
        <v>766.14843800000017</v>
      </c>
      <c r="F26">
        <f t="shared" si="1"/>
        <v>191.41675800000019</v>
      </c>
      <c r="G26">
        <v>240</v>
      </c>
      <c r="H26">
        <f t="shared" si="5"/>
        <v>5.2544530300450862</v>
      </c>
      <c r="I26">
        <f t="shared" si="6"/>
        <v>7.7160814132962035</v>
      </c>
    </row>
    <row r="27" spans="1:9" x14ac:dyDescent="0.25">
      <c r="A27">
        <v>1000</v>
      </c>
      <c r="B27">
        <v>2242.3061520000001</v>
      </c>
      <c r="C27">
        <v>-19.529757</v>
      </c>
      <c r="D27" t="s">
        <v>294</v>
      </c>
      <c r="E27">
        <f t="shared" si="4"/>
        <v>764.30615200000011</v>
      </c>
      <c r="F27">
        <f t="shared" si="1"/>
        <v>189.57447200000013</v>
      </c>
      <c r="G27">
        <v>250</v>
      </c>
      <c r="H27">
        <f t="shared" si="5"/>
        <v>5.2447819394057511</v>
      </c>
      <c r="I27">
        <f t="shared" si="6"/>
        <v>7.715260147387192</v>
      </c>
    </row>
    <row r="28" spans="1:9" x14ac:dyDescent="0.25">
      <c r="A28">
        <v>1000</v>
      </c>
      <c r="B28">
        <v>2239.3620609999998</v>
      </c>
      <c r="C28">
        <v>-19.460401999999998</v>
      </c>
      <c r="D28" t="s">
        <v>295</v>
      </c>
      <c r="E28">
        <f t="shared" si="4"/>
        <v>761.36206099999981</v>
      </c>
      <c r="F28">
        <f t="shared" si="1"/>
        <v>186.63038099999983</v>
      </c>
      <c r="G28">
        <v>260</v>
      </c>
      <c r="H28">
        <f t="shared" si="5"/>
        <v>5.2291300886653858</v>
      </c>
      <c r="I28">
        <f t="shared" si="6"/>
        <v>7.7139463100910888</v>
      </c>
    </row>
    <row r="29" spans="1:9" x14ac:dyDescent="0.25">
      <c r="A29">
        <v>1000</v>
      </c>
      <c r="B29">
        <v>2238.6999510000001</v>
      </c>
      <c r="C29">
        <v>-19.460224</v>
      </c>
      <c r="D29" t="s">
        <v>296</v>
      </c>
      <c r="E29">
        <f t="shared" si="4"/>
        <v>760.69995100000006</v>
      </c>
      <c r="F29">
        <f t="shared" si="1"/>
        <v>185.96827100000007</v>
      </c>
      <c r="G29">
        <v>270</v>
      </c>
      <c r="H29">
        <f t="shared" si="5"/>
        <v>5.2255760731402461</v>
      </c>
      <c r="I29">
        <f t="shared" si="6"/>
        <v>7.7136505973461329</v>
      </c>
    </row>
    <row r="30" spans="1:9" x14ac:dyDescent="0.25">
      <c r="A30">
        <v>1000</v>
      </c>
      <c r="B30">
        <v>2236.1689449999999</v>
      </c>
      <c r="C30">
        <v>-19.465073</v>
      </c>
      <c r="D30" t="s">
        <v>297</v>
      </c>
      <c r="E30">
        <f t="shared" si="4"/>
        <v>758.16894499999989</v>
      </c>
      <c r="F30">
        <f t="shared" si="1"/>
        <v>183.43726499999991</v>
      </c>
      <c r="G30">
        <v>280</v>
      </c>
      <c r="H30">
        <f t="shared" si="5"/>
        <v>5.2118727289313052</v>
      </c>
      <c r="I30">
        <f t="shared" si="6"/>
        <v>7.7125193882185723</v>
      </c>
    </row>
    <row r="31" spans="1:9" x14ac:dyDescent="0.25">
      <c r="A31">
        <v>1000</v>
      </c>
      <c r="B31">
        <v>2235.9323730000001</v>
      </c>
      <c r="C31">
        <v>-19.502094</v>
      </c>
      <c r="D31" t="s">
        <v>298</v>
      </c>
      <c r="E31">
        <f t="shared" si="4"/>
        <v>757.9323730000001</v>
      </c>
      <c r="F31">
        <f t="shared" si="1"/>
        <v>183.20069300000011</v>
      </c>
      <c r="G31">
        <v>290</v>
      </c>
      <c r="H31">
        <f t="shared" si="5"/>
        <v>5.2105822349839679</v>
      </c>
      <c r="I31">
        <f t="shared" si="6"/>
        <v>7.7124135891843384</v>
      </c>
    </row>
    <row r="32" spans="1:9" x14ac:dyDescent="0.25">
      <c r="A32">
        <v>1000</v>
      </c>
      <c r="B32">
        <v>2233.8208009999998</v>
      </c>
      <c r="C32">
        <v>-19.461781999999999</v>
      </c>
      <c r="D32" t="s">
        <v>299</v>
      </c>
      <c r="E32">
        <f t="shared" si="4"/>
        <v>755.82080099999985</v>
      </c>
      <c r="F32">
        <f t="shared" si="1"/>
        <v>181.08912099999986</v>
      </c>
      <c r="G32">
        <v>300</v>
      </c>
      <c r="H32">
        <f t="shared" si="5"/>
        <v>5.1989892913014399</v>
      </c>
      <c r="I32">
        <f t="shared" si="6"/>
        <v>7.7114687619981899</v>
      </c>
    </row>
    <row r="33" spans="1:20" x14ac:dyDescent="0.25">
      <c r="A33">
        <v>1000</v>
      </c>
      <c r="B33">
        <v>2227.951904</v>
      </c>
      <c r="C33">
        <v>-19.272352000000001</v>
      </c>
      <c r="D33" t="s">
        <v>300</v>
      </c>
      <c r="E33">
        <f t="shared" si="4"/>
        <v>749.95190400000001</v>
      </c>
      <c r="F33">
        <f t="shared" si="1"/>
        <v>175.22022400000003</v>
      </c>
      <c r="G33">
        <v>310</v>
      </c>
      <c r="H33">
        <f t="shared" si="5"/>
        <v>5.1660436056302785</v>
      </c>
      <c r="I33">
        <f t="shared" si="6"/>
        <v>7.7088380137405617</v>
      </c>
    </row>
    <row r="34" spans="1:20" x14ac:dyDescent="0.25">
      <c r="A34">
        <v>1000</v>
      </c>
      <c r="B34">
        <v>2222.8547359999998</v>
      </c>
      <c r="C34">
        <v>-19.080029</v>
      </c>
      <c r="D34" t="s">
        <v>301</v>
      </c>
      <c r="E34">
        <f t="shared" si="4"/>
        <v>744.85473599999978</v>
      </c>
      <c r="F34">
        <f t="shared" si="1"/>
        <v>170.12305599999979</v>
      </c>
      <c r="G34">
        <v>320</v>
      </c>
      <c r="H34">
        <f t="shared" si="5"/>
        <v>5.1365220340143507</v>
      </c>
      <c r="I34">
        <f t="shared" si="6"/>
        <v>7.7065475659001335</v>
      </c>
    </row>
    <row r="35" spans="1:20" x14ac:dyDescent="0.25">
      <c r="A35">
        <v>1000</v>
      </c>
      <c r="B35">
        <v>2218.5839839999999</v>
      </c>
      <c r="C35">
        <v>-19.009459</v>
      </c>
      <c r="D35" t="s">
        <v>302</v>
      </c>
      <c r="E35">
        <f t="shared" si="4"/>
        <v>740.58398399999987</v>
      </c>
      <c r="F35">
        <f t="shared" si="1"/>
        <v>165.85230399999989</v>
      </c>
      <c r="G35">
        <v>330</v>
      </c>
      <c r="H35">
        <f t="shared" si="5"/>
        <v>5.1110976573677158</v>
      </c>
      <c r="I35">
        <f t="shared" si="6"/>
        <v>7.7046244263115859</v>
      </c>
    </row>
    <row r="36" spans="1:20" x14ac:dyDescent="0.25">
      <c r="A36">
        <v>1000</v>
      </c>
      <c r="B36">
        <v>2214.6816410000001</v>
      </c>
      <c r="C36">
        <v>-18.876460999999999</v>
      </c>
      <c r="D36" t="s">
        <v>303</v>
      </c>
      <c r="E36">
        <f t="shared" si="4"/>
        <v>736.68164100000013</v>
      </c>
      <c r="F36">
        <f t="shared" si="1"/>
        <v>161.94996100000014</v>
      </c>
      <c r="G36">
        <v>340</v>
      </c>
      <c r="H36">
        <f t="shared" si="5"/>
        <v>5.0872874048022441</v>
      </c>
      <c r="I36">
        <f t="shared" si="6"/>
        <v>7.7028639434811099</v>
      </c>
    </row>
    <row r="37" spans="1:20" x14ac:dyDescent="0.25">
      <c r="A37">
        <v>1000</v>
      </c>
      <c r="B37">
        <v>2210.3347170000002</v>
      </c>
      <c r="C37">
        <v>-18.724176</v>
      </c>
      <c r="D37" t="s">
        <v>304</v>
      </c>
      <c r="E37">
        <f t="shared" si="4"/>
        <v>732.33471700000018</v>
      </c>
      <c r="F37">
        <f t="shared" si="1"/>
        <v>157.6030370000002</v>
      </c>
      <c r="G37">
        <v>350</v>
      </c>
      <c r="H37">
        <f t="shared" si="5"/>
        <v>5.0600794475426785</v>
      </c>
      <c r="I37">
        <f t="shared" si="6"/>
        <v>7.7008992386996571</v>
      </c>
    </row>
    <row r="38" spans="1:20" x14ac:dyDescent="0.25">
      <c r="A38">
        <v>1000</v>
      </c>
      <c r="B38">
        <v>2203.1223140000002</v>
      </c>
      <c r="C38">
        <v>-18.488453</v>
      </c>
      <c r="D38" t="s">
        <v>305</v>
      </c>
      <c r="E38">
        <f t="shared" si="4"/>
        <v>725.12231400000019</v>
      </c>
      <c r="F38">
        <f t="shared" si="1"/>
        <v>150.3906340000002</v>
      </c>
      <c r="G38">
        <v>360</v>
      </c>
      <c r="H38">
        <f t="shared" si="5"/>
        <v>5.0132361356404687</v>
      </c>
      <c r="I38">
        <f t="shared" si="6"/>
        <v>7.6976308668225855</v>
      </c>
    </row>
    <row r="39" spans="1:20" x14ac:dyDescent="0.25">
      <c r="A39">
        <v>1000</v>
      </c>
      <c r="B39">
        <v>2202.428711</v>
      </c>
      <c r="C39">
        <v>-18.474615</v>
      </c>
      <c r="D39" t="s">
        <v>306</v>
      </c>
      <c r="E39">
        <f t="shared" si="4"/>
        <v>724.42871100000002</v>
      </c>
      <c r="F39">
        <f t="shared" si="1"/>
        <v>149.69703100000004</v>
      </c>
      <c r="G39">
        <v>370</v>
      </c>
      <c r="H39">
        <f t="shared" si="5"/>
        <v>5.0086134582295747</v>
      </c>
      <c r="I39">
        <f t="shared" si="6"/>
        <v>7.6973159899766266</v>
      </c>
      <c r="S39">
        <v>-2.8999999999999998E-3</v>
      </c>
    </row>
    <row r="40" spans="1:20" x14ac:dyDescent="0.25">
      <c r="A40">
        <v>1000</v>
      </c>
      <c r="B40">
        <v>2197.101318</v>
      </c>
      <c r="C40">
        <v>-18.281756999999999</v>
      </c>
      <c r="D40" t="s">
        <v>307</v>
      </c>
      <c r="E40">
        <f t="shared" si="4"/>
        <v>719.10131799999999</v>
      </c>
      <c r="F40">
        <f t="shared" si="1"/>
        <v>144.36963800000001</v>
      </c>
      <c r="G40">
        <v>380</v>
      </c>
      <c r="H40">
        <f t="shared" si="5"/>
        <v>4.9723769411924339</v>
      </c>
      <c r="I40">
        <f t="shared" si="6"/>
        <v>7.6948941878438069</v>
      </c>
      <c r="R40" t="s">
        <v>2</v>
      </c>
      <c r="S40">
        <f>1/ABS(S39)</f>
        <v>344.82758620689657</v>
      </c>
      <c r="T40" s="3" t="s">
        <v>3</v>
      </c>
    </row>
    <row r="41" spans="1:20" x14ac:dyDescent="0.25">
      <c r="A41">
        <v>1000</v>
      </c>
      <c r="B41">
        <v>2192.2150879999999</v>
      </c>
      <c r="C41">
        <v>-18.140577</v>
      </c>
      <c r="D41" t="s">
        <v>308</v>
      </c>
      <c r="E41">
        <f t="shared" si="4"/>
        <v>714.21508799999992</v>
      </c>
      <c r="F41">
        <f t="shared" si="1"/>
        <v>139.48340799999994</v>
      </c>
      <c r="G41">
        <v>390</v>
      </c>
      <c r="H41">
        <f t="shared" si="5"/>
        <v>4.937945655119508</v>
      </c>
      <c r="I41">
        <f t="shared" si="6"/>
        <v>7.6926677673416437</v>
      </c>
      <c r="S41">
        <f>S40/60</f>
        <v>5.7471264367816097</v>
      </c>
      <c r="T41" s="3" t="s">
        <v>4</v>
      </c>
    </row>
    <row r="42" spans="1:20" x14ac:dyDescent="0.25">
      <c r="A42">
        <v>1000</v>
      </c>
      <c r="B42">
        <v>2190.8029790000001</v>
      </c>
      <c r="C42">
        <v>-18.110565000000001</v>
      </c>
      <c r="D42" t="s">
        <v>309</v>
      </c>
      <c r="E42">
        <f t="shared" si="4"/>
        <v>712.80297900000005</v>
      </c>
      <c r="F42">
        <f t="shared" si="1"/>
        <v>138.07129900000007</v>
      </c>
      <c r="G42">
        <v>400</v>
      </c>
      <c r="H42">
        <f t="shared" si="5"/>
        <v>4.9277702111549706</v>
      </c>
      <c r="I42">
        <f t="shared" si="6"/>
        <v>7.6920234126858924</v>
      </c>
      <c r="S42">
        <f>S41/60</f>
        <v>9.5785440613026823E-2</v>
      </c>
      <c r="T42" s="3" t="s">
        <v>5</v>
      </c>
    </row>
    <row r="43" spans="1:20" x14ac:dyDescent="0.25">
      <c r="A43">
        <v>1000</v>
      </c>
      <c r="B43">
        <v>2188.2863769999999</v>
      </c>
      <c r="C43">
        <v>-18.046129000000001</v>
      </c>
      <c r="D43" t="s">
        <v>310</v>
      </c>
      <c r="E43">
        <f t="shared" si="4"/>
        <v>710.2863769999999</v>
      </c>
      <c r="F43">
        <f t="shared" si="1"/>
        <v>135.55469699999992</v>
      </c>
      <c r="G43">
        <v>410</v>
      </c>
      <c r="H43">
        <f t="shared" si="5"/>
        <v>4.9093752267644675</v>
      </c>
      <c r="I43">
        <f t="shared" si="6"/>
        <v>7.6908740402605043</v>
      </c>
    </row>
    <row r="44" spans="1:20" x14ac:dyDescent="0.25">
      <c r="A44">
        <v>1000</v>
      </c>
      <c r="B44">
        <v>2185.6188959999999</v>
      </c>
      <c r="C44">
        <v>-17.933294</v>
      </c>
      <c r="D44" t="s">
        <v>311</v>
      </c>
      <c r="E44">
        <f t="shared" si="4"/>
        <v>707.61889599999995</v>
      </c>
      <c r="F44">
        <f t="shared" si="1"/>
        <v>132.88721599999997</v>
      </c>
      <c r="G44">
        <v>420</v>
      </c>
      <c r="H44">
        <f t="shared" si="5"/>
        <v>4.8895007684663572</v>
      </c>
      <c r="I44">
        <f t="shared" si="6"/>
        <v>7.6896543150199168</v>
      </c>
    </row>
    <row r="45" spans="1:20" x14ac:dyDescent="0.25">
      <c r="A45">
        <v>1000</v>
      </c>
      <c r="B45">
        <v>2183.8771969999998</v>
      </c>
      <c r="C45">
        <v>-17.913502000000001</v>
      </c>
      <c r="D45" t="s">
        <v>312</v>
      </c>
      <c r="E45">
        <f t="shared" si="4"/>
        <v>705.8771969999998</v>
      </c>
      <c r="F45">
        <f t="shared" si="1"/>
        <v>131.14551699999981</v>
      </c>
      <c r="G45">
        <v>430</v>
      </c>
      <c r="H45">
        <f t="shared" si="5"/>
        <v>4.8763075234945719</v>
      </c>
      <c r="I45">
        <f t="shared" si="6"/>
        <v>7.6888571068040621</v>
      </c>
    </row>
    <row r="46" spans="1:20" x14ac:dyDescent="0.25">
      <c r="A46">
        <v>1000</v>
      </c>
      <c r="B46">
        <v>2180.6201169999999</v>
      </c>
      <c r="C46">
        <v>-17.816471</v>
      </c>
      <c r="D46" t="s">
        <v>313</v>
      </c>
      <c r="E46">
        <f t="shared" si="4"/>
        <v>702.62011699999994</v>
      </c>
      <c r="F46">
        <f t="shared" si="1"/>
        <v>127.88843699999995</v>
      </c>
      <c r="G46">
        <v>440</v>
      </c>
      <c r="H46">
        <f t="shared" si="5"/>
        <v>4.8511582979302457</v>
      </c>
      <c r="I46">
        <f t="shared" si="6"/>
        <v>7.6873645726722657</v>
      </c>
    </row>
    <row r="47" spans="1:20" x14ac:dyDescent="0.25">
      <c r="A47">
        <v>1000</v>
      </c>
      <c r="B47">
        <v>2179.0505370000001</v>
      </c>
      <c r="C47">
        <v>-17.774287999999999</v>
      </c>
      <c r="D47" t="s">
        <v>314</v>
      </c>
      <c r="E47">
        <f t="shared" si="4"/>
        <v>701.05053700000008</v>
      </c>
      <c r="F47">
        <f t="shared" si="1"/>
        <v>126.31885700000009</v>
      </c>
      <c r="G47">
        <v>450</v>
      </c>
      <c r="H47">
        <f t="shared" si="5"/>
        <v>4.838809321458065</v>
      </c>
      <c r="I47">
        <f t="shared" si="6"/>
        <v>7.6866445274246393</v>
      </c>
    </row>
    <row r="48" spans="1:20" x14ac:dyDescent="0.25">
      <c r="A48">
        <v>1000</v>
      </c>
      <c r="B48">
        <v>2176.0715329999998</v>
      </c>
      <c r="C48">
        <v>-17.663474999999998</v>
      </c>
      <c r="D48" t="s">
        <v>315</v>
      </c>
      <c r="E48">
        <f t="shared" si="4"/>
        <v>698.07153299999982</v>
      </c>
      <c r="F48">
        <f t="shared" si="1"/>
        <v>123.33985299999983</v>
      </c>
      <c r="G48">
        <v>460</v>
      </c>
      <c r="H48">
        <f t="shared" si="5"/>
        <v>4.8149435777351668</v>
      </c>
      <c r="I48">
        <f t="shared" si="6"/>
        <v>7.6852764810568308</v>
      </c>
    </row>
    <row r="49" spans="1:9" x14ac:dyDescent="0.25">
      <c r="A49">
        <v>1000</v>
      </c>
      <c r="B49">
        <v>2172.8190920000002</v>
      </c>
      <c r="C49">
        <v>-17.561321</v>
      </c>
      <c r="D49" t="s">
        <v>316</v>
      </c>
      <c r="E49">
        <f t="shared" si="4"/>
        <v>694.81909200000018</v>
      </c>
      <c r="F49">
        <f t="shared" si="1"/>
        <v>120.0874120000002</v>
      </c>
      <c r="G49">
        <v>470</v>
      </c>
      <c r="H49">
        <f t="shared" si="5"/>
        <v>4.7882199109365891</v>
      </c>
      <c r="I49">
        <f t="shared" si="6"/>
        <v>7.6837807241446248</v>
      </c>
    </row>
    <row r="50" spans="1:9" x14ac:dyDescent="0.25">
      <c r="A50">
        <v>1000</v>
      </c>
      <c r="B50">
        <v>2169.1352539999998</v>
      </c>
      <c r="C50">
        <v>-17.440769</v>
      </c>
      <c r="D50" t="s">
        <v>317</v>
      </c>
      <c r="E50">
        <f t="shared" si="4"/>
        <v>691.1352539999998</v>
      </c>
      <c r="F50">
        <f t="shared" si="1"/>
        <v>116.40357399999982</v>
      </c>
      <c r="G50">
        <v>480</v>
      </c>
      <c r="H50">
        <f t="shared" si="5"/>
        <v>4.7570632392933172</v>
      </c>
      <c r="I50">
        <f t="shared" si="6"/>
        <v>7.6820838666512667</v>
      </c>
    </row>
    <row r="51" spans="1:9" x14ac:dyDescent="0.25">
      <c r="A51">
        <v>1000</v>
      </c>
      <c r="B51">
        <v>2167.4169919999999</v>
      </c>
      <c r="C51">
        <v>-17.388148999999999</v>
      </c>
      <c r="D51" t="s">
        <v>318</v>
      </c>
      <c r="E51">
        <f t="shared" si="4"/>
        <v>689.41699199999994</v>
      </c>
      <c r="F51">
        <f t="shared" si="1"/>
        <v>114.68531199999995</v>
      </c>
      <c r="G51">
        <v>490</v>
      </c>
      <c r="H51">
        <f t="shared" si="5"/>
        <v>4.742191960137748</v>
      </c>
      <c r="I51">
        <f t="shared" si="6"/>
        <v>7.6812914112662289</v>
      </c>
    </row>
    <row r="52" spans="1:9" x14ac:dyDescent="0.25">
      <c r="A52">
        <v>1000</v>
      </c>
      <c r="B52">
        <v>2164.5964359999998</v>
      </c>
      <c r="C52">
        <v>-17.299658000000001</v>
      </c>
      <c r="D52" t="s">
        <v>319</v>
      </c>
      <c r="E52">
        <f t="shared" si="4"/>
        <v>686.59643599999981</v>
      </c>
      <c r="F52">
        <f t="shared" si="1"/>
        <v>111.86475599999983</v>
      </c>
      <c r="G52">
        <v>500</v>
      </c>
      <c r="H52">
        <f t="shared" si="5"/>
        <v>4.7172906059221047</v>
      </c>
      <c r="I52">
        <f t="shared" si="6"/>
        <v>7.6799892193661119</v>
      </c>
    </row>
    <row r="53" spans="1:9" x14ac:dyDescent="0.25">
      <c r="A53">
        <v>1000</v>
      </c>
      <c r="B53">
        <v>2164.3996579999998</v>
      </c>
      <c r="C53">
        <v>-17.286653999999999</v>
      </c>
      <c r="D53" t="s">
        <v>320</v>
      </c>
      <c r="E53">
        <f t="shared" si="4"/>
        <v>686.39965799999982</v>
      </c>
      <c r="F53">
        <f t="shared" si="1"/>
        <v>111.66797799999983</v>
      </c>
      <c r="G53">
        <v>510</v>
      </c>
      <c r="H53">
        <f t="shared" si="5"/>
        <v>4.7155299863715854</v>
      </c>
      <c r="I53">
        <f t="shared" si="6"/>
        <v>7.6798983077571092</v>
      </c>
    </row>
    <row r="54" spans="1:9" x14ac:dyDescent="0.25">
      <c r="A54">
        <v>1000</v>
      </c>
      <c r="B54">
        <v>2163.328125</v>
      </c>
      <c r="C54">
        <v>-17.239252</v>
      </c>
      <c r="D54" t="s">
        <v>321</v>
      </c>
      <c r="E54">
        <f t="shared" si="4"/>
        <v>685.328125</v>
      </c>
      <c r="F54">
        <f t="shared" si="1"/>
        <v>110.59644500000002</v>
      </c>
      <c r="G54">
        <v>520</v>
      </c>
      <c r="H54">
        <f t="shared" si="5"/>
        <v>4.7058879457144993</v>
      </c>
      <c r="I54">
        <f t="shared" si="6"/>
        <v>7.6794031134770506</v>
      </c>
    </row>
    <row r="55" spans="1:9" x14ac:dyDescent="0.25">
      <c r="A55">
        <v>1000</v>
      </c>
      <c r="B55">
        <v>2161.8696289999998</v>
      </c>
      <c r="C55">
        <v>-17.211262000000001</v>
      </c>
      <c r="D55" t="s">
        <v>322</v>
      </c>
      <c r="E55">
        <f t="shared" si="4"/>
        <v>683.8696289999998</v>
      </c>
      <c r="F55">
        <f t="shared" si="1"/>
        <v>109.13794899999982</v>
      </c>
      <c r="G55">
        <v>530</v>
      </c>
      <c r="H55">
        <f t="shared" si="5"/>
        <v>4.6926126692047418</v>
      </c>
      <c r="I55">
        <f t="shared" si="6"/>
        <v>7.6787286952708849</v>
      </c>
    </row>
    <row r="56" spans="1:9" x14ac:dyDescent="0.25">
      <c r="A56">
        <v>1000</v>
      </c>
      <c r="B56">
        <v>2159.5900879999999</v>
      </c>
      <c r="C56">
        <v>-17.146881</v>
      </c>
      <c r="D56" t="s">
        <v>323</v>
      </c>
      <c r="E56">
        <f t="shared" si="4"/>
        <v>681.59008799999992</v>
      </c>
      <c r="F56">
        <f t="shared" si="1"/>
        <v>106.85840799999994</v>
      </c>
      <c r="G56">
        <v>540</v>
      </c>
      <c r="H56">
        <f t="shared" si="5"/>
        <v>4.6715046684212691</v>
      </c>
      <c r="I56">
        <f t="shared" si="6"/>
        <v>7.6776737085947584</v>
      </c>
    </row>
    <row r="57" spans="1:9" x14ac:dyDescent="0.25">
      <c r="A57">
        <v>1000</v>
      </c>
      <c r="B57">
        <v>2157.4672850000002</v>
      </c>
      <c r="C57">
        <v>-17.067623000000001</v>
      </c>
      <c r="D57" t="s">
        <v>324</v>
      </c>
      <c r="E57">
        <f t="shared" ref="E57:E120" si="7">B57-$P$3</f>
        <v>679.46728500000017</v>
      </c>
      <c r="F57">
        <f t="shared" ref="F57:F66" si="8">E57-$R$3</f>
        <v>104.73560500000019</v>
      </c>
      <c r="G57">
        <v>550</v>
      </c>
      <c r="H57">
        <f t="shared" si="3"/>
        <v>4.6514391269245534</v>
      </c>
      <c r="I57">
        <f t="shared" ref="I57:I88" si="9">LN(B57)</f>
        <v>7.6766902594590718</v>
      </c>
    </row>
    <row r="58" spans="1:9" x14ac:dyDescent="0.25">
      <c r="A58">
        <v>1000</v>
      </c>
      <c r="B58">
        <v>2154.841797</v>
      </c>
      <c r="C58">
        <v>-16.999701999999999</v>
      </c>
      <c r="D58" t="s">
        <v>325</v>
      </c>
      <c r="E58">
        <f t="shared" si="7"/>
        <v>676.84179700000004</v>
      </c>
      <c r="F58">
        <f t="shared" si="8"/>
        <v>102.11011700000006</v>
      </c>
      <c r="G58">
        <v>560</v>
      </c>
      <c r="H58">
        <f t="shared" si="3"/>
        <v>4.6260518093899226</v>
      </c>
      <c r="I58">
        <f t="shared" si="9"/>
        <v>7.6754725877780858</v>
      </c>
    </row>
    <row r="59" spans="1:9" x14ac:dyDescent="0.25">
      <c r="A59">
        <v>1000</v>
      </c>
      <c r="B59">
        <v>2152.5847170000002</v>
      </c>
      <c r="C59">
        <v>-16.902470000000001</v>
      </c>
      <c r="D59" t="s">
        <v>326</v>
      </c>
      <c r="E59">
        <f t="shared" si="7"/>
        <v>674.58471700000018</v>
      </c>
      <c r="F59">
        <f t="shared" si="8"/>
        <v>99.853037000000199</v>
      </c>
      <c r="G59">
        <v>570</v>
      </c>
      <c r="H59">
        <f t="shared" si="3"/>
        <v>4.603699475022716</v>
      </c>
      <c r="I59">
        <f t="shared" si="9"/>
        <v>7.6744245930186894</v>
      </c>
    </row>
    <row r="60" spans="1:9" x14ac:dyDescent="0.25">
      <c r="A60">
        <v>1000</v>
      </c>
      <c r="B60">
        <v>2151.8779300000001</v>
      </c>
      <c r="C60">
        <v>-16.878001999999999</v>
      </c>
      <c r="D60" t="s">
        <v>327</v>
      </c>
      <c r="E60">
        <f t="shared" si="7"/>
        <v>673.87793000000011</v>
      </c>
      <c r="F60">
        <f t="shared" si="8"/>
        <v>99.146250000000123</v>
      </c>
      <c r="G60">
        <v>580</v>
      </c>
      <c r="H60">
        <f t="shared" si="3"/>
        <v>4.5965960327679536</v>
      </c>
      <c r="I60">
        <f t="shared" si="9"/>
        <v>7.6740961956951139</v>
      </c>
    </row>
    <row r="61" spans="1:9" x14ac:dyDescent="0.25">
      <c r="A61">
        <v>1000</v>
      </c>
      <c r="B61">
        <v>2151.4223630000001</v>
      </c>
      <c r="C61">
        <v>-16.878481000000001</v>
      </c>
      <c r="D61" t="s">
        <v>328</v>
      </c>
      <c r="E61">
        <f t="shared" si="7"/>
        <v>673.42236300000013</v>
      </c>
      <c r="F61">
        <f t="shared" si="8"/>
        <v>98.690683000000149</v>
      </c>
      <c r="G61">
        <v>590</v>
      </c>
      <c r="H61">
        <f t="shared" si="3"/>
        <v>4.5919905448206242</v>
      </c>
      <c r="I61">
        <f t="shared" si="9"/>
        <v>7.6738844665706356</v>
      </c>
    </row>
    <row r="62" spans="1:9" x14ac:dyDescent="0.25">
      <c r="A62">
        <v>1000</v>
      </c>
      <c r="B62">
        <v>2149.1621089999999</v>
      </c>
      <c r="C62">
        <v>-16.813717</v>
      </c>
      <c r="D62" t="s">
        <v>329</v>
      </c>
      <c r="E62">
        <f t="shared" si="7"/>
        <v>671.16210899999987</v>
      </c>
      <c r="F62">
        <f t="shared" si="8"/>
        <v>96.43042899999989</v>
      </c>
      <c r="G62">
        <v>600</v>
      </c>
      <c r="H62">
        <f t="shared" si="3"/>
        <v>4.568821805335376</v>
      </c>
      <c r="I62">
        <f t="shared" si="9"/>
        <v>7.672833328418216</v>
      </c>
    </row>
    <row r="63" spans="1:9" x14ac:dyDescent="0.25">
      <c r="A63">
        <v>1000</v>
      </c>
      <c r="B63">
        <v>2146.998047</v>
      </c>
      <c r="C63">
        <v>-16.711141999999999</v>
      </c>
      <c r="D63" t="s">
        <v>330</v>
      </c>
      <c r="E63">
        <f t="shared" si="7"/>
        <v>668.99804700000004</v>
      </c>
      <c r="F63">
        <f t="shared" si="8"/>
        <v>94.266367000000059</v>
      </c>
      <c r="G63">
        <v>610</v>
      </c>
      <c r="H63">
        <f t="shared" si="3"/>
        <v>4.5461244664242209</v>
      </c>
      <c r="I63">
        <f t="shared" si="9"/>
        <v>7.6718258882370076</v>
      </c>
    </row>
    <row r="64" spans="1:9" x14ac:dyDescent="0.25">
      <c r="A64">
        <v>1000</v>
      </c>
      <c r="B64">
        <v>2142.9877929999998</v>
      </c>
      <c r="C64">
        <v>-16.610558999999999</v>
      </c>
      <c r="D64" t="s">
        <v>331</v>
      </c>
      <c r="E64">
        <f t="shared" si="7"/>
        <v>664.98779299999978</v>
      </c>
      <c r="F64">
        <f t="shared" si="8"/>
        <v>90.2561129999998</v>
      </c>
      <c r="G64">
        <v>620</v>
      </c>
      <c r="H64">
        <f t="shared" si="3"/>
        <v>4.5026513289911616</v>
      </c>
      <c r="I64">
        <f t="shared" si="9"/>
        <v>7.6699562992371018</v>
      </c>
    </row>
    <row r="65" spans="1:9" x14ac:dyDescent="0.25">
      <c r="A65">
        <v>1000</v>
      </c>
      <c r="B65">
        <v>2141.9882809999999</v>
      </c>
      <c r="C65">
        <v>-16.576571999999999</v>
      </c>
      <c r="D65" t="s">
        <v>332</v>
      </c>
      <c r="E65">
        <f t="shared" si="7"/>
        <v>663.98828099999992</v>
      </c>
      <c r="F65">
        <f t="shared" si="8"/>
        <v>89.256600999999932</v>
      </c>
      <c r="G65">
        <v>630</v>
      </c>
      <c r="H65">
        <f t="shared" si="3"/>
        <v>4.4915153787090976</v>
      </c>
      <c r="I65">
        <f t="shared" si="9"/>
        <v>7.6694897799376394</v>
      </c>
    </row>
    <row r="66" spans="1:9" x14ac:dyDescent="0.25">
      <c r="A66">
        <v>1000</v>
      </c>
      <c r="B66">
        <v>2140.1276859999998</v>
      </c>
      <c r="C66">
        <v>-16.524405000000002</v>
      </c>
      <c r="D66" t="s">
        <v>333</v>
      </c>
      <c r="E66">
        <f t="shared" si="7"/>
        <v>662.12768599999981</v>
      </c>
      <c r="F66">
        <f t="shared" si="8"/>
        <v>87.396005999999829</v>
      </c>
      <c r="G66">
        <v>640</v>
      </c>
      <c r="H66">
        <f t="shared" si="3"/>
        <v>4.4704495836768015</v>
      </c>
      <c r="I66">
        <f t="shared" si="9"/>
        <v>7.6686207725910709</v>
      </c>
    </row>
    <row r="67" spans="1:9" x14ac:dyDescent="0.25">
      <c r="A67">
        <v>1000</v>
      </c>
      <c r="B67">
        <v>2139.1062010000001</v>
      </c>
      <c r="C67">
        <v>-16.426704000000001</v>
      </c>
      <c r="D67" t="s">
        <v>334</v>
      </c>
      <c r="E67">
        <f t="shared" si="7"/>
        <v>661.10620100000006</v>
      </c>
      <c r="F67">
        <f t="shared" ref="F67:F130" si="10">E67-$R$3</f>
        <v>86.374521000000072</v>
      </c>
      <c r="G67">
        <v>650</v>
      </c>
      <c r="H67">
        <f t="shared" ref="H67:H130" si="11">LN(F67)</f>
        <v>4.4586927364863511</v>
      </c>
      <c r="I67">
        <f t="shared" si="9"/>
        <v>7.6681433576862652</v>
      </c>
    </row>
    <row r="68" spans="1:9" x14ac:dyDescent="0.25">
      <c r="A68">
        <v>1000</v>
      </c>
      <c r="B68">
        <v>2136.9514159999999</v>
      </c>
      <c r="C68">
        <v>-16.363007</v>
      </c>
      <c r="D68" t="s">
        <v>335</v>
      </c>
      <c r="E68">
        <f t="shared" si="7"/>
        <v>658.95141599999988</v>
      </c>
      <c r="F68">
        <f t="shared" si="10"/>
        <v>84.219735999999898</v>
      </c>
      <c r="G68">
        <v>660</v>
      </c>
      <c r="H68">
        <f t="shared" si="11"/>
        <v>4.4334292880815154</v>
      </c>
      <c r="I68">
        <f t="shared" si="9"/>
        <v>7.6671355203859335</v>
      </c>
    </row>
    <row r="69" spans="1:9" x14ac:dyDescent="0.25">
      <c r="A69">
        <v>1000</v>
      </c>
      <c r="B69">
        <v>2136.8608399999998</v>
      </c>
      <c r="C69">
        <v>-16.398087</v>
      </c>
      <c r="D69" t="s">
        <v>336</v>
      </c>
      <c r="E69">
        <f t="shared" si="7"/>
        <v>658.86083999999983</v>
      </c>
      <c r="F69">
        <f t="shared" si="10"/>
        <v>84.129159999999843</v>
      </c>
      <c r="G69">
        <v>670</v>
      </c>
      <c r="H69">
        <f t="shared" si="11"/>
        <v>4.4323532369651506</v>
      </c>
      <c r="I69">
        <f t="shared" si="9"/>
        <v>7.6670931338726342</v>
      </c>
    </row>
    <row r="70" spans="1:9" x14ac:dyDescent="0.25">
      <c r="A70">
        <v>1000</v>
      </c>
      <c r="B70">
        <v>2134.5512699999999</v>
      </c>
      <c r="C70">
        <v>-16.342939000000001</v>
      </c>
      <c r="D70" t="s">
        <v>337</v>
      </c>
      <c r="E70">
        <f t="shared" si="7"/>
        <v>656.55126999999993</v>
      </c>
      <c r="F70">
        <f t="shared" si="10"/>
        <v>81.819589999999948</v>
      </c>
      <c r="G70">
        <v>680</v>
      </c>
      <c r="H70">
        <f t="shared" si="11"/>
        <v>4.4045167014889408</v>
      </c>
      <c r="I70">
        <f t="shared" si="9"/>
        <v>7.6660117255862881</v>
      </c>
    </row>
    <row r="71" spans="1:9" x14ac:dyDescent="0.25">
      <c r="A71">
        <v>1000</v>
      </c>
      <c r="B71">
        <v>2135.8195799999999</v>
      </c>
      <c r="C71">
        <v>-16.388237</v>
      </c>
      <c r="D71" t="s">
        <v>338</v>
      </c>
      <c r="E71">
        <f t="shared" si="7"/>
        <v>657.81957999999986</v>
      </c>
      <c r="F71">
        <f t="shared" si="10"/>
        <v>83.087899999999877</v>
      </c>
      <c r="G71">
        <v>690</v>
      </c>
      <c r="H71">
        <f t="shared" si="11"/>
        <v>4.4198990835580059</v>
      </c>
      <c r="I71">
        <f t="shared" si="9"/>
        <v>7.6666057302204722</v>
      </c>
    </row>
    <row r="72" spans="1:9" x14ac:dyDescent="0.25">
      <c r="A72">
        <v>1000</v>
      </c>
      <c r="B72">
        <v>2134.4533689999998</v>
      </c>
      <c r="C72">
        <v>-16.36496</v>
      </c>
      <c r="D72" t="s">
        <v>339</v>
      </c>
      <c r="E72">
        <f t="shared" si="7"/>
        <v>656.45336899999984</v>
      </c>
      <c r="F72">
        <f t="shared" si="10"/>
        <v>81.721688999999856</v>
      </c>
      <c r="G72">
        <v>700</v>
      </c>
      <c r="H72">
        <f t="shared" si="11"/>
        <v>4.4033194378709322</v>
      </c>
      <c r="I72">
        <f t="shared" si="9"/>
        <v>7.6659658596253459</v>
      </c>
    </row>
    <row r="73" spans="1:9" x14ac:dyDescent="0.25">
      <c r="A73">
        <v>1000</v>
      </c>
      <c r="B73">
        <v>2132.2998050000001</v>
      </c>
      <c r="C73">
        <v>-16.292587000000001</v>
      </c>
      <c r="D73" t="s">
        <v>340</v>
      </c>
      <c r="E73">
        <f t="shared" si="7"/>
        <v>654.29980500000011</v>
      </c>
      <c r="F73">
        <f t="shared" si="10"/>
        <v>79.568125000000123</v>
      </c>
      <c r="G73">
        <v>710</v>
      </c>
      <c r="H73">
        <f t="shared" si="11"/>
        <v>4.3766135729544597</v>
      </c>
      <c r="I73">
        <f t="shared" si="9"/>
        <v>7.6649563968816379</v>
      </c>
    </row>
    <row r="74" spans="1:9" x14ac:dyDescent="0.25">
      <c r="A74">
        <v>1000</v>
      </c>
      <c r="B74">
        <v>2131.4479980000001</v>
      </c>
      <c r="C74">
        <v>-16.268162</v>
      </c>
      <c r="D74" t="s">
        <v>341</v>
      </c>
      <c r="E74">
        <f t="shared" si="7"/>
        <v>653.4479980000001</v>
      </c>
      <c r="F74">
        <f t="shared" si="10"/>
        <v>78.716318000000115</v>
      </c>
      <c r="G74">
        <v>720</v>
      </c>
      <c r="H74">
        <f t="shared" si="11"/>
        <v>4.3658504782761076</v>
      </c>
      <c r="I74">
        <f t="shared" si="9"/>
        <v>7.6645568390040664</v>
      </c>
    </row>
    <row r="75" spans="1:9" x14ac:dyDescent="0.25">
      <c r="A75">
        <v>1000</v>
      </c>
      <c r="B75">
        <v>2128.4714359999998</v>
      </c>
      <c r="C75">
        <v>-16.140751000000002</v>
      </c>
      <c r="D75" t="s">
        <v>342</v>
      </c>
      <c r="E75">
        <f t="shared" si="7"/>
        <v>650.47143599999981</v>
      </c>
      <c r="F75">
        <f t="shared" si="10"/>
        <v>75.739755999999829</v>
      </c>
      <c r="G75">
        <v>730</v>
      </c>
      <c r="H75">
        <f t="shared" si="11"/>
        <v>4.3273032009210581</v>
      </c>
      <c r="I75">
        <f t="shared" si="9"/>
        <v>7.6631593653989736</v>
      </c>
    </row>
    <row r="76" spans="1:9" x14ac:dyDescent="0.25">
      <c r="A76">
        <v>1000</v>
      </c>
      <c r="B76">
        <v>2128.0473630000001</v>
      </c>
      <c r="C76">
        <v>-16.137733000000001</v>
      </c>
      <c r="D76" t="s">
        <v>343</v>
      </c>
      <c r="E76">
        <f t="shared" si="7"/>
        <v>650.04736300000013</v>
      </c>
      <c r="F76">
        <f t="shared" si="10"/>
        <v>75.315683000000149</v>
      </c>
      <c r="G76">
        <v>740</v>
      </c>
      <c r="H76">
        <f t="shared" si="11"/>
        <v>4.3216883866922977</v>
      </c>
      <c r="I76">
        <f t="shared" si="9"/>
        <v>7.6629601072627231</v>
      </c>
    </row>
    <row r="77" spans="1:9" x14ac:dyDescent="0.25">
      <c r="A77">
        <v>1000</v>
      </c>
      <c r="B77">
        <v>2125.7080080000001</v>
      </c>
      <c r="C77">
        <v>-16.106628000000001</v>
      </c>
      <c r="D77" t="s">
        <v>344</v>
      </c>
      <c r="E77">
        <f t="shared" si="7"/>
        <v>647.70800800000006</v>
      </c>
      <c r="F77">
        <f t="shared" si="10"/>
        <v>72.97632800000008</v>
      </c>
      <c r="G77">
        <v>750</v>
      </c>
      <c r="H77">
        <f t="shared" si="11"/>
        <v>4.2901351145876161</v>
      </c>
      <c r="I77">
        <f t="shared" si="9"/>
        <v>7.6618602061016023</v>
      </c>
    </row>
    <row r="78" spans="1:9" x14ac:dyDescent="0.25">
      <c r="A78">
        <v>1000</v>
      </c>
      <c r="B78">
        <v>2123.576904</v>
      </c>
      <c r="C78">
        <v>-16.029064000000002</v>
      </c>
      <c r="D78" t="s">
        <v>345</v>
      </c>
      <c r="E78">
        <f t="shared" si="7"/>
        <v>645.57690400000001</v>
      </c>
      <c r="F78">
        <f t="shared" si="10"/>
        <v>70.84522400000003</v>
      </c>
      <c r="G78">
        <v>760</v>
      </c>
      <c r="H78">
        <f t="shared" si="11"/>
        <v>4.2604975538433605</v>
      </c>
      <c r="I78">
        <f t="shared" si="9"/>
        <v>7.6608571647792116</v>
      </c>
    </row>
    <row r="79" spans="1:9" x14ac:dyDescent="0.25">
      <c r="A79">
        <v>1000</v>
      </c>
      <c r="B79">
        <v>2123.6728520000001</v>
      </c>
      <c r="C79">
        <v>-16.011320000000001</v>
      </c>
      <c r="D79" t="s">
        <v>346</v>
      </c>
      <c r="E79">
        <f t="shared" si="7"/>
        <v>645.67285200000015</v>
      </c>
      <c r="F79">
        <f t="shared" si="10"/>
        <v>70.941172000000165</v>
      </c>
      <c r="G79">
        <v>770</v>
      </c>
      <c r="H79">
        <f t="shared" si="11"/>
        <v>4.2618509702126728</v>
      </c>
      <c r="I79">
        <f t="shared" si="9"/>
        <v>7.6609023460167318</v>
      </c>
    </row>
    <row r="80" spans="1:9" x14ac:dyDescent="0.25">
      <c r="A80">
        <v>1000</v>
      </c>
      <c r="B80">
        <v>2120.8625489999999</v>
      </c>
      <c r="C80">
        <v>-15.914960000000001</v>
      </c>
      <c r="D80" t="s">
        <v>347</v>
      </c>
      <c r="E80">
        <f t="shared" si="7"/>
        <v>642.86254899999994</v>
      </c>
      <c r="F80">
        <f t="shared" si="10"/>
        <v>68.130868999999961</v>
      </c>
      <c r="G80">
        <v>780</v>
      </c>
      <c r="H80">
        <f t="shared" si="11"/>
        <v>4.2214303997313856</v>
      </c>
      <c r="I80">
        <f t="shared" si="9"/>
        <v>7.6595781476557079</v>
      </c>
    </row>
    <row r="81" spans="1:9" x14ac:dyDescent="0.25">
      <c r="A81">
        <v>1000</v>
      </c>
      <c r="B81">
        <v>2120.3908689999998</v>
      </c>
      <c r="C81">
        <v>-15.908949</v>
      </c>
      <c r="D81" t="s">
        <v>348</v>
      </c>
      <c r="E81">
        <f t="shared" si="7"/>
        <v>642.39086899999984</v>
      </c>
      <c r="F81">
        <f t="shared" si="10"/>
        <v>67.659188999999856</v>
      </c>
      <c r="G81">
        <v>790</v>
      </c>
      <c r="H81">
        <f t="shared" si="11"/>
        <v>4.2144831768781215</v>
      </c>
      <c r="I81">
        <f t="shared" si="9"/>
        <v>7.6593557228414095</v>
      </c>
    </row>
    <row r="82" spans="1:9" x14ac:dyDescent="0.25">
      <c r="A82">
        <v>1000</v>
      </c>
      <c r="B82">
        <v>2119.7145999999998</v>
      </c>
      <c r="C82">
        <v>-15.92276</v>
      </c>
      <c r="D82" t="s">
        <v>349</v>
      </c>
      <c r="E82">
        <f t="shared" si="7"/>
        <v>641.71459999999979</v>
      </c>
      <c r="F82">
        <f t="shared" si="10"/>
        <v>66.982919999999808</v>
      </c>
      <c r="G82">
        <v>800</v>
      </c>
      <c r="H82">
        <f t="shared" si="11"/>
        <v>4.204437661518833</v>
      </c>
      <c r="I82">
        <f t="shared" si="9"/>
        <v>7.6590367359621077</v>
      </c>
    </row>
    <row r="83" spans="1:9" x14ac:dyDescent="0.25">
      <c r="A83">
        <v>1000</v>
      </c>
      <c r="B83">
        <v>2120.0302729999999</v>
      </c>
      <c r="C83">
        <v>-15.935983999999999</v>
      </c>
      <c r="D83" t="s">
        <v>350</v>
      </c>
      <c r="E83">
        <f t="shared" si="7"/>
        <v>642.03027299999985</v>
      </c>
      <c r="F83">
        <f t="shared" si="10"/>
        <v>67.298592999999869</v>
      </c>
      <c r="G83">
        <v>810</v>
      </c>
      <c r="H83">
        <f t="shared" si="11"/>
        <v>4.209139330042837</v>
      </c>
      <c r="I83">
        <f t="shared" si="9"/>
        <v>7.6591856472810846</v>
      </c>
    </row>
    <row r="84" spans="1:9" x14ac:dyDescent="0.25">
      <c r="A84">
        <v>1000</v>
      </c>
      <c r="B84">
        <v>2115.6027829999998</v>
      </c>
      <c r="C84">
        <v>-15.803205</v>
      </c>
      <c r="D84" t="s">
        <v>351</v>
      </c>
      <c r="E84">
        <f t="shared" si="7"/>
        <v>637.60278299999982</v>
      </c>
      <c r="F84">
        <f t="shared" si="10"/>
        <v>62.871102999999835</v>
      </c>
      <c r="G84">
        <v>820</v>
      </c>
      <c r="H84">
        <f t="shared" si="11"/>
        <v>4.1410866463797698</v>
      </c>
      <c r="I84">
        <f t="shared" si="9"/>
        <v>7.6570950546570211</v>
      </c>
    </row>
    <row r="85" spans="1:9" x14ac:dyDescent="0.25">
      <c r="A85">
        <v>1000</v>
      </c>
      <c r="B85">
        <v>2113.1691890000002</v>
      </c>
      <c r="C85">
        <v>-15.658321000000001</v>
      </c>
      <c r="D85" t="s">
        <v>352</v>
      </c>
      <c r="E85">
        <f t="shared" si="7"/>
        <v>635.16918900000019</v>
      </c>
      <c r="F85">
        <f t="shared" si="10"/>
        <v>60.437509000000205</v>
      </c>
      <c r="G85">
        <v>830</v>
      </c>
      <c r="H85">
        <f t="shared" si="11"/>
        <v>4.1016099221276727</v>
      </c>
      <c r="I85">
        <f t="shared" si="9"/>
        <v>7.6559440849264382</v>
      </c>
    </row>
    <row r="86" spans="1:9" x14ac:dyDescent="0.25">
      <c r="A86">
        <v>1000</v>
      </c>
      <c r="B86">
        <v>2110.555664</v>
      </c>
      <c r="C86">
        <v>-15.559558000000001</v>
      </c>
      <c r="D86" t="s">
        <v>353</v>
      </c>
      <c r="E86">
        <f t="shared" si="7"/>
        <v>632.55566399999998</v>
      </c>
      <c r="F86">
        <f t="shared" si="10"/>
        <v>57.823983999999996</v>
      </c>
      <c r="G86">
        <v>840</v>
      </c>
      <c r="H86">
        <f t="shared" si="11"/>
        <v>4.057403637708064</v>
      </c>
      <c r="I86">
        <f t="shared" si="9"/>
        <v>7.6547065396674476</v>
      </c>
    </row>
    <row r="87" spans="1:9" x14ac:dyDescent="0.25">
      <c r="A87">
        <v>1000</v>
      </c>
      <c r="B87">
        <v>2108.9897460000002</v>
      </c>
      <c r="C87">
        <v>-15.488701000000001</v>
      </c>
      <c r="D87" t="s">
        <v>354</v>
      </c>
      <c r="E87">
        <f t="shared" si="7"/>
        <v>630.9897460000002</v>
      </c>
      <c r="F87">
        <f t="shared" si="10"/>
        <v>56.258066000000213</v>
      </c>
      <c r="G87">
        <v>850</v>
      </c>
      <c r="H87">
        <f t="shared" si="11"/>
        <v>4.0299494263599289</v>
      </c>
      <c r="I87">
        <f t="shared" si="9"/>
        <v>7.6539643184470405</v>
      </c>
    </row>
    <row r="88" spans="1:9" x14ac:dyDescent="0.25">
      <c r="A88">
        <v>1000</v>
      </c>
      <c r="B88">
        <v>2106.1843260000001</v>
      </c>
      <c r="C88">
        <v>-15.377765999999999</v>
      </c>
      <c r="D88" t="s">
        <v>355</v>
      </c>
      <c r="E88">
        <f t="shared" si="7"/>
        <v>628.18432600000006</v>
      </c>
      <c r="F88">
        <f t="shared" si="10"/>
        <v>53.452646000000072</v>
      </c>
      <c r="G88">
        <v>860</v>
      </c>
      <c r="H88">
        <f t="shared" si="11"/>
        <v>3.9787961404553043</v>
      </c>
      <c r="I88">
        <f t="shared" si="9"/>
        <v>7.6526332130804242</v>
      </c>
    </row>
    <row r="89" spans="1:9" x14ac:dyDescent="0.25">
      <c r="A89">
        <v>1000</v>
      </c>
      <c r="B89">
        <v>2106.2312010000001</v>
      </c>
      <c r="C89">
        <v>-15.370115</v>
      </c>
      <c r="D89" t="s">
        <v>356</v>
      </c>
      <c r="E89">
        <f t="shared" si="7"/>
        <v>628.23120100000006</v>
      </c>
      <c r="F89">
        <f t="shared" si="10"/>
        <v>53.499521000000072</v>
      </c>
      <c r="G89">
        <v>870</v>
      </c>
      <c r="H89">
        <f t="shared" si="11"/>
        <v>3.9796727005908532</v>
      </c>
      <c r="I89">
        <f t="shared" ref="I89:I120" si="12">LN(B89)</f>
        <v>7.6526554687195949</v>
      </c>
    </row>
    <row r="90" spans="1:9" x14ac:dyDescent="0.25">
      <c r="A90">
        <v>1000</v>
      </c>
      <c r="B90">
        <v>2104.4887699999999</v>
      </c>
      <c r="C90">
        <v>-15.28124</v>
      </c>
      <c r="D90" t="s">
        <v>357</v>
      </c>
      <c r="E90">
        <f t="shared" si="7"/>
        <v>626.48876999999993</v>
      </c>
      <c r="F90">
        <f t="shared" si="10"/>
        <v>51.757089999999948</v>
      </c>
      <c r="G90">
        <v>880</v>
      </c>
      <c r="H90">
        <f t="shared" si="11"/>
        <v>3.9465614275920906</v>
      </c>
      <c r="I90">
        <f t="shared" si="12"/>
        <v>7.6518278520120209</v>
      </c>
    </row>
    <row r="91" spans="1:9" x14ac:dyDescent="0.25">
      <c r="A91">
        <v>1000</v>
      </c>
      <c r="B91">
        <v>2103.4228520000001</v>
      </c>
      <c r="C91">
        <v>-15.249891</v>
      </c>
      <c r="D91" t="s">
        <v>358</v>
      </c>
      <c r="E91">
        <f t="shared" si="7"/>
        <v>625.42285200000015</v>
      </c>
      <c r="F91">
        <f t="shared" si="10"/>
        <v>50.691172000000165</v>
      </c>
      <c r="G91">
        <v>890</v>
      </c>
      <c r="H91">
        <f t="shared" si="11"/>
        <v>3.9257517731481268</v>
      </c>
      <c r="I91">
        <f t="shared" si="12"/>
        <v>7.6513212263418309</v>
      </c>
    </row>
    <row r="92" spans="1:9" x14ac:dyDescent="0.25">
      <c r="A92">
        <v>1000</v>
      </c>
      <c r="B92">
        <v>2101.376953</v>
      </c>
      <c r="C92">
        <v>-15.177258</v>
      </c>
      <c r="D92" t="s">
        <v>359</v>
      </c>
      <c r="E92">
        <f t="shared" si="7"/>
        <v>623.37695299999996</v>
      </c>
      <c r="F92">
        <f t="shared" si="10"/>
        <v>48.645272999999975</v>
      </c>
      <c r="G92">
        <v>900</v>
      </c>
      <c r="H92">
        <f t="shared" si="11"/>
        <v>3.8845546404992159</v>
      </c>
      <c r="I92">
        <f t="shared" si="12"/>
        <v>7.6503481007442611</v>
      </c>
    </row>
    <row r="93" spans="1:9" x14ac:dyDescent="0.25">
      <c r="A93">
        <v>1000</v>
      </c>
      <c r="B93">
        <v>2101.773193</v>
      </c>
      <c r="C93">
        <v>-15.193308999999999</v>
      </c>
      <c r="D93" t="s">
        <v>360</v>
      </c>
      <c r="E93">
        <f t="shared" si="7"/>
        <v>623.77319299999999</v>
      </c>
      <c r="F93">
        <f t="shared" si="10"/>
        <v>49.041513000000009</v>
      </c>
      <c r="G93">
        <v>910</v>
      </c>
      <c r="H93">
        <f t="shared" si="11"/>
        <v>3.8926671435174476</v>
      </c>
      <c r="I93">
        <f t="shared" si="12"/>
        <v>7.6505366450443262</v>
      </c>
    </row>
    <row r="94" spans="1:9" x14ac:dyDescent="0.25">
      <c r="A94">
        <v>1000</v>
      </c>
      <c r="B94">
        <v>2101.1813959999999</v>
      </c>
      <c r="C94">
        <v>-15.168952000000001</v>
      </c>
      <c r="D94" t="s">
        <v>361</v>
      </c>
      <c r="E94">
        <f t="shared" si="7"/>
        <v>623.18139599999995</v>
      </c>
      <c r="F94">
        <f t="shared" si="10"/>
        <v>48.449715999999967</v>
      </c>
      <c r="G94">
        <v>920</v>
      </c>
      <c r="H94">
        <f t="shared" si="11"/>
        <v>3.8805264766064882</v>
      </c>
      <c r="I94">
        <f t="shared" si="12"/>
        <v>7.6502550350524121</v>
      </c>
    </row>
    <row r="95" spans="1:9" x14ac:dyDescent="0.25">
      <c r="A95">
        <v>1000</v>
      </c>
      <c r="B95">
        <v>2100.0083009999998</v>
      </c>
      <c r="C95">
        <v>-15.129419</v>
      </c>
      <c r="D95" t="s">
        <v>362</v>
      </c>
      <c r="E95">
        <f t="shared" si="7"/>
        <v>622.00830099999985</v>
      </c>
      <c r="F95">
        <f t="shared" si="10"/>
        <v>47.276620999999864</v>
      </c>
      <c r="G95">
        <v>930</v>
      </c>
      <c r="H95">
        <f t="shared" si="11"/>
        <v>3.8560159026927914</v>
      </c>
      <c r="I95">
        <f t="shared" si="12"/>
        <v>7.6496965765608449</v>
      </c>
    </row>
    <row r="96" spans="1:9" x14ac:dyDescent="0.25">
      <c r="A96">
        <v>1000</v>
      </c>
      <c r="B96">
        <v>2098.773193</v>
      </c>
      <c r="C96">
        <v>-15.063972</v>
      </c>
      <c r="D96" t="s">
        <v>363</v>
      </c>
      <c r="E96">
        <f t="shared" si="7"/>
        <v>620.77319299999999</v>
      </c>
      <c r="F96">
        <f t="shared" si="10"/>
        <v>46.041513000000009</v>
      </c>
      <c r="G96">
        <v>940</v>
      </c>
      <c r="H96">
        <f t="shared" si="11"/>
        <v>3.829543446041777</v>
      </c>
      <c r="I96">
        <f t="shared" si="12"/>
        <v>7.6491082591942998</v>
      </c>
    </row>
    <row r="97" spans="1:9" x14ac:dyDescent="0.25">
      <c r="A97">
        <v>1000</v>
      </c>
      <c r="B97">
        <v>2097.3376459999999</v>
      </c>
      <c r="C97">
        <v>-15.040149</v>
      </c>
      <c r="D97" t="s">
        <v>364</v>
      </c>
      <c r="E97">
        <f t="shared" si="7"/>
        <v>619.33764599999995</v>
      </c>
      <c r="F97">
        <f t="shared" si="10"/>
        <v>44.605965999999967</v>
      </c>
      <c r="G97">
        <v>950</v>
      </c>
      <c r="H97">
        <f t="shared" si="11"/>
        <v>3.7978676168961782</v>
      </c>
      <c r="I97">
        <f t="shared" si="12"/>
        <v>7.6484240317698644</v>
      </c>
    </row>
    <row r="98" spans="1:9" x14ac:dyDescent="0.25">
      <c r="A98">
        <v>1000</v>
      </c>
      <c r="B98">
        <v>2097.218018</v>
      </c>
      <c r="C98">
        <v>-14.986039999999999</v>
      </c>
      <c r="D98" t="s">
        <v>365</v>
      </c>
      <c r="E98">
        <f t="shared" si="7"/>
        <v>619.21801800000003</v>
      </c>
      <c r="F98">
        <f t="shared" si="10"/>
        <v>44.486338000000046</v>
      </c>
      <c r="G98">
        <v>960</v>
      </c>
      <c r="H98">
        <f t="shared" si="11"/>
        <v>3.7951821307986431</v>
      </c>
      <c r="I98">
        <f t="shared" si="12"/>
        <v>7.6483669921167454</v>
      </c>
    </row>
    <row r="99" spans="1:9" x14ac:dyDescent="0.25">
      <c r="A99">
        <v>1000</v>
      </c>
      <c r="B99">
        <v>2094.8479000000002</v>
      </c>
      <c r="C99">
        <v>-14.885118</v>
      </c>
      <c r="D99" t="s">
        <v>366</v>
      </c>
      <c r="E99">
        <f t="shared" si="7"/>
        <v>616.84790000000021</v>
      </c>
      <c r="F99">
        <f t="shared" si="10"/>
        <v>42.116220000000226</v>
      </c>
      <c r="G99">
        <v>970</v>
      </c>
      <c r="H99">
        <f t="shared" si="11"/>
        <v>3.7404329396488398</v>
      </c>
      <c r="I99">
        <f t="shared" si="12"/>
        <v>7.6472362282886461</v>
      </c>
    </row>
    <row r="100" spans="1:9" x14ac:dyDescent="0.25">
      <c r="A100">
        <v>1000</v>
      </c>
      <c r="B100">
        <v>2093.7927249999998</v>
      </c>
      <c r="C100">
        <v>-14.854081000000001</v>
      </c>
      <c r="D100" t="s">
        <v>367</v>
      </c>
      <c r="E100">
        <f t="shared" si="7"/>
        <v>615.79272499999979</v>
      </c>
      <c r="F100">
        <f t="shared" si="10"/>
        <v>41.061044999999808</v>
      </c>
      <c r="G100">
        <v>980</v>
      </c>
      <c r="H100">
        <f t="shared" si="11"/>
        <v>3.7150598618270787</v>
      </c>
      <c r="I100">
        <f t="shared" si="12"/>
        <v>7.6467324013353268</v>
      </c>
    </row>
    <row r="101" spans="1:9" x14ac:dyDescent="0.25">
      <c r="A101">
        <v>1000</v>
      </c>
      <c r="B101">
        <v>2092.7229000000002</v>
      </c>
      <c r="C101">
        <v>-14.825449000000001</v>
      </c>
      <c r="D101" t="s">
        <v>368</v>
      </c>
      <c r="E101">
        <f t="shared" si="7"/>
        <v>614.72290000000021</v>
      </c>
      <c r="F101">
        <f t="shared" si="10"/>
        <v>39.991220000000226</v>
      </c>
      <c r="G101">
        <v>990</v>
      </c>
      <c r="H101">
        <f t="shared" si="11"/>
        <v>3.6886599300202914</v>
      </c>
      <c r="I101">
        <f t="shared" si="12"/>
        <v>7.6462213199879177</v>
      </c>
    </row>
    <row r="102" spans="1:9" x14ac:dyDescent="0.25">
      <c r="A102">
        <v>1000</v>
      </c>
      <c r="B102">
        <v>2092.852539</v>
      </c>
      <c r="C102">
        <v>-14.858002000000001</v>
      </c>
      <c r="D102" t="s">
        <v>369</v>
      </c>
      <c r="E102">
        <f t="shared" si="7"/>
        <v>614.85253899999998</v>
      </c>
      <c r="F102">
        <f t="shared" si="10"/>
        <v>40.120858999999996</v>
      </c>
      <c r="G102">
        <v>1000</v>
      </c>
      <c r="H102">
        <f t="shared" si="11"/>
        <v>3.6918963736322246</v>
      </c>
      <c r="I102">
        <f t="shared" si="12"/>
        <v>7.6462832655922588</v>
      </c>
    </row>
    <row r="103" spans="1:9" x14ac:dyDescent="0.25">
      <c r="A103">
        <v>1000</v>
      </c>
      <c r="B103">
        <v>2091.3186040000001</v>
      </c>
      <c r="C103">
        <v>-14.774426999999999</v>
      </c>
      <c r="D103" t="s">
        <v>370</v>
      </c>
      <c r="E103">
        <f t="shared" si="7"/>
        <v>613.31860400000005</v>
      </c>
      <c r="F103">
        <f t="shared" si="10"/>
        <v>38.586924000000067</v>
      </c>
      <c r="G103">
        <v>1010</v>
      </c>
      <c r="H103">
        <f t="shared" si="11"/>
        <v>3.6529134626031663</v>
      </c>
      <c r="I103">
        <f t="shared" si="12"/>
        <v>7.6455500570229651</v>
      </c>
    </row>
    <row r="104" spans="1:9" x14ac:dyDescent="0.25">
      <c r="A104">
        <v>1000</v>
      </c>
      <c r="B104">
        <v>2090.4526369999999</v>
      </c>
      <c r="C104">
        <v>-14.72331</v>
      </c>
      <c r="D104" t="s">
        <v>371</v>
      </c>
      <c r="E104">
        <f t="shared" si="7"/>
        <v>612.45263699999987</v>
      </c>
      <c r="F104">
        <f t="shared" si="10"/>
        <v>37.720956999999885</v>
      </c>
      <c r="G104">
        <v>1020</v>
      </c>
      <c r="H104">
        <f t="shared" si="11"/>
        <v>3.6302158285992969</v>
      </c>
      <c r="I104">
        <f t="shared" si="12"/>
        <v>7.6451358942376419</v>
      </c>
    </row>
    <row r="105" spans="1:9" x14ac:dyDescent="0.25">
      <c r="A105">
        <v>1000</v>
      </c>
      <c r="B105">
        <v>2090.7395019999999</v>
      </c>
      <c r="C105">
        <v>-14.751054</v>
      </c>
      <c r="D105" t="s">
        <v>372</v>
      </c>
      <c r="E105">
        <f t="shared" si="7"/>
        <v>612.7395019999999</v>
      </c>
      <c r="F105">
        <f t="shared" si="10"/>
        <v>38.007821999999919</v>
      </c>
      <c r="G105">
        <v>1030</v>
      </c>
      <c r="H105">
        <f t="shared" si="11"/>
        <v>3.6377919806490673</v>
      </c>
      <c r="I105">
        <f t="shared" si="12"/>
        <v>7.645273111084375</v>
      </c>
    </row>
    <row r="106" spans="1:9" x14ac:dyDescent="0.25">
      <c r="A106">
        <v>1000</v>
      </c>
      <c r="B106">
        <v>2088.3862300000001</v>
      </c>
      <c r="C106">
        <v>-14.627155</v>
      </c>
      <c r="D106" t="s">
        <v>373</v>
      </c>
      <c r="E106">
        <f t="shared" si="7"/>
        <v>610.38623000000007</v>
      </c>
      <c r="F106">
        <f t="shared" si="10"/>
        <v>35.654550000000086</v>
      </c>
      <c r="G106">
        <v>1040</v>
      </c>
      <c r="H106">
        <f t="shared" si="11"/>
        <v>3.5738767684498463</v>
      </c>
      <c r="I106">
        <f t="shared" si="12"/>
        <v>7.6441469079502085</v>
      </c>
    </row>
    <row r="107" spans="1:9" x14ac:dyDescent="0.25">
      <c r="A107">
        <v>1000</v>
      </c>
      <c r="B107">
        <v>2087.3928219999998</v>
      </c>
      <c r="C107">
        <v>-14.560779</v>
      </c>
      <c r="D107" t="s">
        <v>374</v>
      </c>
      <c r="E107">
        <f t="shared" si="7"/>
        <v>609.3928219999998</v>
      </c>
      <c r="F107">
        <f t="shared" si="10"/>
        <v>34.661141999999813</v>
      </c>
      <c r="G107">
        <v>1050</v>
      </c>
      <c r="H107">
        <f t="shared" si="11"/>
        <v>3.54561923238863</v>
      </c>
      <c r="I107">
        <f t="shared" si="12"/>
        <v>7.6436711126524353</v>
      </c>
    </row>
    <row r="108" spans="1:9" x14ac:dyDescent="0.25">
      <c r="A108">
        <v>1000</v>
      </c>
      <c r="B108">
        <v>2086.3571780000002</v>
      </c>
      <c r="C108">
        <v>-14.526875</v>
      </c>
      <c r="D108" t="s">
        <v>375</v>
      </c>
      <c r="E108">
        <f t="shared" si="7"/>
        <v>608.3571780000002</v>
      </c>
      <c r="F108">
        <f t="shared" si="10"/>
        <v>33.625498000000221</v>
      </c>
      <c r="G108">
        <v>1060</v>
      </c>
      <c r="H108">
        <f t="shared" si="11"/>
        <v>3.5152846482212587</v>
      </c>
      <c r="I108">
        <f t="shared" si="12"/>
        <v>7.6431748471735474</v>
      </c>
    </row>
    <row r="109" spans="1:9" x14ac:dyDescent="0.25">
      <c r="A109">
        <v>1000</v>
      </c>
      <c r="B109">
        <v>2085.2304690000001</v>
      </c>
      <c r="C109">
        <v>-14.491179000000001</v>
      </c>
      <c r="D109" t="s">
        <v>376</v>
      </c>
      <c r="E109">
        <f t="shared" si="7"/>
        <v>607.23046900000008</v>
      </c>
      <c r="F109">
        <f t="shared" si="10"/>
        <v>32.498789000000102</v>
      </c>
      <c r="G109">
        <v>1070</v>
      </c>
      <c r="H109">
        <f t="shared" si="11"/>
        <v>3.4812028271030049</v>
      </c>
      <c r="I109">
        <f t="shared" si="12"/>
        <v>7.6426346648148193</v>
      </c>
    </row>
    <row r="110" spans="1:9" x14ac:dyDescent="0.25">
      <c r="A110">
        <v>1000</v>
      </c>
      <c r="B110">
        <v>2085.110107</v>
      </c>
      <c r="C110">
        <v>-14.485073999999999</v>
      </c>
      <c r="D110" t="s">
        <v>377</v>
      </c>
      <c r="E110">
        <f t="shared" si="7"/>
        <v>607.11010699999997</v>
      </c>
      <c r="F110">
        <f t="shared" si="10"/>
        <v>32.378426999999988</v>
      </c>
      <c r="G110">
        <v>1080</v>
      </c>
      <c r="H110">
        <f t="shared" si="11"/>
        <v>3.4774923676994915</v>
      </c>
      <c r="I110">
        <f t="shared" si="12"/>
        <v>7.6425769419512593</v>
      </c>
    </row>
    <row r="111" spans="1:9" x14ac:dyDescent="0.25">
      <c r="A111">
        <v>1000</v>
      </c>
      <c r="B111">
        <v>2084.8183589999999</v>
      </c>
      <c r="C111">
        <v>-14.473502999999999</v>
      </c>
      <c r="D111" t="s">
        <v>378</v>
      </c>
      <c r="E111">
        <f t="shared" si="7"/>
        <v>606.81835899999987</v>
      </c>
      <c r="F111">
        <f t="shared" si="10"/>
        <v>32.08667899999989</v>
      </c>
      <c r="G111">
        <v>1090</v>
      </c>
      <c r="H111">
        <f t="shared" si="11"/>
        <v>3.4684409595824257</v>
      </c>
      <c r="I111">
        <f t="shared" si="12"/>
        <v>7.642437012452298</v>
      </c>
    </row>
    <row r="112" spans="1:9" x14ac:dyDescent="0.25">
      <c r="A112">
        <v>1000</v>
      </c>
      <c r="B112">
        <v>2082.9560550000001</v>
      </c>
      <c r="C112">
        <v>-14.402004</v>
      </c>
      <c r="D112" t="s">
        <v>379</v>
      </c>
      <c r="E112">
        <f t="shared" si="7"/>
        <v>604.95605500000011</v>
      </c>
      <c r="F112">
        <f t="shared" si="10"/>
        <v>30.224375000000123</v>
      </c>
      <c r="G112">
        <v>1100</v>
      </c>
      <c r="H112">
        <f t="shared" si="11"/>
        <v>3.408648718040578</v>
      </c>
      <c r="I112">
        <f t="shared" si="12"/>
        <v>7.6415433440629119</v>
      </c>
    </row>
    <row r="113" spans="1:9" x14ac:dyDescent="0.25">
      <c r="A113">
        <v>1000</v>
      </c>
      <c r="B113">
        <v>2083.7985840000001</v>
      </c>
      <c r="C113">
        <v>-14.414927</v>
      </c>
      <c r="D113" t="s">
        <v>380</v>
      </c>
      <c r="E113">
        <f t="shared" si="7"/>
        <v>605.79858400000012</v>
      </c>
      <c r="F113">
        <f t="shared" si="10"/>
        <v>31.066904000000136</v>
      </c>
      <c r="G113">
        <v>1110</v>
      </c>
      <c r="H113">
        <f t="shared" si="11"/>
        <v>3.4361430724792381</v>
      </c>
      <c r="I113">
        <f t="shared" si="12"/>
        <v>7.6419477494500665</v>
      </c>
    </row>
    <row r="114" spans="1:9" x14ac:dyDescent="0.25">
      <c r="A114">
        <v>1000</v>
      </c>
      <c r="B114">
        <v>2083.0273440000001</v>
      </c>
      <c r="C114">
        <v>-14.387115</v>
      </c>
      <c r="D114" t="s">
        <v>381</v>
      </c>
      <c r="E114">
        <f t="shared" si="7"/>
        <v>605.02734400000008</v>
      </c>
      <c r="F114">
        <f t="shared" si="10"/>
        <v>30.295664000000102</v>
      </c>
      <c r="G114">
        <v>1120</v>
      </c>
      <c r="H114">
        <f t="shared" si="11"/>
        <v>3.4110045999649832</v>
      </c>
      <c r="I114">
        <f t="shared" si="12"/>
        <v>7.6415775683951663</v>
      </c>
    </row>
    <row r="115" spans="1:9" x14ac:dyDescent="0.25">
      <c r="A115">
        <v>1000</v>
      </c>
      <c r="B115">
        <v>2083.220703</v>
      </c>
      <c r="C115">
        <v>-14.389014</v>
      </c>
      <c r="D115" t="s">
        <v>382</v>
      </c>
      <c r="E115">
        <f t="shared" si="7"/>
        <v>605.22070299999996</v>
      </c>
      <c r="F115">
        <f t="shared" si="10"/>
        <v>30.489022999999975</v>
      </c>
      <c r="G115">
        <v>1130</v>
      </c>
      <c r="H115">
        <f t="shared" si="11"/>
        <v>3.4173667171938824</v>
      </c>
      <c r="I115">
        <f t="shared" si="12"/>
        <v>7.6416703900409049</v>
      </c>
    </row>
    <row r="116" spans="1:9" x14ac:dyDescent="0.25">
      <c r="A116">
        <v>1000</v>
      </c>
      <c r="B116">
        <v>2082.6345209999999</v>
      </c>
      <c r="C116">
        <v>-14.399464</v>
      </c>
      <c r="D116" t="s">
        <v>383</v>
      </c>
      <c r="E116">
        <f t="shared" si="7"/>
        <v>604.63452099999995</v>
      </c>
      <c r="F116">
        <f t="shared" si="10"/>
        <v>29.902840999999967</v>
      </c>
      <c r="G116">
        <v>1140</v>
      </c>
      <c r="H116">
        <f t="shared" si="11"/>
        <v>3.3979534926052448</v>
      </c>
      <c r="I116">
        <f t="shared" si="12"/>
        <v>7.6413889678731381</v>
      </c>
    </row>
    <row r="117" spans="1:9" x14ac:dyDescent="0.25">
      <c r="A117">
        <v>1000</v>
      </c>
      <c r="B117">
        <v>2081.8798830000001</v>
      </c>
      <c r="C117">
        <v>-14.333565999999999</v>
      </c>
      <c r="D117" t="s">
        <v>384</v>
      </c>
      <c r="E117">
        <f t="shared" si="7"/>
        <v>603.87988300000006</v>
      </c>
      <c r="F117">
        <f t="shared" si="10"/>
        <v>29.14820300000008</v>
      </c>
      <c r="G117">
        <v>1150</v>
      </c>
      <c r="H117">
        <f t="shared" si="11"/>
        <v>3.3723932642410395</v>
      </c>
      <c r="I117">
        <f t="shared" si="12"/>
        <v>7.6410265544270306</v>
      </c>
    </row>
    <row r="118" spans="1:9" x14ac:dyDescent="0.25">
      <c r="A118">
        <v>1000</v>
      </c>
      <c r="B118">
        <v>2080.4567870000001</v>
      </c>
      <c r="C118">
        <v>-14.304061000000001</v>
      </c>
      <c r="D118" t="s">
        <v>385</v>
      </c>
      <c r="E118">
        <f t="shared" si="7"/>
        <v>602.45678700000008</v>
      </c>
      <c r="F118">
        <f t="shared" si="10"/>
        <v>27.725107000000094</v>
      </c>
      <c r="G118">
        <v>1160</v>
      </c>
      <c r="H118">
        <f t="shared" si="11"/>
        <v>3.3223383925617189</v>
      </c>
      <c r="I118">
        <f t="shared" si="12"/>
        <v>7.6403427577194227</v>
      </c>
    </row>
    <row r="119" spans="1:9" x14ac:dyDescent="0.25">
      <c r="A119">
        <v>1000</v>
      </c>
      <c r="B119">
        <v>2080.2883299999999</v>
      </c>
      <c r="C119">
        <v>-14.255798</v>
      </c>
      <c r="D119" t="s">
        <v>386</v>
      </c>
      <c r="E119">
        <f t="shared" si="7"/>
        <v>602.28832999999986</v>
      </c>
      <c r="F119">
        <f t="shared" si="10"/>
        <v>27.556649999999877</v>
      </c>
      <c r="G119">
        <v>1170</v>
      </c>
      <c r="H119">
        <f t="shared" si="11"/>
        <v>3.3162438857819652</v>
      </c>
      <c r="I119">
        <f t="shared" si="12"/>
        <v>7.6402617832807804</v>
      </c>
    </row>
    <row r="120" spans="1:9" x14ac:dyDescent="0.25">
      <c r="A120">
        <v>1000</v>
      </c>
      <c r="B120">
        <v>2079.3000489999999</v>
      </c>
      <c r="C120">
        <v>-14.278966</v>
      </c>
      <c r="D120" t="s">
        <v>387</v>
      </c>
      <c r="E120">
        <f t="shared" si="7"/>
        <v>601.30004899999994</v>
      </c>
      <c r="F120">
        <f t="shared" si="10"/>
        <v>26.568368999999961</v>
      </c>
      <c r="G120">
        <v>1180</v>
      </c>
      <c r="H120">
        <f t="shared" si="11"/>
        <v>3.279721372866883</v>
      </c>
      <c r="I120">
        <f t="shared" si="12"/>
        <v>7.6397866011576712</v>
      </c>
    </row>
    <row r="121" spans="1:9" x14ac:dyDescent="0.25">
      <c r="A121">
        <v>1000</v>
      </c>
      <c r="B121">
        <v>2078.5495609999998</v>
      </c>
      <c r="C121">
        <v>-14.217195</v>
      </c>
      <c r="D121" t="s">
        <v>388</v>
      </c>
      <c r="E121">
        <f t="shared" ref="E121:E184" si="13">B121-$P$3</f>
        <v>600.54956099999981</v>
      </c>
      <c r="F121">
        <f t="shared" si="10"/>
        <v>25.817880999999829</v>
      </c>
      <c r="G121">
        <v>1190</v>
      </c>
      <c r="H121">
        <f t="shared" si="11"/>
        <v>3.2510673138864998</v>
      </c>
      <c r="I121">
        <f t="shared" ref="I121:I152" si="14">LN(B121)</f>
        <v>7.6394256030078846</v>
      </c>
    </row>
    <row r="122" spans="1:9" x14ac:dyDescent="0.25">
      <c r="A122">
        <v>1000</v>
      </c>
      <c r="B122">
        <v>2078.3171390000002</v>
      </c>
      <c r="C122">
        <v>-14.163126</v>
      </c>
      <c r="D122" t="s">
        <v>389</v>
      </c>
      <c r="E122">
        <f t="shared" si="13"/>
        <v>600.31713900000022</v>
      </c>
      <c r="F122">
        <f t="shared" si="10"/>
        <v>25.585459000000242</v>
      </c>
      <c r="G122">
        <v>1200</v>
      </c>
      <c r="H122">
        <f t="shared" si="11"/>
        <v>3.2420241822954767</v>
      </c>
      <c r="I122">
        <f t="shared" si="14"/>
        <v>7.639313777434916</v>
      </c>
    </row>
    <row r="123" spans="1:9" x14ac:dyDescent="0.25">
      <c r="A123">
        <v>1000</v>
      </c>
      <c r="B123">
        <v>2079.538818</v>
      </c>
      <c r="C123">
        <v>-14.200024000000001</v>
      </c>
      <c r="D123" t="s">
        <v>390</v>
      </c>
      <c r="E123">
        <f t="shared" si="13"/>
        <v>601.53881799999999</v>
      </c>
      <c r="F123">
        <f t="shared" si="10"/>
        <v>26.807138000000009</v>
      </c>
      <c r="G123">
        <v>1210</v>
      </c>
      <c r="H123">
        <f t="shared" si="11"/>
        <v>3.2886681953373178</v>
      </c>
      <c r="I123">
        <f t="shared" si="14"/>
        <v>7.6399014259959968</v>
      </c>
    </row>
    <row r="124" spans="1:9" x14ac:dyDescent="0.25">
      <c r="A124">
        <v>1000</v>
      </c>
      <c r="B124">
        <v>2075.9077149999998</v>
      </c>
      <c r="C124">
        <v>-14.117008</v>
      </c>
      <c r="D124" t="s">
        <v>391</v>
      </c>
      <c r="E124">
        <f t="shared" si="13"/>
        <v>597.90771499999983</v>
      </c>
      <c r="F124">
        <f t="shared" si="10"/>
        <v>23.176034999999843</v>
      </c>
      <c r="G124">
        <v>1220</v>
      </c>
      <c r="H124">
        <f t="shared" si="11"/>
        <v>3.1431187706488499</v>
      </c>
      <c r="I124">
        <f t="shared" si="14"/>
        <v>7.638153790022173</v>
      </c>
    </row>
    <row r="125" spans="1:9" x14ac:dyDescent="0.25">
      <c r="A125">
        <v>1000</v>
      </c>
      <c r="B125">
        <v>2078.6091310000002</v>
      </c>
      <c r="C125">
        <v>-14.182141</v>
      </c>
      <c r="D125" t="s">
        <v>392</v>
      </c>
      <c r="E125">
        <f t="shared" si="13"/>
        <v>600.60913100000016</v>
      </c>
      <c r="F125">
        <f t="shared" si="10"/>
        <v>25.877451000000178</v>
      </c>
      <c r="G125">
        <v>1230</v>
      </c>
      <c r="H125">
        <f t="shared" si="11"/>
        <v>3.2533719717371259</v>
      </c>
      <c r="I125">
        <f t="shared" si="14"/>
        <v>7.6394542620052519</v>
      </c>
    </row>
    <row r="126" spans="1:9" x14ac:dyDescent="0.25">
      <c r="A126">
        <v>1000</v>
      </c>
      <c r="B126">
        <v>2077.8283689999998</v>
      </c>
      <c r="C126">
        <v>-14.182838</v>
      </c>
      <c r="D126" t="s">
        <v>393</v>
      </c>
      <c r="E126">
        <f t="shared" si="13"/>
        <v>599.82836899999984</v>
      </c>
      <c r="F126">
        <f t="shared" si="10"/>
        <v>25.096688999999856</v>
      </c>
      <c r="G126">
        <v>1240</v>
      </c>
      <c r="H126">
        <f t="shared" si="11"/>
        <v>3.2227359250859355</v>
      </c>
      <c r="I126">
        <f t="shared" si="14"/>
        <v>7.6390785739266107</v>
      </c>
    </row>
    <row r="127" spans="1:9" x14ac:dyDescent="0.25">
      <c r="A127">
        <v>1000</v>
      </c>
      <c r="B127">
        <v>2076.3632809999999</v>
      </c>
      <c r="C127">
        <v>-14.1297</v>
      </c>
      <c r="D127" t="s">
        <v>394</v>
      </c>
      <c r="E127">
        <f t="shared" si="13"/>
        <v>598.36328099999992</v>
      </c>
      <c r="F127">
        <f t="shared" si="10"/>
        <v>23.631600999999932</v>
      </c>
      <c r="G127">
        <v>1250</v>
      </c>
      <c r="H127">
        <f t="shared" si="11"/>
        <v>3.1625848417602307</v>
      </c>
      <c r="I127">
        <f t="shared" si="14"/>
        <v>7.6383732198244507</v>
      </c>
    </row>
    <row r="128" spans="1:9" x14ac:dyDescent="0.25">
      <c r="A128">
        <v>1000</v>
      </c>
      <c r="B128">
        <v>2075.5107419999999</v>
      </c>
      <c r="C128">
        <v>-14.014761</v>
      </c>
      <c r="D128" t="s">
        <v>395</v>
      </c>
      <c r="E128">
        <f t="shared" si="13"/>
        <v>597.51074199999994</v>
      </c>
      <c r="F128">
        <f t="shared" si="10"/>
        <v>22.779061999999954</v>
      </c>
      <c r="G128">
        <v>1260</v>
      </c>
      <c r="H128">
        <f t="shared" si="11"/>
        <v>3.1258417807006715</v>
      </c>
      <c r="I128">
        <f t="shared" si="14"/>
        <v>7.6379625431000324</v>
      </c>
    </row>
    <row r="129" spans="1:9" x14ac:dyDescent="0.25">
      <c r="A129">
        <v>1000</v>
      </c>
      <c r="B129">
        <v>2073.9233399999998</v>
      </c>
      <c r="C129">
        <v>-13.951964</v>
      </c>
      <c r="D129" t="s">
        <v>396</v>
      </c>
      <c r="E129">
        <f t="shared" si="13"/>
        <v>595.92333999999983</v>
      </c>
      <c r="F129">
        <f t="shared" si="10"/>
        <v>21.191659999999843</v>
      </c>
      <c r="G129">
        <v>1270</v>
      </c>
      <c r="H129">
        <f t="shared" si="11"/>
        <v>3.0536077080509485</v>
      </c>
      <c r="I129">
        <f t="shared" si="14"/>
        <v>7.6371974257148327</v>
      </c>
    </row>
    <row r="130" spans="1:9" x14ac:dyDescent="0.25">
      <c r="A130">
        <v>1000</v>
      </c>
      <c r="B130">
        <v>2074.266846</v>
      </c>
      <c r="C130">
        <v>-13.987672</v>
      </c>
      <c r="D130" t="s">
        <v>397</v>
      </c>
      <c r="E130">
        <f t="shared" si="13"/>
        <v>596.26684599999999</v>
      </c>
      <c r="F130">
        <f t="shared" si="10"/>
        <v>21.535166000000004</v>
      </c>
      <c r="G130">
        <v>1280</v>
      </c>
      <c r="H130">
        <f t="shared" si="11"/>
        <v>3.0696872268580688</v>
      </c>
      <c r="I130">
        <f t="shared" si="14"/>
        <v>7.6373630430011108</v>
      </c>
    </row>
    <row r="131" spans="1:9" x14ac:dyDescent="0.25">
      <c r="A131">
        <v>1000</v>
      </c>
      <c r="B131">
        <v>2073.693115</v>
      </c>
      <c r="C131">
        <v>-13.975037</v>
      </c>
      <c r="D131" t="s">
        <v>398</v>
      </c>
      <c r="E131">
        <f t="shared" si="13"/>
        <v>595.69311500000003</v>
      </c>
      <c r="F131">
        <f t="shared" ref="F131:F187" si="15">E131-$R$3</f>
        <v>20.961435000000051</v>
      </c>
      <c r="G131">
        <v>1290</v>
      </c>
      <c r="H131">
        <f t="shared" ref="H131:H187" si="16">LN(F131)</f>
        <v>3.0426843208497671</v>
      </c>
      <c r="I131">
        <f t="shared" si="14"/>
        <v>7.6370864101458986</v>
      </c>
    </row>
    <row r="132" spans="1:9" x14ac:dyDescent="0.25">
      <c r="A132">
        <v>1000</v>
      </c>
      <c r="B132">
        <v>2073.7065429999998</v>
      </c>
      <c r="C132">
        <v>-13.949191000000001</v>
      </c>
      <c r="D132" t="s">
        <v>399</v>
      </c>
      <c r="E132">
        <f t="shared" si="13"/>
        <v>595.70654299999978</v>
      </c>
      <c r="F132">
        <f t="shared" si="15"/>
        <v>20.9748629999998</v>
      </c>
      <c r="G132">
        <v>1300</v>
      </c>
      <c r="H132">
        <f t="shared" si="16"/>
        <v>3.0433247207467091</v>
      </c>
      <c r="I132">
        <f t="shared" si="14"/>
        <v>7.6370928855285998</v>
      </c>
    </row>
    <row r="133" spans="1:9" x14ac:dyDescent="0.25">
      <c r="A133">
        <v>1000</v>
      </c>
      <c r="B133">
        <v>2071.9340820000002</v>
      </c>
      <c r="C133">
        <v>-13.873881000000001</v>
      </c>
      <c r="D133" t="s">
        <v>400</v>
      </c>
      <c r="E133">
        <f t="shared" si="13"/>
        <v>593.93408200000022</v>
      </c>
      <c r="F133">
        <f t="shared" si="15"/>
        <v>19.202402000000234</v>
      </c>
      <c r="G133">
        <v>1310</v>
      </c>
      <c r="H133">
        <f t="shared" si="16"/>
        <v>2.955035375375541</v>
      </c>
      <c r="I133">
        <f t="shared" si="14"/>
        <v>7.636237789166743</v>
      </c>
    </row>
    <row r="134" spans="1:9" x14ac:dyDescent="0.25">
      <c r="A134">
        <v>1000</v>
      </c>
      <c r="B134">
        <v>2071.5776369999999</v>
      </c>
      <c r="C134">
        <v>-13.87824</v>
      </c>
      <c r="D134" t="s">
        <v>401</v>
      </c>
      <c r="E134">
        <f t="shared" si="13"/>
        <v>593.57763699999987</v>
      </c>
      <c r="F134">
        <f t="shared" si="15"/>
        <v>18.845956999999885</v>
      </c>
      <c r="G134">
        <v>1320</v>
      </c>
      <c r="H134">
        <f t="shared" si="16"/>
        <v>2.9362984081306767</v>
      </c>
      <c r="I134">
        <f t="shared" si="14"/>
        <v>7.6360657394538176</v>
      </c>
    </row>
    <row r="135" spans="1:9" x14ac:dyDescent="0.25">
      <c r="A135">
        <v>1000</v>
      </c>
      <c r="B135">
        <v>2072.375</v>
      </c>
      <c r="C135">
        <v>-13.909521</v>
      </c>
      <c r="D135" t="s">
        <v>402</v>
      </c>
      <c r="E135">
        <f t="shared" si="13"/>
        <v>594.375</v>
      </c>
      <c r="F135">
        <f t="shared" si="15"/>
        <v>19.643320000000017</v>
      </c>
      <c r="G135">
        <v>1330</v>
      </c>
      <c r="H135">
        <f t="shared" si="16"/>
        <v>2.9777373314100593</v>
      </c>
      <c r="I135">
        <f t="shared" si="14"/>
        <v>7.6364505715596289</v>
      </c>
    </row>
    <row r="136" spans="1:9" x14ac:dyDescent="0.25">
      <c r="A136">
        <v>1000</v>
      </c>
      <c r="B136">
        <v>2072.4482419999999</v>
      </c>
      <c r="C136">
        <v>-13.893539000000001</v>
      </c>
      <c r="D136" t="s">
        <v>403</v>
      </c>
      <c r="E136">
        <f t="shared" si="13"/>
        <v>594.44824199999994</v>
      </c>
      <c r="F136">
        <f t="shared" si="15"/>
        <v>19.716561999999954</v>
      </c>
      <c r="G136">
        <v>1340</v>
      </c>
      <c r="H136">
        <f t="shared" si="16"/>
        <v>2.9814589932045772</v>
      </c>
      <c r="I136">
        <f t="shared" si="14"/>
        <v>7.6364859129943445</v>
      </c>
    </row>
    <row r="137" spans="1:9" x14ac:dyDescent="0.25">
      <c r="A137">
        <v>1000</v>
      </c>
      <c r="B137">
        <v>2070.0708009999998</v>
      </c>
      <c r="C137">
        <v>-13.813558</v>
      </c>
      <c r="D137" t="s">
        <v>404</v>
      </c>
      <c r="E137">
        <f t="shared" si="13"/>
        <v>592.07080099999985</v>
      </c>
      <c r="F137">
        <f t="shared" si="15"/>
        <v>17.339120999999864</v>
      </c>
      <c r="G137">
        <v>1350</v>
      </c>
      <c r="H137">
        <f t="shared" si="16"/>
        <v>2.8529652780259807</v>
      </c>
      <c r="I137">
        <f t="shared" si="14"/>
        <v>7.6353380890561349</v>
      </c>
    </row>
    <row r="138" spans="1:9" x14ac:dyDescent="0.25">
      <c r="A138">
        <v>1000</v>
      </c>
      <c r="B138">
        <v>2069.4482419999999</v>
      </c>
      <c r="C138">
        <v>-13.780403</v>
      </c>
      <c r="D138" t="s">
        <v>405</v>
      </c>
      <c r="E138">
        <f t="shared" si="13"/>
        <v>591.44824199999994</v>
      </c>
      <c r="F138">
        <f t="shared" si="15"/>
        <v>16.716561999999954</v>
      </c>
      <c r="G138">
        <v>1360</v>
      </c>
      <c r="H138">
        <f t="shared" si="16"/>
        <v>2.8163999645038795</v>
      </c>
      <c r="I138">
        <f t="shared" si="14"/>
        <v>7.6350373009702599</v>
      </c>
    </row>
    <row r="139" spans="1:9" x14ac:dyDescent="0.25">
      <c r="A139">
        <v>1000</v>
      </c>
      <c r="B139">
        <v>2069.2041020000001</v>
      </c>
      <c r="C139">
        <v>-13.760774</v>
      </c>
      <c r="D139" t="s">
        <v>406</v>
      </c>
      <c r="E139">
        <f t="shared" si="13"/>
        <v>591.20410200000015</v>
      </c>
      <c r="F139">
        <f t="shared" si="15"/>
        <v>16.472422000000165</v>
      </c>
      <c r="G139">
        <v>1370</v>
      </c>
      <c r="H139">
        <f t="shared" si="16"/>
        <v>2.8016875886299686</v>
      </c>
      <c r="I139">
        <f t="shared" si="14"/>
        <v>7.6349193205360555</v>
      </c>
    </row>
    <row r="140" spans="1:9" x14ac:dyDescent="0.25">
      <c r="A140">
        <v>1000</v>
      </c>
      <c r="B140">
        <v>2070.6220699999999</v>
      </c>
      <c r="C140">
        <v>-13.770759999999999</v>
      </c>
      <c r="D140" t="s">
        <v>407</v>
      </c>
      <c r="E140">
        <f t="shared" si="13"/>
        <v>592.62206999999989</v>
      </c>
      <c r="F140">
        <f t="shared" si="15"/>
        <v>17.890389999999911</v>
      </c>
      <c r="G140">
        <v>1380</v>
      </c>
      <c r="H140">
        <f t="shared" si="16"/>
        <v>2.8842636971712143</v>
      </c>
      <c r="I140">
        <f t="shared" si="14"/>
        <v>7.6356043580214656</v>
      </c>
    </row>
    <row r="141" spans="1:9" x14ac:dyDescent="0.25">
      <c r="A141">
        <v>1000</v>
      </c>
      <c r="B141">
        <v>2066.4436040000001</v>
      </c>
      <c r="C141">
        <v>-13.594868999999999</v>
      </c>
      <c r="D141" t="s">
        <v>408</v>
      </c>
      <c r="E141">
        <f t="shared" si="13"/>
        <v>588.44360400000005</v>
      </c>
      <c r="F141">
        <f t="shared" si="15"/>
        <v>13.711924000000067</v>
      </c>
      <c r="G141">
        <v>1390</v>
      </c>
      <c r="H141">
        <f t="shared" si="16"/>
        <v>2.6182658192496371</v>
      </c>
      <c r="I141">
        <f t="shared" si="14"/>
        <v>7.6335843429914414</v>
      </c>
    </row>
    <row r="142" spans="1:9" x14ac:dyDescent="0.25">
      <c r="A142">
        <v>1000</v>
      </c>
      <c r="B142">
        <v>2066.8303219999998</v>
      </c>
      <c r="C142">
        <v>-13.609826</v>
      </c>
      <c r="D142" t="s">
        <v>409</v>
      </c>
      <c r="E142">
        <f t="shared" si="13"/>
        <v>588.8303219999998</v>
      </c>
      <c r="F142">
        <f t="shared" si="15"/>
        <v>14.098641999999813</v>
      </c>
      <c r="G142">
        <v>1400</v>
      </c>
      <c r="H142">
        <f t="shared" si="16"/>
        <v>2.6460784806890678</v>
      </c>
      <c r="I142">
        <f t="shared" si="14"/>
        <v>7.6337714672943804</v>
      </c>
    </row>
    <row r="143" spans="1:9" x14ac:dyDescent="0.25">
      <c r="A143">
        <v>1000</v>
      </c>
      <c r="B143">
        <v>2068.5502929999998</v>
      </c>
      <c r="C143">
        <v>-13.638021</v>
      </c>
      <c r="D143" t="s">
        <v>410</v>
      </c>
      <c r="E143">
        <f t="shared" si="13"/>
        <v>590.55029299999978</v>
      </c>
      <c r="F143">
        <f t="shared" si="15"/>
        <v>15.8186129999998</v>
      </c>
      <c r="G143">
        <v>1410</v>
      </c>
      <c r="H143">
        <f t="shared" si="16"/>
        <v>2.761187284665326</v>
      </c>
      <c r="I143">
        <f t="shared" si="14"/>
        <v>7.6346032993598199</v>
      </c>
    </row>
    <row r="144" spans="1:9" x14ac:dyDescent="0.25">
      <c r="A144">
        <v>1000</v>
      </c>
      <c r="B144">
        <v>2067.6669919999999</v>
      </c>
      <c r="C144">
        <v>-13.646777999999999</v>
      </c>
      <c r="D144" t="s">
        <v>411</v>
      </c>
      <c r="E144">
        <f t="shared" si="13"/>
        <v>589.66699199999994</v>
      </c>
      <c r="F144">
        <f t="shared" si="15"/>
        <v>14.935311999999954</v>
      </c>
      <c r="G144">
        <v>1420</v>
      </c>
      <c r="H144">
        <f t="shared" si="16"/>
        <v>2.7037283419754772</v>
      </c>
      <c r="I144">
        <f t="shared" si="14"/>
        <v>7.6341761936482166</v>
      </c>
    </row>
    <row r="145" spans="1:9" x14ac:dyDescent="0.25">
      <c r="A145">
        <v>1000</v>
      </c>
      <c r="B145">
        <v>2066.281982</v>
      </c>
      <c r="C145">
        <v>-13.596303000000001</v>
      </c>
      <c r="D145" t="s">
        <v>412</v>
      </c>
      <c r="E145">
        <f t="shared" si="13"/>
        <v>588.28198199999997</v>
      </c>
      <c r="F145">
        <f t="shared" si="15"/>
        <v>13.550301999999988</v>
      </c>
      <c r="G145">
        <v>1430</v>
      </c>
      <c r="H145">
        <f t="shared" si="16"/>
        <v>2.6064088349002175</v>
      </c>
      <c r="I145">
        <f t="shared" si="14"/>
        <v>7.6335061272973581</v>
      </c>
    </row>
    <row r="146" spans="1:9" x14ac:dyDescent="0.25">
      <c r="A146">
        <v>1000</v>
      </c>
      <c r="B146">
        <v>2067.8469239999999</v>
      </c>
      <c r="C146">
        <v>-13.631396000000001</v>
      </c>
      <c r="D146" t="s">
        <v>413</v>
      </c>
      <c r="E146">
        <f t="shared" si="13"/>
        <v>589.84692399999994</v>
      </c>
      <c r="F146">
        <f t="shared" si="15"/>
        <v>15.115243999999961</v>
      </c>
      <c r="G146">
        <v>1440</v>
      </c>
      <c r="H146">
        <f t="shared" si="16"/>
        <v>2.715703771005523</v>
      </c>
      <c r="I146">
        <f t="shared" si="14"/>
        <v>7.6342632116120139</v>
      </c>
    </row>
    <row r="147" spans="1:9" x14ac:dyDescent="0.25">
      <c r="A147">
        <v>1000</v>
      </c>
      <c r="B147">
        <v>2066.2006839999999</v>
      </c>
      <c r="C147">
        <v>-13.529258</v>
      </c>
      <c r="D147" t="s">
        <v>414</v>
      </c>
      <c r="E147">
        <f t="shared" si="13"/>
        <v>588.20068399999991</v>
      </c>
      <c r="F147">
        <f t="shared" si="15"/>
        <v>13.469003999999927</v>
      </c>
      <c r="G147">
        <v>1450</v>
      </c>
      <c r="H147">
        <f t="shared" si="16"/>
        <v>2.6003910455948747</v>
      </c>
      <c r="I147">
        <f t="shared" si="14"/>
        <v>7.6334667814577832</v>
      </c>
    </row>
    <row r="148" spans="1:9" x14ac:dyDescent="0.25">
      <c r="A148">
        <v>1000</v>
      </c>
      <c r="B148">
        <v>2065.1423340000001</v>
      </c>
      <c r="C148">
        <v>-13.503876</v>
      </c>
      <c r="D148" t="s">
        <v>415</v>
      </c>
      <c r="E148">
        <f t="shared" si="13"/>
        <v>587.14233400000012</v>
      </c>
      <c r="F148">
        <f t="shared" si="15"/>
        <v>12.410654000000136</v>
      </c>
      <c r="G148">
        <v>1460</v>
      </c>
      <c r="H148">
        <f t="shared" si="16"/>
        <v>2.5185552972638989</v>
      </c>
      <c r="I148">
        <f t="shared" si="14"/>
        <v>7.6329544298962988</v>
      </c>
    </row>
    <row r="149" spans="1:9" x14ac:dyDescent="0.25">
      <c r="A149">
        <v>1000</v>
      </c>
      <c r="B149">
        <v>2064.6623540000001</v>
      </c>
      <c r="C149">
        <v>-13.503712</v>
      </c>
      <c r="D149" t="s">
        <v>416</v>
      </c>
      <c r="E149">
        <f t="shared" si="13"/>
        <v>586.66235400000005</v>
      </c>
      <c r="F149">
        <f t="shared" si="15"/>
        <v>11.930674000000067</v>
      </c>
      <c r="G149">
        <v>1470</v>
      </c>
      <c r="H149">
        <f t="shared" si="16"/>
        <v>2.4791127307419751</v>
      </c>
      <c r="I149">
        <f t="shared" si="14"/>
        <v>7.6327219830672481</v>
      </c>
    </row>
    <row r="150" spans="1:9" x14ac:dyDescent="0.25">
      <c r="A150">
        <v>1000</v>
      </c>
      <c r="B150">
        <v>2064.1491700000001</v>
      </c>
      <c r="C150">
        <v>-13.454262</v>
      </c>
      <c r="D150" t="s">
        <v>417</v>
      </c>
      <c r="E150">
        <f t="shared" si="13"/>
        <v>586.14917000000014</v>
      </c>
      <c r="F150">
        <f t="shared" si="15"/>
        <v>11.417490000000157</v>
      </c>
      <c r="G150">
        <v>1480</v>
      </c>
      <c r="H150">
        <f t="shared" si="16"/>
        <v>2.4351463902281689</v>
      </c>
      <c r="I150">
        <f t="shared" si="14"/>
        <v>7.632473396276759</v>
      </c>
    </row>
    <row r="151" spans="1:9" x14ac:dyDescent="0.25">
      <c r="A151">
        <v>1000</v>
      </c>
      <c r="B151">
        <v>2064.6281739999999</v>
      </c>
      <c r="C151">
        <v>-13.468387</v>
      </c>
      <c r="D151" t="s">
        <v>418</v>
      </c>
      <c r="E151">
        <f t="shared" si="13"/>
        <v>586.62817399999994</v>
      </c>
      <c r="F151">
        <f t="shared" si="15"/>
        <v>11.896493999999961</v>
      </c>
      <c r="G151">
        <v>1490</v>
      </c>
      <c r="H151">
        <f t="shared" si="16"/>
        <v>2.4762437348591977</v>
      </c>
      <c r="I151">
        <f t="shared" si="14"/>
        <v>7.6327054281652531</v>
      </c>
    </row>
    <row r="152" spans="1:9" x14ac:dyDescent="0.25">
      <c r="A152">
        <v>1000</v>
      </c>
      <c r="B152">
        <v>2063.748047</v>
      </c>
      <c r="C152">
        <v>-13.435957</v>
      </c>
      <c r="D152" t="s">
        <v>419</v>
      </c>
      <c r="E152">
        <f t="shared" si="13"/>
        <v>585.74804700000004</v>
      </c>
      <c r="F152">
        <f t="shared" si="15"/>
        <v>11.016367000000059</v>
      </c>
      <c r="G152">
        <v>1500</v>
      </c>
      <c r="H152">
        <f t="shared" si="16"/>
        <v>2.3993820760493438</v>
      </c>
      <c r="I152">
        <f t="shared" si="14"/>
        <v>7.6322790488983356</v>
      </c>
    </row>
    <row r="153" spans="1:9" x14ac:dyDescent="0.25">
      <c r="A153">
        <v>1000</v>
      </c>
      <c r="B153">
        <v>2064.0607909999999</v>
      </c>
      <c r="C153">
        <v>-13.413773000000001</v>
      </c>
      <c r="D153" t="s">
        <v>420</v>
      </c>
      <c r="E153">
        <f t="shared" si="13"/>
        <v>586.06079099999988</v>
      </c>
      <c r="F153">
        <f t="shared" si="15"/>
        <v>11.329110999999898</v>
      </c>
      <c r="G153">
        <v>1510</v>
      </c>
      <c r="H153">
        <f t="shared" si="16"/>
        <v>2.427375607707233</v>
      </c>
      <c r="I153">
        <f t="shared" ref="I153:I187" si="17">LN(B153)</f>
        <v>7.6324305791715981</v>
      </c>
    </row>
    <row r="154" spans="1:9" x14ac:dyDescent="0.25">
      <c r="A154">
        <v>1000</v>
      </c>
      <c r="B154">
        <v>2061.2084960000002</v>
      </c>
      <c r="C154">
        <v>-13.314844000000001</v>
      </c>
      <c r="D154" t="s">
        <v>421</v>
      </c>
      <c r="E154">
        <f t="shared" si="13"/>
        <v>583.2084960000002</v>
      </c>
      <c r="F154">
        <f t="shared" si="15"/>
        <v>8.4768160000002126</v>
      </c>
      <c r="G154">
        <v>1520</v>
      </c>
      <c r="H154">
        <f t="shared" si="16"/>
        <v>2.1373349075985759</v>
      </c>
      <c r="I154">
        <f t="shared" si="17"/>
        <v>7.6310477383163295</v>
      </c>
    </row>
    <row r="155" spans="1:9" x14ac:dyDescent="0.25">
      <c r="A155">
        <v>1000</v>
      </c>
      <c r="B155">
        <v>2062.6369629999999</v>
      </c>
      <c r="C155">
        <v>-13.342574000000001</v>
      </c>
      <c r="D155" t="s">
        <v>422</v>
      </c>
      <c r="E155">
        <f t="shared" si="13"/>
        <v>584.63696299999992</v>
      </c>
      <c r="F155">
        <f t="shared" si="15"/>
        <v>9.9052829999999403</v>
      </c>
      <c r="G155">
        <v>1530</v>
      </c>
      <c r="H155">
        <f t="shared" si="16"/>
        <v>2.2930682511709244</v>
      </c>
      <c r="I155">
        <f t="shared" si="17"/>
        <v>7.6317405223070658</v>
      </c>
    </row>
    <row r="156" spans="1:9" x14ac:dyDescent="0.25">
      <c r="A156">
        <v>1000</v>
      </c>
      <c r="B156">
        <v>2062.3876949999999</v>
      </c>
      <c r="C156">
        <v>-13.333477</v>
      </c>
      <c r="D156" t="s">
        <v>423</v>
      </c>
      <c r="E156">
        <f t="shared" si="13"/>
        <v>584.38769499999989</v>
      </c>
      <c r="F156">
        <f t="shared" si="15"/>
        <v>9.6560149999999112</v>
      </c>
      <c r="G156">
        <v>1540</v>
      </c>
      <c r="H156">
        <f t="shared" si="16"/>
        <v>2.2675810372322913</v>
      </c>
      <c r="I156">
        <f t="shared" si="17"/>
        <v>7.6316196658172402</v>
      </c>
    </row>
    <row r="157" spans="1:9" x14ac:dyDescent="0.25">
      <c r="A157">
        <v>1000</v>
      </c>
      <c r="B157">
        <v>2061.1892090000001</v>
      </c>
      <c r="C157">
        <v>-13.268795000000001</v>
      </c>
      <c r="D157" t="s">
        <v>424</v>
      </c>
      <c r="E157">
        <f t="shared" si="13"/>
        <v>583.18920900000012</v>
      </c>
      <c r="F157">
        <f t="shared" si="15"/>
        <v>8.457529000000136</v>
      </c>
      <c r="G157">
        <v>1550</v>
      </c>
      <c r="H157">
        <f t="shared" si="16"/>
        <v>2.1350570505761159</v>
      </c>
      <c r="I157">
        <f t="shared" si="17"/>
        <v>7.6310383811405398</v>
      </c>
    </row>
    <row r="158" spans="1:9" x14ac:dyDescent="0.25">
      <c r="A158">
        <v>1000</v>
      </c>
      <c r="B158">
        <v>2061.5878910000001</v>
      </c>
      <c r="C158">
        <v>-13.301033</v>
      </c>
      <c r="D158" t="s">
        <v>425</v>
      </c>
      <c r="E158">
        <f t="shared" si="13"/>
        <v>583.58789100000013</v>
      </c>
      <c r="F158">
        <f t="shared" si="15"/>
        <v>8.8562110000001439</v>
      </c>
      <c r="G158">
        <v>1560</v>
      </c>
      <c r="H158">
        <f t="shared" si="16"/>
        <v>2.1811190207774489</v>
      </c>
      <c r="I158">
        <f t="shared" si="17"/>
        <v>7.6312317857275804</v>
      </c>
    </row>
    <row r="159" spans="1:9" x14ac:dyDescent="0.25">
      <c r="A159">
        <v>1000</v>
      </c>
      <c r="B159">
        <v>2060.9655760000001</v>
      </c>
      <c r="C159">
        <v>-13.306293</v>
      </c>
      <c r="D159" t="s">
        <v>426</v>
      </c>
      <c r="E159">
        <f t="shared" si="13"/>
        <v>582.96557600000006</v>
      </c>
      <c r="F159">
        <f t="shared" si="15"/>
        <v>8.2338960000000725</v>
      </c>
      <c r="G159">
        <v>1570</v>
      </c>
      <c r="H159">
        <f t="shared" si="16"/>
        <v>2.1082592927117254</v>
      </c>
      <c r="I159">
        <f t="shared" si="17"/>
        <v>7.6309298781794022</v>
      </c>
    </row>
    <row r="160" spans="1:9" x14ac:dyDescent="0.25">
      <c r="A160">
        <v>1000</v>
      </c>
      <c r="B160">
        <v>2059.9978030000002</v>
      </c>
      <c r="C160">
        <v>-13.276786</v>
      </c>
      <c r="D160" t="s">
        <v>427</v>
      </c>
      <c r="E160">
        <f t="shared" si="13"/>
        <v>581.9978030000002</v>
      </c>
      <c r="F160">
        <f t="shared" si="15"/>
        <v>7.2661230000002206</v>
      </c>
      <c r="G160">
        <v>1580</v>
      </c>
      <c r="H160">
        <f t="shared" si="16"/>
        <v>1.9832228618143075</v>
      </c>
      <c r="I160">
        <f t="shared" si="17"/>
        <v>7.6304601952782036</v>
      </c>
    </row>
    <row r="161" spans="1:9" x14ac:dyDescent="0.25">
      <c r="A161">
        <v>1000</v>
      </c>
      <c r="B161">
        <v>2061.6203609999998</v>
      </c>
      <c r="C161">
        <v>-13.306334</v>
      </c>
      <c r="D161" t="s">
        <v>428</v>
      </c>
      <c r="E161">
        <f t="shared" si="13"/>
        <v>583.62036099999978</v>
      </c>
      <c r="F161">
        <f t="shared" si="15"/>
        <v>8.8886809999997922</v>
      </c>
      <c r="G161">
        <v>1590</v>
      </c>
      <c r="H161">
        <f t="shared" si="16"/>
        <v>2.1847786695641469</v>
      </c>
      <c r="I161">
        <f t="shared" si="17"/>
        <v>7.631247535599047</v>
      </c>
    </row>
    <row r="162" spans="1:9" x14ac:dyDescent="0.25">
      <c r="A162">
        <v>1000</v>
      </c>
      <c r="B162">
        <v>2059.7626949999999</v>
      </c>
      <c r="C162">
        <v>-13.238918999999999</v>
      </c>
      <c r="D162" t="s">
        <v>429</v>
      </c>
      <c r="E162">
        <f t="shared" si="13"/>
        <v>581.76269499999989</v>
      </c>
      <c r="F162">
        <f t="shared" si="15"/>
        <v>7.0310149999999112</v>
      </c>
      <c r="G162">
        <v>1600</v>
      </c>
      <c r="H162">
        <f t="shared" si="16"/>
        <v>1.9503310766239239</v>
      </c>
      <c r="I162">
        <f t="shared" si="17"/>
        <v>7.6303460585460465</v>
      </c>
    </row>
    <row r="163" spans="1:9" x14ac:dyDescent="0.25">
      <c r="A163">
        <v>1000</v>
      </c>
      <c r="B163">
        <v>2059.6987300000001</v>
      </c>
      <c r="C163">
        <v>-13.216312</v>
      </c>
      <c r="D163" t="s">
        <v>430</v>
      </c>
      <c r="E163">
        <f t="shared" si="13"/>
        <v>581.69873000000007</v>
      </c>
      <c r="F163">
        <f t="shared" si="15"/>
        <v>6.9670500000000857</v>
      </c>
      <c r="G163">
        <v>1610</v>
      </c>
      <c r="H163">
        <f t="shared" si="16"/>
        <v>1.9411918927123524</v>
      </c>
      <c r="I163">
        <f t="shared" si="17"/>
        <v>7.6303150035155918</v>
      </c>
    </row>
    <row r="164" spans="1:9" x14ac:dyDescent="0.25">
      <c r="A164">
        <v>1000</v>
      </c>
      <c r="B164">
        <v>2059.639893</v>
      </c>
      <c r="C164">
        <v>-13.190248</v>
      </c>
      <c r="D164" t="s">
        <v>431</v>
      </c>
      <c r="E164">
        <f t="shared" si="13"/>
        <v>581.63989300000003</v>
      </c>
      <c r="F164">
        <f t="shared" si="15"/>
        <v>6.9082130000000461</v>
      </c>
      <c r="G164">
        <v>1620</v>
      </c>
      <c r="H164">
        <f t="shared" si="16"/>
        <v>1.9327109936249522</v>
      </c>
      <c r="I164">
        <f t="shared" si="17"/>
        <v>7.6302864372794126</v>
      </c>
    </row>
    <row r="165" spans="1:9" x14ac:dyDescent="0.25">
      <c r="A165">
        <v>1000</v>
      </c>
      <c r="B165">
        <v>2060.1972660000001</v>
      </c>
      <c r="C165">
        <v>-13.222486</v>
      </c>
      <c r="D165" t="s">
        <v>432</v>
      </c>
      <c r="E165">
        <f t="shared" si="13"/>
        <v>582.19726600000013</v>
      </c>
      <c r="F165">
        <f t="shared" si="15"/>
        <v>7.4655860000001439</v>
      </c>
      <c r="G165">
        <v>1630</v>
      </c>
      <c r="H165">
        <f t="shared" si="16"/>
        <v>2.0103039275753392</v>
      </c>
      <c r="I165">
        <f t="shared" si="17"/>
        <v>7.6305570173930866</v>
      </c>
    </row>
    <row r="166" spans="1:9" x14ac:dyDescent="0.25">
      <c r="A166">
        <v>1000</v>
      </c>
      <c r="B166">
        <v>2058.955078</v>
      </c>
      <c r="C166">
        <v>-13.207159000000001</v>
      </c>
      <c r="D166" t="s">
        <v>433</v>
      </c>
      <c r="E166">
        <f t="shared" si="13"/>
        <v>580.95507799999996</v>
      </c>
      <c r="F166">
        <f t="shared" si="15"/>
        <v>6.2233979999999747</v>
      </c>
      <c r="G166">
        <v>1640</v>
      </c>
      <c r="H166">
        <f t="shared" si="16"/>
        <v>1.8283160598331383</v>
      </c>
      <c r="I166">
        <f t="shared" si="17"/>
        <v>7.6299538894027057</v>
      </c>
    </row>
    <row r="167" spans="1:9" x14ac:dyDescent="0.25">
      <c r="A167">
        <v>1000</v>
      </c>
      <c r="B167">
        <v>2060.8420409999999</v>
      </c>
      <c r="C167">
        <v>-13.271514</v>
      </c>
      <c r="D167" t="s">
        <v>434</v>
      </c>
      <c r="E167">
        <f t="shared" si="13"/>
        <v>582.84204099999988</v>
      </c>
      <c r="F167">
        <f t="shared" si="15"/>
        <v>8.110360999999898</v>
      </c>
      <c r="G167">
        <v>1650</v>
      </c>
      <c r="H167">
        <f t="shared" si="16"/>
        <v>2.093142380083616</v>
      </c>
      <c r="I167">
        <f t="shared" si="17"/>
        <v>7.6308699360319192</v>
      </c>
    </row>
    <row r="168" spans="1:9" x14ac:dyDescent="0.25">
      <c r="A168">
        <v>1000</v>
      </c>
      <c r="B168">
        <v>2061.0964359999998</v>
      </c>
      <c r="C168">
        <v>-13.309229999999999</v>
      </c>
      <c r="D168" t="s">
        <v>435</v>
      </c>
      <c r="E168">
        <f t="shared" si="13"/>
        <v>583.09643599999981</v>
      </c>
      <c r="F168">
        <f t="shared" si="15"/>
        <v>8.3647559999998293</v>
      </c>
      <c r="G168">
        <v>1660</v>
      </c>
      <c r="H168">
        <f t="shared" si="16"/>
        <v>2.1240271648561362</v>
      </c>
      <c r="I168">
        <f t="shared" si="17"/>
        <v>7.6309933706740143</v>
      </c>
    </row>
    <row r="169" spans="1:9" x14ac:dyDescent="0.25">
      <c r="A169">
        <v>1000</v>
      </c>
      <c r="B169">
        <v>2060.1945799999999</v>
      </c>
      <c r="C169">
        <v>-13.24616</v>
      </c>
      <c r="D169" t="s">
        <v>436</v>
      </c>
      <c r="E169">
        <f t="shared" si="13"/>
        <v>582.19457999999986</v>
      </c>
      <c r="F169">
        <f t="shared" si="15"/>
        <v>7.4628999999998769</v>
      </c>
      <c r="G169">
        <v>1670</v>
      </c>
      <c r="H169">
        <f t="shared" si="16"/>
        <v>2.0099440786222371</v>
      </c>
      <c r="I169">
        <f t="shared" si="17"/>
        <v>7.6305557136335898</v>
      </c>
    </row>
    <row r="170" spans="1:9" x14ac:dyDescent="0.25">
      <c r="A170">
        <v>1000</v>
      </c>
      <c r="B170">
        <v>2057.6440429999998</v>
      </c>
      <c r="C170">
        <v>-13.107521</v>
      </c>
      <c r="D170" t="s">
        <v>437</v>
      </c>
      <c r="E170">
        <f t="shared" si="13"/>
        <v>579.64404299999978</v>
      </c>
      <c r="F170">
        <f t="shared" si="15"/>
        <v>4.9123629999998002</v>
      </c>
      <c r="G170">
        <v>1680</v>
      </c>
      <c r="H170">
        <f t="shared" si="16"/>
        <v>1.5917550887657479</v>
      </c>
      <c r="I170">
        <f t="shared" si="17"/>
        <v>7.6293169388492075</v>
      </c>
    </row>
    <row r="171" spans="1:9" x14ac:dyDescent="0.25">
      <c r="A171">
        <v>1000</v>
      </c>
      <c r="B171">
        <v>2058.3642580000001</v>
      </c>
      <c r="C171">
        <v>-13.067686999999999</v>
      </c>
      <c r="D171" t="s">
        <v>438</v>
      </c>
      <c r="E171">
        <f t="shared" si="13"/>
        <v>580.36425800000006</v>
      </c>
      <c r="F171">
        <f t="shared" si="15"/>
        <v>5.6325780000000805</v>
      </c>
      <c r="G171">
        <v>1690</v>
      </c>
      <c r="H171">
        <f t="shared" si="16"/>
        <v>1.728567241430788</v>
      </c>
      <c r="I171">
        <f t="shared" si="17"/>
        <v>7.6296668968447614</v>
      </c>
    </row>
    <row r="172" spans="1:9" x14ac:dyDescent="0.25">
      <c r="A172">
        <v>1000</v>
      </c>
      <c r="B172">
        <v>2058.1804200000001</v>
      </c>
      <c r="C172">
        <v>-13.112124</v>
      </c>
      <c r="D172" t="s">
        <v>439</v>
      </c>
      <c r="E172">
        <f t="shared" si="13"/>
        <v>580.18042000000014</v>
      </c>
      <c r="F172">
        <f t="shared" si="15"/>
        <v>5.4487400000001571</v>
      </c>
      <c r="G172">
        <v>1700</v>
      </c>
      <c r="H172">
        <f t="shared" si="16"/>
        <v>1.6953843892854881</v>
      </c>
      <c r="I172">
        <f t="shared" si="17"/>
        <v>7.6295775801898964</v>
      </c>
    </row>
    <row r="173" spans="1:9" x14ac:dyDescent="0.25">
      <c r="A173">
        <v>1000</v>
      </c>
      <c r="B173">
        <v>2058.7307129999999</v>
      </c>
      <c r="C173">
        <v>-13.123339</v>
      </c>
      <c r="D173" t="s">
        <v>440</v>
      </c>
      <c r="E173">
        <f t="shared" si="13"/>
        <v>580.73071299999992</v>
      </c>
      <c r="F173">
        <f t="shared" si="15"/>
        <v>5.9990329999999403</v>
      </c>
      <c r="G173">
        <v>1710</v>
      </c>
      <c r="H173">
        <f t="shared" si="16"/>
        <v>1.7915982895726357</v>
      </c>
      <c r="I173">
        <f t="shared" si="17"/>
        <v>7.6298449131419561</v>
      </c>
    </row>
    <row r="174" spans="1:9" x14ac:dyDescent="0.25">
      <c r="A174">
        <v>1000</v>
      </c>
      <c r="B174">
        <v>2057.5251459999999</v>
      </c>
      <c r="C174">
        <v>-13.058766</v>
      </c>
      <c r="D174" t="s">
        <v>441</v>
      </c>
      <c r="E174">
        <f t="shared" si="13"/>
        <v>579.52514599999995</v>
      </c>
      <c r="F174">
        <f t="shared" si="15"/>
        <v>4.7934659999999667</v>
      </c>
      <c r="G174">
        <v>1720</v>
      </c>
      <c r="H174">
        <f t="shared" si="16"/>
        <v>1.5672537405713982</v>
      </c>
      <c r="I174">
        <f t="shared" si="17"/>
        <v>7.629259154104731</v>
      </c>
    </row>
    <row r="175" spans="1:9" x14ac:dyDescent="0.25">
      <c r="A175">
        <v>1000</v>
      </c>
      <c r="B175">
        <v>2057.4575199999999</v>
      </c>
      <c r="C175">
        <v>-13.033331</v>
      </c>
      <c r="D175" t="s">
        <v>442</v>
      </c>
      <c r="E175">
        <f t="shared" si="13"/>
        <v>579.45751999999993</v>
      </c>
      <c r="F175">
        <f t="shared" si="15"/>
        <v>4.7258399999999483</v>
      </c>
      <c r="G175">
        <v>1730</v>
      </c>
      <c r="H175">
        <f t="shared" si="16"/>
        <v>1.5530453229228764</v>
      </c>
      <c r="I175">
        <f t="shared" si="17"/>
        <v>7.6292262859225319</v>
      </c>
    </row>
    <row r="176" spans="1:9" x14ac:dyDescent="0.25">
      <c r="A176">
        <v>1000</v>
      </c>
      <c r="B176">
        <v>2057.4997560000002</v>
      </c>
      <c r="C176">
        <v>-13.040229999999999</v>
      </c>
      <c r="D176" t="s">
        <v>443</v>
      </c>
      <c r="E176">
        <f t="shared" si="13"/>
        <v>579.49975600000016</v>
      </c>
      <c r="F176">
        <f t="shared" si="15"/>
        <v>4.7680760000001783</v>
      </c>
      <c r="G176">
        <v>1740</v>
      </c>
      <c r="H176">
        <f t="shared" si="16"/>
        <v>1.5619428692333674</v>
      </c>
      <c r="I176">
        <f t="shared" si="17"/>
        <v>7.6292468139606955</v>
      </c>
    </row>
    <row r="177" spans="1:9" x14ac:dyDescent="0.25">
      <c r="A177">
        <v>1000</v>
      </c>
      <c r="B177">
        <v>2057.1059570000002</v>
      </c>
      <c r="C177">
        <v>-13.052607</v>
      </c>
      <c r="D177" t="s">
        <v>444</v>
      </c>
      <c r="E177">
        <f t="shared" si="13"/>
        <v>579.10595700000022</v>
      </c>
      <c r="F177">
        <f t="shared" si="15"/>
        <v>4.3742770000002338</v>
      </c>
      <c r="G177">
        <v>1750</v>
      </c>
      <c r="H177">
        <f t="shared" si="16"/>
        <v>1.4757412490103079</v>
      </c>
      <c r="I177">
        <f t="shared" si="17"/>
        <v>7.629055398778454</v>
      </c>
    </row>
    <row r="178" spans="1:9" x14ac:dyDescent="0.25">
      <c r="A178">
        <v>1000</v>
      </c>
      <c r="B178">
        <v>2057.4235840000001</v>
      </c>
      <c r="C178">
        <v>-13.012062</v>
      </c>
      <c r="D178" t="s">
        <v>445</v>
      </c>
      <c r="E178">
        <f t="shared" si="13"/>
        <v>579.42358400000012</v>
      </c>
      <c r="F178">
        <f t="shared" si="15"/>
        <v>4.691904000000136</v>
      </c>
      <c r="G178">
        <v>1760</v>
      </c>
      <c r="H178">
        <f t="shared" si="16"/>
        <v>1.5458384702238857</v>
      </c>
      <c r="I178">
        <f t="shared" si="17"/>
        <v>7.6292097916427979</v>
      </c>
    </row>
    <row r="179" spans="1:9" x14ac:dyDescent="0.25">
      <c r="A179">
        <v>1000</v>
      </c>
      <c r="B179">
        <v>2057.060547</v>
      </c>
      <c r="C179">
        <v>-12.985042</v>
      </c>
      <c r="D179" t="s">
        <v>446</v>
      </c>
      <c r="E179">
        <f t="shared" si="13"/>
        <v>579.06054700000004</v>
      </c>
      <c r="F179">
        <f t="shared" si="15"/>
        <v>4.3288670000000593</v>
      </c>
      <c r="G179">
        <v>1770</v>
      </c>
      <c r="H179">
        <f t="shared" si="16"/>
        <v>1.4653058449571723</v>
      </c>
      <c r="I179">
        <f t="shared" si="17"/>
        <v>7.6290333238332826</v>
      </c>
    </row>
    <row r="180" spans="1:9" x14ac:dyDescent="0.25">
      <c r="A180">
        <v>1000</v>
      </c>
      <c r="B180">
        <v>2054.4685060000002</v>
      </c>
      <c r="C180">
        <v>-12.940058000000001</v>
      </c>
      <c r="D180" t="s">
        <v>447</v>
      </c>
      <c r="E180">
        <f t="shared" si="13"/>
        <v>576.46850600000016</v>
      </c>
      <c r="F180">
        <f t="shared" si="15"/>
        <v>1.7368260000001783</v>
      </c>
      <c r="G180">
        <v>1780</v>
      </c>
      <c r="H180">
        <f t="shared" si="16"/>
        <v>0.5520593095298777</v>
      </c>
      <c r="I180">
        <f t="shared" si="17"/>
        <v>7.6277724589287734</v>
      </c>
    </row>
    <row r="181" spans="1:9" x14ac:dyDescent="0.25">
      <c r="A181">
        <v>1000</v>
      </c>
      <c r="B181">
        <v>2056.1625979999999</v>
      </c>
      <c r="C181">
        <v>-12.919063</v>
      </c>
      <c r="D181" t="s">
        <v>448</v>
      </c>
      <c r="E181">
        <f t="shared" si="13"/>
        <v>578.16259799999989</v>
      </c>
      <c r="F181">
        <f t="shared" si="15"/>
        <v>3.430917999999906</v>
      </c>
      <c r="G181">
        <v>1790</v>
      </c>
      <c r="H181">
        <f t="shared" si="16"/>
        <v>1.2328278638529961</v>
      </c>
      <c r="I181">
        <f t="shared" si="17"/>
        <v>7.6285967080783816</v>
      </c>
    </row>
    <row r="182" spans="1:9" x14ac:dyDescent="0.25">
      <c r="A182">
        <v>1000</v>
      </c>
      <c r="B182">
        <v>2055.3520509999998</v>
      </c>
      <c r="C182">
        <v>-12.884036999999999</v>
      </c>
      <c r="D182" t="s">
        <v>449</v>
      </c>
      <c r="E182">
        <f t="shared" si="13"/>
        <v>577.35205099999985</v>
      </c>
      <c r="F182">
        <f t="shared" si="15"/>
        <v>2.6203709999998637</v>
      </c>
      <c r="G182">
        <v>1800</v>
      </c>
      <c r="H182">
        <f t="shared" si="16"/>
        <v>0.9633159108016226</v>
      </c>
      <c r="I182">
        <f t="shared" si="17"/>
        <v>7.6282024266129378</v>
      </c>
    </row>
    <row r="183" spans="1:9" x14ac:dyDescent="0.25">
      <c r="A183">
        <v>1000</v>
      </c>
      <c r="B183">
        <v>2055.2270509999998</v>
      </c>
      <c r="C183">
        <v>-12.863451</v>
      </c>
      <c r="D183" t="s">
        <v>450</v>
      </c>
      <c r="E183">
        <f t="shared" si="13"/>
        <v>577.22705099999985</v>
      </c>
      <c r="F183">
        <f t="shared" si="15"/>
        <v>2.4953709999998637</v>
      </c>
      <c r="G183">
        <v>1810</v>
      </c>
      <c r="H183">
        <f t="shared" si="16"/>
        <v>0.91443741554385516</v>
      </c>
      <c r="I183">
        <f t="shared" si="17"/>
        <v>7.628141607931707</v>
      </c>
    </row>
    <row r="184" spans="1:9" x14ac:dyDescent="0.25">
      <c r="A184">
        <v>1000</v>
      </c>
      <c r="B184">
        <v>2054.3442380000001</v>
      </c>
      <c r="C184">
        <v>-12.844804999999999</v>
      </c>
      <c r="D184" t="s">
        <v>451</v>
      </c>
      <c r="E184">
        <f t="shared" si="13"/>
        <v>576.34423800000013</v>
      </c>
      <c r="F184">
        <f t="shared" si="15"/>
        <v>1.6125580000001491</v>
      </c>
      <c r="G184">
        <v>1820</v>
      </c>
      <c r="H184">
        <f t="shared" si="16"/>
        <v>0.47782173803326239</v>
      </c>
      <c r="I184">
        <f t="shared" si="17"/>
        <v>7.6277119704092033</v>
      </c>
    </row>
    <row r="185" spans="1:9" x14ac:dyDescent="0.25">
      <c r="A185">
        <v>1000</v>
      </c>
      <c r="B185">
        <v>2053.6335450000001</v>
      </c>
      <c r="C185">
        <v>-12.793481999999999</v>
      </c>
      <c r="D185" t="s">
        <v>452</v>
      </c>
      <c r="E185">
        <f t="shared" ref="E185:E187" si="18">B185-$P$3</f>
        <v>575.63354500000014</v>
      </c>
      <c r="F185">
        <f t="shared" si="15"/>
        <v>0.90186500000015712</v>
      </c>
      <c r="G185">
        <v>1830</v>
      </c>
      <c r="H185">
        <f t="shared" si="16"/>
        <v>-0.10329043752638797</v>
      </c>
      <c r="I185">
        <f t="shared" si="17"/>
        <v>7.6273659641527765</v>
      </c>
    </row>
    <row r="186" spans="1:9" x14ac:dyDescent="0.25">
      <c r="A186">
        <v>1000</v>
      </c>
      <c r="B186">
        <v>2053.8427729999999</v>
      </c>
      <c r="C186">
        <v>-12.753375</v>
      </c>
      <c r="D186" t="s">
        <v>453</v>
      </c>
      <c r="E186">
        <f t="shared" si="18"/>
        <v>575.84277299999985</v>
      </c>
      <c r="F186">
        <f t="shared" si="15"/>
        <v>1.1110929999998689</v>
      </c>
      <c r="G186">
        <v>1840</v>
      </c>
      <c r="H186">
        <f t="shared" si="16"/>
        <v>0.10534421552486185</v>
      </c>
      <c r="I186">
        <f t="shared" si="17"/>
        <v>7.6274678408205805</v>
      </c>
    </row>
    <row r="187" spans="1:9" x14ac:dyDescent="0.25">
      <c r="A187">
        <v>1000</v>
      </c>
      <c r="B187">
        <v>2052.733643</v>
      </c>
      <c r="C187">
        <v>-12.683024</v>
      </c>
      <c r="D187" t="s">
        <v>454</v>
      </c>
      <c r="E187">
        <f t="shared" si="18"/>
        <v>574.73364300000003</v>
      </c>
      <c r="F187">
        <f t="shared" si="15"/>
        <v>1.9630000000461223E-3</v>
      </c>
      <c r="G187">
        <v>1850</v>
      </c>
      <c r="H187">
        <f t="shared" si="16"/>
        <v>-6.2332813636643172</v>
      </c>
      <c r="I187">
        <f t="shared" si="17"/>
        <v>7.6269276682219909</v>
      </c>
    </row>
    <row r="188" spans="1:9" x14ac:dyDescent="0.25">
      <c r="A188">
        <v>1000</v>
      </c>
      <c r="B188">
        <v>2052.6110840000001</v>
      </c>
      <c r="C188">
        <v>-12.678421</v>
      </c>
      <c r="D188" t="s">
        <v>455</v>
      </c>
      <c r="E188">
        <f t="shared" ref="E188:E194" si="19">B188-$P$3</f>
        <v>574.61108400000012</v>
      </c>
      <c r="F188">
        <f t="shared" ref="F188:F194" si="20">E188-$R$3</f>
        <v>-0.12059599999986403</v>
      </c>
      <c r="G188">
        <v>1860</v>
      </c>
      <c r="H188" t="e">
        <f t="shared" ref="H188:H194" si="21">LN(F188)</f>
        <v>#NUM!</v>
      </c>
      <c r="I188">
        <f t="shared" ref="I188:I194" si="22">LN(B188)</f>
        <v>7.6268679611775472</v>
      </c>
    </row>
    <row r="189" spans="1:9" x14ac:dyDescent="0.25">
      <c r="A189">
        <v>1000</v>
      </c>
      <c r="B189">
        <v>2052.97876</v>
      </c>
      <c r="C189">
        <v>-12.692218</v>
      </c>
      <c r="D189" t="s">
        <v>456</v>
      </c>
      <c r="E189">
        <f t="shared" si="19"/>
        <v>574.97875999999997</v>
      </c>
      <c r="F189">
        <f t="shared" si="20"/>
        <v>0.24707999999998265</v>
      </c>
      <c r="G189">
        <v>1870</v>
      </c>
      <c r="H189">
        <f t="shared" si="21"/>
        <v>-1.3980431081545088</v>
      </c>
      <c r="I189">
        <f t="shared" si="22"/>
        <v>7.6270470711300522</v>
      </c>
    </row>
    <row r="190" spans="1:9" x14ac:dyDescent="0.25">
      <c r="A190">
        <v>1000</v>
      </c>
      <c r="B190">
        <v>2053.921143</v>
      </c>
      <c r="C190">
        <v>-12.750002</v>
      </c>
      <c r="D190" t="s">
        <v>457</v>
      </c>
      <c r="E190">
        <f t="shared" si="19"/>
        <v>575.92114300000003</v>
      </c>
      <c r="F190">
        <f t="shared" si="20"/>
        <v>1.1894630000000461</v>
      </c>
      <c r="G190">
        <v>1880</v>
      </c>
      <c r="H190">
        <f t="shared" si="21"/>
        <v>0.17350194477061245</v>
      </c>
      <c r="I190">
        <f t="shared" si="22"/>
        <v>7.6275059978333068</v>
      </c>
    </row>
    <row r="191" spans="1:9" x14ac:dyDescent="0.25">
      <c r="A191">
        <v>1000</v>
      </c>
      <c r="B191">
        <v>2053.17749</v>
      </c>
      <c r="C191">
        <v>-12.769166</v>
      </c>
      <c r="D191" t="s">
        <v>458</v>
      </c>
      <c r="E191">
        <f t="shared" si="19"/>
        <v>575.17749000000003</v>
      </c>
      <c r="F191">
        <f t="shared" si="20"/>
        <v>0.44581000000005133</v>
      </c>
      <c r="G191">
        <v>1890</v>
      </c>
      <c r="H191">
        <f t="shared" si="21"/>
        <v>-0.80786242669816788</v>
      </c>
      <c r="I191">
        <f t="shared" si="22"/>
        <v>7.6271438672518048</v>
      </c>
    </row>
    <row r="192" spans="1:9" x14ac:dyDescent="0.25">
      <c r="A192">
        <v>1000</v>
      </c>
      <c r="B192">
        <v>2055.6228030000002</v>
      </c>
      <c r="C192">
        <v>-12.810366</v>
      </c>
      <c r="D192" t="s">
        <v>459</v>
      </c>
      <c r="E192">
        <f t="shared" si="19"/>
        <v>577.6228030000002</v>
      </c>
      <c r="F192">
        <f t="shared" si="20"/>
        <v>2.8911230000002206</v>
      </c>
      <c r="G192">
        <v>1900</v>
      </c>
      <c r="H192">
        <f t="shared" si="21"/>
        <v>1.0616450079611293</v>
      </c>
      <c r="I192">
        <f t="shared" si="22"/>
        <v>7.6283341481680464</v>
      </c>
    </row>
    <row r="193" spans="1:9" x14ac:dyDescent="0.25">
      <c r="A193">
        <v>1000</v>
      </c>
      <c r="B193">
        <v>2054.8276369999999</v>
      </c>
      <c r="C193">
        <v>-12.806118</v>
      </c>
      <c r="D193" t="s">
        <v>460</v>
      </c>
      <c r="E193">
        <f t="shared" si="19"/>
        <v>576.82763699999987</v>
      </c>
      <c r="F193">
        <f t="shared" si="20"/>
        <v>2.0959569999998848</v>
      </c>
      <c r="G193">
        <v>1910</v>
      </c>
      <c r="H193">
        <f t="shared" si="21"/>
        <v>0.74001025098112427</v>
      </c>
      <c r="I193">
        <f t="shared" si="22"/>
        <v>7.6279472484734629</v>
      </c>
    </row>
    <row r="194" spans="1:9" x14ac:dyDescent="0.25">
      <c r="A194">
        <v>1000</v>
      </c>
      <c r="B194">
        <v>2045.919312</v>
      </c>
      <c r="C194">
        <v>-12.327786</v>
      </c>
      <c r="D194" t="s">
        <v>461</v>
      </c>
      <c r="E194">
        <f t="shared" si="19"/>
        <v>567.91931199999999</v>
      </c>
      <c r="F194">
        <f t="shared" si="20"/>
        <v>-6.8123679999999922</v>
      </c>
      <c r="G194">
        <v>1920</v>
      </c>
      <c r="H194" t="e">
        <f t="shared" si="21"/>
        <v>#NUM!</v>
      </c>
      <c r="I194">
        <f t="shared" si="22"/>
        <v>7.623602508783768</v>
      </c>
    </row>
  </sheetData>
  <sortState ref="A1:K193">
    <sortCondition ref="I1:I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7"/>
  <sheetViews>
    <sheetView topLeftCell="A28" zoomScale="70" zoomScaleNormal="70" workbookViewId="0">
      <selection activeCell="R69" sqref="R69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1989.0354</v>
      </c>
      <c r="C2">
        <v>-12.436946000000001</v>
      </c>
      <c r="D2" t="s">
        <v>462</v>
      </c>
      <c r="E2">
        <f t="shared" ref="E2:E65" si="0">B2-$P$3</f>
        <v>505.03539999999998</v>
      </c>
      <c r="F2">
        <f>E2-$R$3</f>
        <v>99.331089999999961</v>
      </c>
      <c r="G2">
        <v>0</v>
      </c>
      <c r="H2">
        <f>LN(F2)</f>
        <v>4.5984586136896572</v>
      </c>
      <c r="I2">
        <f t="shared" ref="I2:I33" si="1">LN(B2)</f>
        <v>7.5954050765839778</v>
      </c>
      <c r="L2" s="1" t="s">
        <v>0</v>
      </c>
      <c r="M2" s="1" t="s">
        <v>1</v>
      </c>
      <c r="O2" s="2"/>
      <c r="P2" t="s">
        <v>14</v>
      </c>
      <c r="R2" t="s">
        <v>15</v>
      </c>
    </row>
    <row r="3" spans="1:18" x14ac:dyDescent="0.25">
      <c r="A3">
        <v>1000</v>
      </c>
      <c r="B3">
        <v>1949.207764</v>
      </c>
      <c r="C3">
        <v>-11.535005</v>
      </c>
      <c r="D3" t="s">
        <v>463</v>
      </c>
      <c r="E3">
        <f t="shared" si="0"/>
        <v>465.207764</v>
      </c>
      <c r="F3">
        <f t="shared" ref="F3:F66" si="2">E3-$R$3</f>
        <v>59.503453999999977</v>
      </c>
      <c r="G3">
        <v>10</v>
      </c>
      <c r="H3">
        <f t="shared" ref="H3:H66" si="3">LN(F3)</f>
        <v>4.0860343612868917</v>
      </c>
      <c r="I3">
        <f t="shared" si="1"/>
        <v>7.5751782941340018</v>
      </c>
      <c r="K3" t="s">
        <v>2</v>
      </c>
      <c r="L3">
        <f>1/(0.00003)</f>
        <v>33333.333333333336</v>
      </c>
      <c r="M3">
        <f>1/(0.00008)</f>
        <v>12499.999999999998</v>
      </c>
      <c r="N3" s="3" t="s">
        <v>3</v>
      </c>
      <c r="O3" s="2"/>
      <c r="P3">
        <v>1484</v>
      </c>
      <c r="R3">
        <v>405.70431000000002</v>
      </c>
    </row>
    <row r="4" spans="1:18" x14ac:dyDescent="0.25">
      <c r="A4">
        <v>1000</v>
      </c>
      <c r="B4">
        <v>1938.024048</v>
      </c>
      <c r="C4">
        <v>-11.277398</v>
      </c>
      <c r="D4" t="s">
        <v>464</v>
      </c>
      <c r="E4">
        <f t="shared" si="0"/>
        <v>454.02404799999999</v>
      </c>
      <c r="F4">
        <f t="shared" si="2"/>
        <v>48.319737999999973</v>
      </c>
      <c r="G4">
        <v>20</v>
      </c>
      <c r="H4">
        <f t="shared" si="3"/>
        <v>3.8778401314264284</v>
      </c>
      <c r="I4">
        <f t="shared" si="1"/>
        <v>7.5694242010424553</v>
      </c>
      <c r="L4">
        <f>L3/60</f>
        <v>555.55555555555554</v>
      </c>
      <c r="M4">
        <f>M3/60</f>
        <v>208.33333333333331</v>
      </c>
      <c r="N4" s="3" t="s">
        <v>4</v>
      </c>
    </row>
    <row r="5" spans="1:18" x14ac:dyDescent="0.25">
      <c r="A5">
        <v>1000</v>
      </c>
      <c r="B5">
        <v>1931.1016850000001</v>
      </c>
      <c r="C5">
        <v>-11.123977999999999</v>
      </c>
      <c r="D5" t="s">
        <v>465</v>
      </c>
      <c r="E5">
        <f t="shared" si="0"/>
        <v>447.10168500000009</v>
      </c>
      <c r="F5">
        <f t="shared" si="2"/>
        <v>41.397375000000068</v>
      </c>
      <c r="G5">
        <v>30</v>
      </c>
      <c r="H5">
        <f t="shared" si="3"/>
        <v>3.7232174730239365</v>
      </c>
      <c r="I5">
        <f t="shared" si="1"/>
        <v>7.5658459402859801</v>
      </c>
      <c r="L5">
        <f>L4/60</f>
        <v>9.2592592592592595</v>
      </c>
      <c r="M5">
        <f>M4/60</f>
        <v>3.4722222222222219</v>
      </c>
      <c r="N5" s="3" t="s">
        <v>5</v>
      </c>
    </row>
    <row r="6" spans="1:18" x14ac:dyDescent="0.25">
      <c r="A6">
        <v>1000</v>
      </c>
      <c r="B6">
        <v>1925.0732419999999</v>
      </c>
      <c r="C6">
        <v>-10.987156000000001</v>
      </c>
      <c r="D6" t="s">
        <v>466</v>
      </c>
      <c r="E6">
        <f t="shared" si="0"/>
        <v>441.07324199999994</v>
      </c>
      <c r="F6">
        <f t="shared" si="2"/>
        <v>35.368931999999916</v>
      </c>
      <c r="G6">
        <v>40</v>
      </c>
      <c r="H6">
        <f t="shared" si="3"/>
        <v>3.5658338076809293</v>
      </c>
      <c r="I6">
        <f t="shared" si="1"/>
        <v>7.5627192937902938</v>
      </c>
    </row>
    <row r="7" spans="1:18" x14ac:dyDescent="0.25">
      <c r="A7">
        <v>1000</v>
      </c>
      <c r="B7">
        <v>1920.006226</v>
      </c>
      <c r="C7">
        <v>-10.822576</v>
      </c>
      <c r="D7" t="s">
        <v>467</v>
      </c>
      <c r="E7">
        <f t="shared" si="0"/>
        <v>436.00622599999997</v>
      </c>
      <c r="F7">
        <f t="shared" si="2"/>
        <v>30.301915999999949</v>
      </c>
      <c r="G7">
        <v>50</v>
      </c>
      <c r="H7">
        <f t="shared" si="3"/>
        <v>3.4112109448395485</v>
      </c>
      <c r="I7">
        <f t="shared" si="1"/>
        <v>7.5600837077249032</v>
      </c>
    </row>
    <row r="8" spans="1:18" x14ac:dyDescent="0.25">
      <c r="A8">
        <v>1000</v>
      </c>
      <c r="B8">
        <v>1916.115356</v>
      </c>
      <c r="C8">
        <v>-10.660181</v>
      </c>
      <c r="D8" t="s">
        <v>468</v>
      </c>
      <c r="E8">
        <f t="shared" si="0"/>
        <v>432.11535600000002</v>
      </c>
      <c r="F8">
        <f t="shared" si="2"/>
        <v>26.411045999999999</v>
      </c>
      <c r="G8">
        <v>60</v>
      </c>
      <c r="H8">
        <f t="shared" si="3"/>
        <v>3.2737823317345045</v>
      </c>
      <c r="I8">
        <f t="shared" si="1"/>
        <v>7.5580551633990414</v>
      </c>
    </row>
    <row r="9" spans="1:18" x14ac:dyDescent="0.25">
      <c r="A9">
        <v>1000</v>
      </c>
      <c r="B9">
        <v>1912.9952390000001</v>
      </c>
      <c r="C9">
        <v>-10.566757000000001</v>
      </c>
      <c r="D9" t="s">
        <v>469</v>
      </c>
      <c r="E9">
        <f t="shared" si="0"/>
        <v>428.99523900000008</v>
      </c>
      <c r="F9">
        <f t="shared" si="2"/>
        <v>23.290929000000062</v>
      </c>
      <c r="G9">
        <v>70</v>
      </c>
      <c r="H9">
        <f t="shared" si="3"/>
        <v>3.1480639714648375</v>
      </c>
      <c r="I9">
        <f t="shared" si="1"/>
        <v>7.5564254806760474</v>
      </c>
    </row>
    <row r="10" spans="1:18" x14ac:dyDescent="0.25">
      <c r="A10">
        <v>1000</v>
      </c>
      <c r="B10">
        <v>1910.2944339999999</v>
      </c>
      <c r="C10">
        <v>-10.482637</v>
      </c>
      <c r="D10" t="s">
        <v>470</v>
      </c>
      <c r="E10">
        <f t="shared" si="0"/>
        <v>426.29443399999991</v>
      </c>
      <c r="F10">
        <f t="shared" si="2"/>
        <v>20.590123999999889</v>
      </c>
      <c r="G10">
        <v>80</v>
      </c>
      <c r="H10">
        <f t="shared" si="3"/>
        <v>3.0248115433625005</v>
      </c>
      <c r="I10">
        <f t="shared" si="1"/>
        <v>7.555012663086881</v>
      </c>
    </row>
    <row r="11" spans="1:18" x14ac:dyDescent="0.25">
      <c r="A11">
        <v>1000</v>
      </c>
      <c r="B11">
        <v>1908.544312</v>
      </c>
      <c r="C11">
        <v>-10.401344</v>
      </c>
      <c r="D11" t="s">
        <v>471</v>
      </c>
      <c r="E11">
        <f t="shared" si="0"/>
        <v>424.54431199999999</v>
      </c>
      <c r="F11">
        <f t="shared" si="2"/>
        <v>18.84000199999997</v>
      </c>
      <c r="G11">
        <v>90</v>
      </c>
      <c r="H11">
        <f t="shared" si="3"/>
        <v>2.9359823753053225</v>
      </c>
      <c r="I11">
        <f t="shared" si="1"/>
        <v>7.5540960901499608</v>
      </c>
    </row>
    <row r="12" spans="1:18" x14ac:dyDescent="0.25">
      <c r="A12">
        <v>1000</v>
      </c>
      <c r="B12">
        <v>1905.9570309999999</v>
      </c>
      <c r="C12">
        <v>-10.321922000000001</v>
      </c>
      <c r="D12" t="s">
        <v>472</v>
      </c>
      <c r="E12">
        <f t="shared" si="0"/>
        <v>421.95703099999992</v>
      </c>
      <c r="F12">
        <f t="shared" si="2"/>
        <v>16.252720999999895</v>
      </c>
      <c r="G12">
        <v>100</v>
      </c>
      <c r="H12">
        <f t="shared" si="3"/>
        <v>2.7882603409120437</v>
      </c>
      <c r="I12">
        <f t="shared" si="1"/>
        <v>7.5527395398886723</v>
      </c>
    </row>
    <row r="13" spans="1:18" x14ac:dyDescent="0.25">
      <c r="A13">
        <v>1000</v>
      </c>
      <c r="B13">
        <v>1904.528198</v>
      </c>
      <c r="C13">
        <v>-10.276311</v>
      </c>
      <c r="D13" t="s">
        <v>473</v>
      </c>
      <c r="E13">
        <f t="shared" si="0"/>
        <v>420.52819799999997</v>
      </c>
      <c r="F13">
        <f t="shared" si="2"/>
        <v>14.823887999999954</v>
      </c>
      <c r="G13">
        <v>110</v>
      </c>
      <c r="H13">
        <f t="shared" si="3"/>
        <v>2.6962399336388096</v>
      </c>
      <c r="I13">
        <f t="shared" si="1"/>
        <v>7.5519895917948743</v>
      </c>
    </row>
    <row r="14" spans="1:18" x14ac:dyDescent="0.25">
      <c r="A14">
        <v>1000</v>
      </c>
      <c r="B14">
        <v>1903.0780030000001</v>
      </c>
      <c r="C14">
        <v>-10.228676999999999</v>
      </c>
      <c r="D14" t="s">
        <v>474</v>
      </c>
      <c r="E14">
        <f t="shared" si="0"/>
        <v>419.07800300000008</v>
      </c>
      <c r="F14">
        <f t="shared" si="2"/>
        <v>13.37369300000006</v>
      </c>
      <c r="G14">
        <v>120</v>
      </c>
      <c r="H14">
        <f t="shared" si="3"/>
        <v>2.5932895683810329</v>
      </c>
      <c r="I14">
        <f t="shared" si="1"/>
        <v>7.5512278559463821</v>
      </c>
    </row>
    <row r="15" spans="1:18" x14ac:dyDescent="0.25">
      <c r="A15">
        <v>1000</v>
      </c>
      <c r="B15">
        <v>1901.4832759999999</v>
      </c>
      <c r="C15">
        <v>-10.175592</v>
      </c>
      <c r="D15" t="s">
        <v>475</v>
      </c>
      <c r="E15">
        <f t="shared" si="0"/>
        <v>417.48327599999993</v>
      </c>
      <c r="F15">
        <f t="shared" si="2"/>
        <v>11.778965999999912</v>
      </c>
      <c r="G15">
        <v>130</v>
      </c>
      <c r="H15">
        <f t="shared" si="3"/>
        <v>2.4663153984795629</v>
      </c>
      <c r="I15">
        <f t="shared" si="1"/>
        <v>7.5503895321679222</v>
      </c>
    </row>
    <row r="16" spans="1:18" x14ac:dyDescent="0.25">
      <c r="A16">
        <v>1000</v>
      </c>
      <c r="B16">
        <v>1901.940308</v>
      </c>
      <c r="C16">
        <v>-10.202285</v>
      </c>
      <c r="D16" t="s">
        <v>476</v>
      </c>
      <c r="E16">
        <f t="shared" si="0"/>
        <v>417.94030799999996</v>
      </c>
      <c r="F16">
        <f t="shared" si="2"/>
        <v>12.235997999999938</v>
      </c>
      <c r="G16">
        <v>140</v>
      </c>
      <c r="H16">
        <f t="shared" si="3"/>
        <v>2.50438226283653</v>
      </c>
      <c r="I16">
        <f t="shared" si="1"/>
        <v>7.5506298588063343</v>
      </c>
    </row>
    <row r="17" spans="1:9" x14ac:dyDescent="0.25">
      <c r="A17">
        <v>1000</v>
      </c>
      <c r="B17">
        <v>1906.059814</v>
      </c>
      <c r="C17">
        <v>-10.559792</v>
      </c>
      <c r="D17" t="s">
        <v>477</v>
      </c>
      <c r="E17">
        <f t="shared" si="0"/>
        <v>422.05981399999996</v>
      </c>
      <c r="F17">
        <f t="shared" si="2"/>
        <v>16.355503999999939</v>
      </c>
      <c r="G17">
        <v>150</v>
      </c>
      <c r="H17">
        <f t="shared" si="3"/>
        <v>2.7945644767796716</v>
      </c>
      <c r="I17">
        <f t="shared" si="1"/>
        <v>7.5527934656734752</v>
      </c>
    </row>
    <row r="18" spans="1:9" x14ac:dyDescent="0.25">
      <c r="A18">
        <v>1000</v>
      </c>
      <c r="B18">
        <v>1911.688232</v>
      </c>
      <c r="C18">
        <v>-10.993999000000001</v>
      </c>
      <c r="D18" t="s">
        <v>478</v>
      </c>
      <c r="E18">
        <f t="shared" si="0"/>
        <v>427.68823199999997</v>
      </c>
      <c r="F18">
        <f t="shared" si="2"/>
        <v>21.98392199999995</v>
      </c>
      <c r="G18">
        <v>160</v>
      </c>
      <c r="H18">
        <f t="shared" si="3"/>
        <v>3.0903113679987078</v>
      </c>
      <c r="I18">
        <f t="shared" si="1"/>
        <v>7.5557420217384452</v>
      </c>
    </row>
    <row r="19" spans="1:9" x14ac:dyDescent="0.25">
      <c r="A19">
        <v>1000</v>
      </c>
      <c r="B19">
        <v>1905.3138429999999</v>
      </c>
      <c r="C19">
        <v>-10.572713</v>
      </c>
      <c r="D19" t="s">
        <v>479</v>
      </c>
      <c r="E19">
        <f t="shared" si="0"/>
        <v>421.31384299999991</v>
      </c>
      <c r="F19">
        <f t="shared" si="2"/>
        <v>15.609532999999885</v>
      </c>
      <c r="G19">
        <v>170</v>
      </c>
      <c r="H19">
        <f t="shared" si="3"/>
        <v>2.7478818173597679</v>
      </c>
      <c r="I19">
        <f t="shared" si="1"/>
        <v>7.5524020209731351</v>
      </c>
    </row>
    <row r="20" spans="1:9" x14ac:dyDescent="0.25">
      <c r="A20">
        <v>1000</v>
      </c>
      <c r="B20">
        <v>1901.001831</v>
      </c>
      <c r="C20">
        <v>-10.304014</v>
      </c>
      <c r="D20" t="s">
        <v>480</v>
      </c>
      <c r="E20">
        <f t="shared" si="0"/>
        <v>417.00183100000004</v>
      </c>
      <c r="F20">
        <f t="shared" si="2"/>
        <v>11.297521000000017</v>
      </c>
      <c r="G20">
        <v>180</v>
      </c>
      <c r="H20">
        <f t="shared" si="3"/>
        <v>2.4245833211198944</v>
      </c>
      <c r="I20">
        <f t="shared" si="1"/>
        <v>7.5501363056652409</v>
      </c>
    </row>
    <row r="21" spans="1:9" x14ac:dyDescent="0.25">
      <c r="A21">
        <v>1000</v>
      </c>
      <c r="B21">
        <v>1898.396606</v>
      </c>
      <c r="C21">
        <v>-10.140485999999999</v>
      </c>
      <c r="D21" t="s">
        <v>481</v>
      </c>
      <c r="E21">
        <f t="shared" si="0"/>
        <v>414.39660600000002</v>
      </c>
      <c r="F21">
        <f t="shared" si="2"/>
        <v>8.6922959999999989</v>
      </c>
      <c r="G21">
        <v>190</v>
      </c>
      <c r="H21">
        <f t="shared" si="3"/>
        <v>2.1624371161171556</v>
      </c>
      <c r="I21">
        <f t="shared" si="1"/>
        <v>7.5487649172986329</v>
      </c>
    </row>
    <row r="22" spans="1:9" x14ac:dyDescent="0.25">
      <c r="A22">
        <v>1000</v>
      </c>
      <c r="B22">
        <v>1897.1602780000001</v>
      </c>
      <c r="C22">
        <v>-10.053782</v>
      </c>
      <c r="D22" t="s">
        <v>482</v>
      </c>
      <c r="E22">
        <f t="shared" si="0"/>
        <v>413.16027800000006</v>
      </c>
      <c r="F22">
        <f t="shared" si="2"/>
        <v>7.4559680000000412</v>
      </c>
      <c r="G22">
        <v>200</v>
      </c>
      <c r="H22">
        <f t="shared" si="3"/>
        <v>2.009014785528592</v>
      </c>
      <c r="I22">
        <f t="shared" si="1"/>
        <v>7.5481134566136738</v>
      </c>
    </row>
    <row r="23" spans="1:9" x14ac:dyDescent="0.25">
      <c r="A23">
        <v>1000</v>
      </c>
      <c r="B23">
        <v>1903.0092770000001</v>
      </c>
      <c r="C23">
        <v>-10.527307</v>
      </c>
      <c r="D23" t="s">
        <v>483</v>
      </c>
      <c r="E23">
        <f t="shared" si="0"/>
        <v>419.00927700000011</v>
      </c>
      <c r="F23">
        <f t="shared" si="2"/>
        <v>13.30496700000009</v>
      </c>
      <c r="G23">
        <v>210</v>
      </c>
      <c r="H23">
        <f t="shared" si="3"/>
        <v>2.5881374241560082</v>
      </c>
      <c r="I23">
        <f t="shared" si="1"/>
        <v>7.551191742218581</v>
      </c>
    </row>
    <row r="24" spans="1:9" x14ac:dyDescent="0.25">
      <c r="A24">
        <v>1000</v>
      </c>
      <c r="B24">
        <v>1902.9517820000001</v>
      </c>
      <c r="C24">
        <v>-10.520638999999999</v>
      </c>
      <c r="D24" t="s">
        <v>484</v>
      </c>
      <c r="E24">
        <f t="shared" si="0"/>
        <v>418.95178200000009</v>
      </c>
      <c r="F24">
        <f t="shared" si="2"/>
        <v>13.247472000000073</v>
      </c>
      <c r="G24">
        <v>220</v>
      </c>
      <c r="H24">
        <f t="shared" si="3"/>
        <v>2.5838067417762112</v>
      </c>
      <c r="I24">
        <f t="shared" si="1"/>
        <v>7.5511615290875937</v>
      </c>
    </row>
    <row r="25" spans="1:9" x14ac:dyDescent="0.25">
      <c r="A25">
        <v>1000</v>
      </c>
      <c r="B25">
        <v>1901.4774170000001</v>
      </c>
      <c r="C25">
        <v>-10.451504999999999</v>
      </c>
      <c r="D25" t="s">
        <v>485</v>
      </c>
      <c r="E25">
        <f t="shared" si="0"/>
        <v>417.47741700000006</v>
      </c>
      <c r="F25">
        <f t="shared" si="2"/>
        <v>11.773107000000039</v>
      </c>
      <c r="G25">
        <v>230</v>
      </c>
      <c r="H25">
        <f t="shared" si="3"/>
        <v>2.4658178626473042</v>
      </c>
      <c r="I25">
        <f t="shared" si="1"/>
        <v>7.5503864508844316</v>
      </c>
    </row>
    <row r="26" spans="1:9" x14ac:dyDescent="0.25">
      <c r="A26">
        <v>1000</v>
      </c>
      <c r="B26">
        <v>1897.5273440000001</v>
      </c>
      <c r="C26">
        <v>-10.150744</v>
      </c>
      <c r="D26" t="s">
        <v>486</v>
      </c>
      <c r="E26">
        <f t="shared" si="0"/>
        <v>413.52734400000008</v>
      </c>
      <c r="F26">
        <f t="shared" si="2"/>
        <v>7.8230340000000638</v>
      </c>
      <c r="G26">
        <v>240</v>
      </c>
      <c r="H26">
        <f t="shared" si="3"/>
        <v>2.0570724588522697</v>
      </c>
      <c r="I26">
        <f t="shared" si="1"/>
        <v>7.548306919706139</v>
      </c>
    </row>
    <row r="27" spans="1:9" x14ac:dyDescent="0.25">
      <c r="A27">
        <v>1000</v>
      </c>
      <c r="B27">
        <v>1895.230957</v>
      </c>
      <c r="C27">
        <v>-9.9995370000000001</v>
      </c>
      <c r="D27" t="s">
        <v>487</v>
      </c>
      <c r="E27">
        <f t="shared" si="0"/>
        <v>411.23095699999999</v>
      </c>
      <c r="F27">
        <f t="shared" si="2"/>
        <v>5.5266469999999686</v>
      </c>
      <c r="G27">
        <v>250</v>
      </c>
      <c r="H27">
        <f t="shared" si="3"/>
        <v>1.7095813025284801</v>
      </c>
      <c r="I27">
        <f t="shared" si="1"/>
        <v>7.5470959871349779</v>
      </c>
    </row>
    <row r="28" spans="1:9" x14ac:dyDescent="0.25">
      <c r="A28">
        <v>1000</v>
      </c>
      <c r="B28">
        <v>1893.497192</v>
      </c>
      <c r="C28">
        <v>-9.9099660000000007</v>
      </c>
      <c r="D28" t="s">
        <v>488</v>
      </c>
      <c r="E28">
        <f t="shared" si="0"/>
        <v>409.49719200000004</v>
      </c>
      <c r="F28">
        <f t="shared" si="2"/>
        <v>3.7928820000000201</v>
      </c>
      <c r="G28">
        <v>260</v>
      </c>
      <c r="H28">
        <f t="shared" si="3"/>
        <v>1.333126152283481</v>
      </c>
      <c r="I28">
        <f t="shared" si="1"/>
        <v>7.5461807643727017</v>
      </c>
    </row>
    <row r="29" spans="1:9" x14ac:dyDescent="0.25">
      <c r="A29">
        <v>1000</v>
      </c>
      <c r="B29">
        <v>1893.3583980000001</v>
      </c>
      <c r="C29">
        <v>-9.8763760000000005</v>
      </c>
      <c r="D29" t="s">
        <v>489</v>
      </c>
      <c r="E29">
        <f t="shared" si="0"/>
        <v>409.35839800000008</v>
      </c>
      <c r="F29">
        <f t="shared" si="2"/>
        <v>3.6540880000000584</v>
      </c>
      <c r="G29">
        <v>270</v>
      </c>
      <c r="H29">
        <f t="shared" si="3"/>
        <v>1.2958465408623325</v>
      </c>
      <c r="I29">
        <f t="shared" si="1"/>
        <v>7.5461074613397425</v>
      </c>
    </row>
    <row r="30" spans="1:9" x14ac:dyDescent="0.25">
      <c r="A30">
        <v>1000</v>
      </c>
      <c r="B30">
        <v>1891.907471</v>
      </c>
      <c r="C30">
        <v>-9.8021180000000001</v>
      </c>
      <c r="D30" t="s">
        <v>490</v>
      </c>
      <c r="E30">
        <f t="shared" si="0"/>
        <v>407.90747099999999</v>
      </c>
      <c r="F30">
        <f t="shared" si="2"/>
        <v>2.203160999999966</v>
      </c>
      <c r="G30">
        <v>280</v>
      </c>
      <c r="H30">
        <f t="shared" si="3"/>
        <v>0.78989314731050964</v>
      </c>
      <c r="I30">
        <f t="shared" si="1"/>
        <v>7.5453408430247952</v>
      </c>
    </row>
    <row r="31" spans="1:9" x14ac:dyDescent="0.25">
      <c r="A31">
        <v>1000</v>
      </c>
      <c r="B31">
        <v>1891.6762699999999</v>
      </c>
      <c r="C31">
        <v>-9.7542919999999995</v>
      </c>
      <c r="D31" t="s">
        <v>491</v>
      </c>
      <c r="E31">
        <f t="shared" si="0"/>
        <v>407.67626999999993</v>
      </c>
      <c r="F31">
        <f t="shared" si="2"/>
        <v>1.9719599999999105</v>
      </c>
      <c r="G31">
        <v>290</v>
      </c>
      <c r="H31">
        <f t="shared" si="3"/>
        <v>0.67902797199901643</v>
      </c>
      <c r="I31">
        <f t="shared" si="1"/>
        <v>7.5452186303205897</v>
      </c>
    </row>
    <row r="32" spans="1:9" x14ac:dyDescent="0.25">
      <c r="A32">
        <v>1000</v>
      </c>
      <c r="B32">
        <v>1890.6313479999999</v>
      </c>
      <c r="C32">
        <v>-9.6786820000000002</v>
      </c>
      <c r="D32" t="s">
        <v>492</v>
      </c>
      <c r="E32">
        <f t="shared" si="0"/>
        <v>406.63134799999989</v>
      </c>
      <c r="F32">
        <f t="shared" si="2"/>
        <v>0.92703799999986813</v>
      </c>
      <c r="G32">
        <v>300</v>
      </c>
      <c r="H32">
        <f t="shared" si="3"/>
        <v>-7.5760721807832165E-2</v>
      </c>
      <c r="I32">
        <f t="shared" si="1"/>
        <v>7.544666098833404</v>
      </c>
    </row>
    <row r="33" spans="1:21" x14ac:dyDescent="0.25">
      <c r="A33">
        <v>1000</v>
      </c>
      <c r="B33">
        <v>1890.0479740000001</v>
      </c>
      <c r="C33">
        <v>-9.6332210000000007</v>
      </c>
      <c r="D33" t="s">
        <v>493</v>
      </c>
      <c r="E33">
        <f t="shared" si="0"/>
        <v>406.04797400000007</v>
      </c>
      <c r="F33">
        <f t="shared" si="2"/>
        <v>0.3436640000000466</v>
      </c>
      <c r="G33">
        <v>310</v>
      </c>
      <c r="H33">
        <f t="shared" si="3"/>
        <v>-1.0680908431200939</v>
      </c>
      <c r="I33">
        <f t="shared" si="1"/>
        <v>7.5443574908003264</v>
      </c>
    </row>
    <row r="34" spans="1:21" x14ac:dyDescent="0.25">
      <c r="A34">
        <v>1000</v>
      </c>
      <c r="B34">
        <v>1889.154663</v>
      </c>
      <c r="C34">
        <v>-9.6056810000000006</v>
      </c>
      <c r="D34" t="s">
        <v>494</v>
      </c>
      <c r="E34">
        <f t="shared" si="0"/>
        <v>405.15466300000003</v>
      </c>
      <c r="F34">
        <f t="shared" si="2"/>
        <v>-0.54964699999999311</v>
      </c>
      <c r="G34">
        <v>320</v>
      </c>
      <c r="H34" t="e">
        <f t="shared" si="3"/>
        <v>#NUM!</v>
      </c>
      <c r="I34">
        <f t="shared" ref="I34:I65" si="4">LN(B34)</f>
        <v>7.5438847397454394</v>
      </c>
    </row>
    <row r="35" spans="1:21" x14ac:dyDescent="0.25">
      <c r="A35">
        <v>1000</v>
      </c>
      <c r="B35">
        <v>1888.6951899999999</v>
      </c>
      <c r="C35">
        <v>-9.5705190000000009</v>
      </c>
      <c r="D35" t="s">
        <v>495</v>
      </c>
      <c r="E35">
        <f t="shared" si="0"/>
        <v>404.69518999999991</v>
      </c>
      <c r="F35">
        <f t="shared" si="2"/>
        <v>-1.0091200000001095</v>
      </c>
      <c r="G35">
        <v>330</v>
      </c>
      <c r="H35" t="e">
        <f t="shared" si="3"/>
        <v>#NUM!</v>
      </c>
      <c r="I35">
        <f t="shared" si="4"/>
        <v>7.543641493973297</v>
      </c>
    </row>
    <row r="36" spans="1:21" x14ac:dyDescent="0.25">
      <c r="A36">
        <v>1000</v>
      </c>
      <c r="B36">
        <v>1888.2769780000001</v>
      </c>
      <c r="C36">
        <v>-9.5634569999999997</v>
      </c>
      <c r="D36" t="s">
        <v>496</v>
      </c>
      <c r="E36">
        <f t="shared" si="0"/>
        <v>404.2769780000001</v>
      </c>
      <c r="F36">
        <f t="shared" si="2"/>
        <v>-1.4273319999999217</v>
      </c>
      <c r="G36">
        <v>340</v>
      </c>
      <c r="H36" t="e">
        <f t="shared" si="3"/>
        <v>#NUM!</v>
      </c>
      <c r="I36">
        <f t="shared" si="4"/>
        <v>7.5434200403945528</v>
      </c>
    </row>
    <row r="37" spans="1:21" x14ac:dyDescent="0.25">
      <c r="A37">
        <v>1000</v>
      </c>
      <c r="B37">
        <v>1887.818115</v>
      </c>
      <c r="C37">
        <v>-9.5282680000000006</v>
      </c>
      <c r="D37" t="s">
        <v>497</v>
      </c>
      <c r="E37">
        <f t="shared" si="0"/>
        <v>403.81811500000003</v>
      </c>
      <c r="F37">
        <f t="shared" si="2"/>
        <v>-1.8861949999999865</v>
      </c>
      <c r="G37">
        <v>350</v>
      </c>
      <c r="H37" t="e">
        <f t="shared" si="3"/>
        <v>#NUM!</v>
      </c>
      <c r="I37">
        <f t="shared" si="4"/>
        <v>7.5431770046706337</v>
      </c>
    </row>
    <row r="38" spans="1:21" x14ac:dyDescent="0.25">
      <c r="A38">
        <v>1000</v>
      </c>
      <c r="B38">
        <v>1887.3942870000001</v>
      </c>
      <c r="C38">
        <v>-9.4817129999999992</v>
      </c>
      <c r="D38" t="s">
        <v>498</v>
      </c>
      <c r="E38">
        <f t="shared" si="0"/>
        <v>403.39428700000008</v>
      </c>
      <c r="F38">
        <f t="shared" si="2"/>
        <v>-2.3100229999999442</v>
      </c>
      <c r="G38">
        <v>360</v>
      </c>
      <c r="H38" t="e">
        <f t="shared" si="3"/>
        <v>#NUM!</v>
      </c>
      <c r="I38">
        <f t="shared" si="4"/>
        <v>7.5429524726673183</v>
      </c>
    </row>
    <row r="39" spans="1:21" x14ac:dyDescent="0.25">
      <c r="A39">
        <v>1000</v>
      </c>
      <c r="B39">
        <v>1892.650879</v>
      </c>
      <c r="C39">
        <v>-9.9221380000000003</v>
      </c>
      <c r="D39" t="s">
        <v>499</v>
      </c>
      <c r="E39">
        <f t="shared" si="0"/>
        <v>408.65087900000003</v>
      </c>
      <c r="F39">
        <f t="shared" si="2"/>
        <v>2.9465690000000109</v>
      </c>
      <c r="G39">
        <v>370</v>
      </c>
      <c r="H39">
        <f t="shared" si="3"/>
        <v>1.0806414426357651</v>
      </c>
      <c r="I39">
        <f t="shared" si="4"/>
        <v>7.5457337068365327</v>
      </c>
    </row>
    <row r="40" spans="1:21" x14ac:dyDescent="0.25">
      <c r="A40">
        <v>1000</v>
      </c>
      <c r="B40">
        <v>1892.6480710000001</v>
      </c>
      <c r="C40">
        <v>-9.9331619999999994</v>
      </c>
      <c r="D40" t="s">
        <v>500</v>
      </c>
      <c r="E40">
        <f t="shared" si="0"/>
        <v>408.64807100000007</v>
      </c>
      <c r="F40">
        <f t="shared" si="2"/>
        <v>2.9437610000000518</v>
      </c>
      <c r="G40">
        <v>380</v>
      </c>
      <c r="H40">
        <f t="shared" si="3"/>
        <v>1.0796880155059878</v>
      </c>
      <c r="I40">
        <f t="shared" si="4"/>
        <v>7.5457322232020632</v>
      </c>
      <c r="T40">
        <v>-1.2699999999999999E-2</v>
      </c>
    </row>
    <row r="41" spans="1:21" x14ac:dyDescent="0.25">
      <c r="A41">
        <v>1000</v>
      </c>
      <c r="B41">
        <v>1891.3476559999999</v>
      </c>
      <c r="C41">
        <v>-9.8689719999999994</v>
      </c>
      <c r="D41" t="s">
        <v>501</v>
      </c>
      <c r="E41">
        <f t="shared" si="0"/>
        <v>407.34765599999992</v>
      </c>
      <c r="F41">
        <f t="shared" si="2"/>
        <v>1.6433459999998945</v>
      </c>
      <c r="G41">
        <v>390</v>
      </c>
      <c r="H41">
        <f t="shared" si="3"/>
        <v>0.49673440726746959</v>
      </c>
      <c r="I41">
        <f t="shared" si="4"/>
        <v>7.5450448994601702</v>
      </c>
      <c r="S41" t="s">
        <v>2</v>
      </c>
      <c r="T41">
        <f>1/ABS(T40)</f>
        <v>78.740157480314963</v>
      </c>
      <c r="U41" s="3" t="s">
        <v>3</v>
      </c>
    </row>
    <row r="42" spans="1:21" x14ac:dyDescent="0.25">
      <c r="A42">
        <v>1000</v>
      </c>
      <c r="B42">
        <v>1890.8145750000001</v>
      </c>
      <c r="C42">
        <v>-9.8305179999999996</v>
      </c>
      <c r="D42" t="s">
        <v>502</v>
      </c>
      <c r="E42">
        <f t="shared" si="0"/>
        <v>406.8145750000001</v>
      </c>
      <c r="F42">
        <f t="shared" si="2"/>
        <v>1.1102650000000835</v>
      </c>
      <c r="G42">
        <v>400</v>
      </c>
      <c r="H42">
        <f t="shared" si="3"/>
        <v>0.10459872556949899</v>
      </c>
      <c r="I42">
        <f t="shared" si="4"/>
        <v>7.544763007266778</v>
      </c>
      <c r="T42">
        <f>T41/60</f>
        <v>1.3123359580052494</v>
      </c>
      <c r="U42" s="3" t="s">
        <v>4</v>
      </c>
    </row>
    <row r="43" spans="1:21" x14ac:dyDescent="0.25">
      <c r="A43">
        <v>1000</v>
      </c>
      <c r="B43">
        <v>1889.5251459999999</v>
      </c>
      <c r="C43">
        <v>-9.6946650000000005</v>
      </c>
      <c r="D43" t="s">
        <v>503</v>
      </c>
      <c r="E43">
        <f t="shared" si="0"/>
        <v>405.52514599999995</v>
      </c>
      <c r="F43">
        <f t="shared" si="2"/>
        <v>-0.17916400000007116</v>
      </c>
      <c r="G43">
        <v>410</v>
      </c>
      <c r="H43" t="e">
        <f t="shared" si="3"/>
        <v>#NUM!</v>
      </c>
      <c r="I43">
        <f t="shared" si="4"/>
        <v>7.5440808309836038</v>
      </c>
      <c r="T43">
        <f>T42/60</f>
        <v>2.1872265966754158E-2</v>
      </c>
      <c r="U43" s="3" t="s">
        <v>5</v>
      </c>
    </row>
    <row r="44" spans="1:21" x14ac:dyDescent="0.25">
      <c r="A44">
        <v>1000</v>
      </c>
      <c r="B44">
        <v>1888.578125</v>
      </c>
      <c r="C44">
        <v>-9.6491209999999992</v>
      </c>
      <c r="D44" t="s">
        <v>504</v>
      </c>
      <c r="E44">
        <f t="shared" si="0"/>
        <v>404.578125</v>
      </c>
      <c r="F44">
        <f t="shared" si="2"/>
        <v>-1.1261850000000209</v>
      </c>
      <c r="G44">
        <v>420</v>
      </c>
      <c r="H44" t="e">
        <f t="shared" si="3"/>
        <v>#NUM!</v>
      </c>
      <c r="I44">
        <f t="shared" si="4"/>
        <v>7.5435795101080716</v>
      </c>
    </row>
    <row r="45" spans="1:21" x14ac:dyDescent="0.25">
      <c r="A45">
        <v>1000</v>
      </c>
      <c r="B45">
        <v>1887.4388429999999</v>
      </c>
      <c r="C45">
        <v>-9.5603560000000005</v>
      </c>
      <c r="D45" t="s">
        <v>505</v>
      </c>
      <c r="E45">
        <f t="shared" si="0"/>
        <v>403.43884299999991</v>
      </c>
      <c r="F45">
        <f t="shared" si="2"/>
        <v>-2.2654670000001147</v>
      </c>
      <c r="G45">
        <v>430</v>
      </c>
      <c r="H45" t="e">
        <f t="shared" si="3"/>
        <v>#NUM!</v>
      </c>
      <c r="I45">
        <f t="shared" si="4"/>
        <v>7.5429760795386516</v>
      </c>
    </row>
    <row r="46" spans="1:21" x14ac:dyDescent="0.25">
      <c r="A46">
        <v>1000</v>
      </c>
      <c r="B46">
        <v>1889.9104</v>
      </c>
      <c r="C46">
        <v>-9.757517</v>
      </c>
      <c r="D46" t="s">
        <v>506</v>
      </c>
      <c r="E46">
        <f t="shared" si="0"/>
        <v>405.91039999999998</v>
      </c>
      <c r="F46">
        <f t="shared" si="2"/>
        <v>0.20608999999996058</v>
      </c>
      <c r="G46">
        <v>440</v>
      </c>
      <c r="H46">
        <f t="shared" si="3"/>
        <v>-1.5794423123989112</v>
      </c>
      <c r="I46">
        <f t="shared" si="4"/>
        <v>7.5442846995225139</v>
      </c>
    </row>
    <row r="47" spans="1:21" x14ac:dyDescent="0.25">
      <c r="A47">
        <v>1000</v>
      </c>
      <c r="B47">
        <v>1889.3295900000001</v>
      </c>
      <c r="C47">
        <v>-9.6900209999999998</v>
      </c>
      <c r="D47" t="s">
        <v>507</v>
      </c>
      <c r="E47">
        <f t="shared" si="0"/>
        <v>405.32959000000005</v>
      </c>
      <c r="F47">
        <f t="shared" si="2"/>
        <v>-0.37471999999996797</v>
      </c>
      <c r="G47">
        <v>450</v>
      </c>
      <c r="H47" t="e">
        <f t="shared" si="3"/>
        <v>#NUM!</v>
      </c>
      <c r="I47">
        <f t="shared" si="4"/>
        <v>7.5439773308419804</v>
      </c>
    </row>
    <row r="48" spans="1:21" x14ac:dyDescent="0.25">
      <c r="A48">
        <v>1000</v>
      </c>
      <c r="B48">
        <v>1887.673706</v>
      </c>
      <c r="C48">
        <v>-9.5366280000000003</v>
      </c>
      <c r="D48" t="s">
        <v>508</v>
      </c>
      <c r="E48">
        <f t="shared" si="0"/>
        <v>403.67370600000004</v>
      </c>
      <c r="F48">
        <f t="shared" si="2"/>
        <v>-2.0306039999999825</v>
      </c>
      <c r="G48">
        <v>460</v>
      </c>
      <c r="H48" t="e">
        <f t="shared" si="3"/>
        <v>#NUM!</v>
      </c>
      <c r="I48">
        <f t="shared" si="4"/>
        <v>7.5431005065575834</v>
      </c>
    </row>
    <row r="49" spans="1:9" x14ac:dyDescent="0.25">
      <c r="A49">
        <v>1000</v>
      </c>
      <c r="B49">
        <v>1886.7810059999999</v>
      </c>
      <c r="C49">
        <v>-9.4585319999999999</v>
      </c>
      <c r="D49" t="s">
        <v>509</v>
      </c>
      <c r="E49">
        <f t="shared" si="0"/>
        <v>402.78100599999993</v>
      </c>
      <c r="F49">
        <f t="shared" si="2"/>
        <v>-2.9233040000000869</v>
      </c>
      <c r="G49">
        <v>470</v>
      </c>
      <c r="H49" t="e">
        <f t="shared" si="3"/>
        <v>#NUM!</v>
      </c>
      <c r="I49">
        <f t="shared" si="4"/>
        <v>7.542627484579703</v>
      </c>
    </row>
    <row r="50" spans="1:9" x14ac:dyDescent="0.25">
      <c r="A50">
        <v>1000</v>
      </c>
      <c r="B50">
        <v>1885.7226559999999</v>
      </c>
      <c r="C50">
        <v>-9.3964320000000008</v>
      </c>
      <c r="D50" t="s">
        <v>510</v>
      </c>
      <c r="E50">
        <f t="shared" si="0"/>
        <v>401.72265599999992</v>
      </c>
      <c r="F50">
        <f t="shared" si="2"/>
        <v>-3.9816540000001055</v>
      </c>
      <c r="G50">
        <v>480</v>
      </c>
      <c r="H50" t="e">
        <f t="shared" si="3"/>
        <v>#NUM!</v>
      </c>
      <c r="I50">
        <f t="shared" si="4"/>
        <v>7.5420663982971758</v>
      </c>
    </row>
    <row r="51" spans="1:9" x14ac:dyDescent="0.25">
      <c r="A51">
        <v>1000</v>
      </c>
      <c r="B51">
        <v>1885.6207280000001</v>
      </c>
      <c r="C51">
        <v>-9.3538929999999993</v>
      </c>
      <c r="D51" t="s">
        <v>511</v>
      </c>
      <c r="E51">
        <f t="shared" si="0"/>
        <v>401.6207280000001</v>
      </c>
      <c r="F51">
        <f t="shared" si="2"/>
        <v>-4.0835819999999217</v>
      </c>
      <c r="G51">
        <v>490</v>
      </c>
      <c r="H51" t="e">
        <f t="shared" si="3"/>
        <v>#NUM!</v>
      </c>
      <c r="I51">
        <f t="shared" si="4"/>
        <v>7.5420123443489429</v>
      </c>
    </row>
    <row r="52" spans="1:9" x14ac:dyDescent="0.25">
      <c r="A52">
        <v>1000</v>
      </c>
      <c r="B52">
        <v>1884.159302</v>
      </c>
      <c r="C52">
        <v>-9.2907829999999993</v>
      </c>
      <c r="D52" t="s">
        <v>512</v>
      </c>
      <c r="E52">
        <f t="shared" si="0"/>
        <v>400.15930200000003</v>
      </c>
      <c r="F52">
        <f t="shared" si="2"/>
        <v>-5.5450079999999957</v>
      </c>
      <c r="G52">
        <v>500</v>
      </c>
      <c r="H52" t="e">
        <f t="shared" si="3"/>
        <v>#NUM!</v>
      </c>
      <c r="I52">
        <f t="shared" si="4"/>
        <v>7.5412370067634171</v>
      </c>
    </row>
    <row r="53" spans="1:9" x14ac:dyDescent="0.25">
      <c r="A53">
        <v>1000</v>
      </c>
      <c r="B53">
        <v>1884.4642329999999</v>
      </c>
      <c r="C53">
        <v>-9.2602379999999993</v>
      </c>
      <c r="D53" t="s">
        <v>513</v>
      </c>
      <c r="E53">
        <f t="shared" si="0"/>
        <v>400.46423299999992</v>
      </c>
      <c r="F53">
        <f t="shared" si="2"/>
        <v>-5.2400770000000989</v>
      </c>
      <c r="G53">
        <v>510</v>
      </c>
      <c r="H53" t="e">
        <f t="shared" si="3"/>
        <v>#NUM!</v>
      </c>
      <c r="I53">
        <f t="shared" si="4"/>
        <v>7.5413988329568982</v>
      </c>
    </row>
    <row r="54" spans="1:9" x14ac:dyDescent="0.25">
      <c r="A54">
        <v>1000</v>
      </c>
      <c r="B54">
        <v>1883.497192</v>
      </c>
      <c r="C54">
        <v>-9.2208690000000004</v>
      </c>
      <c r="D54" t="s">
        <v>514</v>
      </c>
      <c r="E54">
        <f t="shared" si="0"/>
        <v>399.49719200000004</v>
      </c>
      <c r="F54">
        <f t="shared" si="2"/>
        <v>-6.2071179999999799</v>
      </c>
      <c r="G54">
        <v>520</v>
      </c>
      <c r="H54" t="e">
        <f t="shared" si="3"/>
        <v>#NUM!</v>
      </c>
      <c r="I54">
        <f t="shared" si="4"/>
        <v>7.5408855362894665</v>
      </c>
    </row>
    <row r="55" spans="1:9" x14ac:dyDescent="0.25">
      <c r="A55">
        <v>1000</v>
      </c>
      <c r="B55">
        <v>1883.4600829999999</v>
      </c>
      <c r="C55">
        <v>-9.1927559999999993</v>
      </c>
      <c r="D55" t="s">
        <v>515</v>
      </c>
      <c r="E55">
        <f t="shared" si="0"/>
        <v>399.46008299999994</v>
      </c>
      <c r="F55">
        <f t="shared" si="2"/>
        <v>-6.2442270000000804</v>
      </c>
      <c r="G55">
        <v>530</v>
      </c>
      <c r="H55" t="e">
        <f t="shared" si="3"/>
        <v>#NUM!</v>
      </c>
      <c r="I55">
        <f t="shared" si="4"/>
        <v>7.5408658339157508</v>
      </c>
    </row>
    <row r="56" spans="1:9" x14ac:dyDescent="0.25">
      <c r="A56">
        <v>1000</v>
      </c>
      <c r="B56">
        <v>1883.2460940000001</v>
      </c>
      <c r="C56">
        <v>-9.1682889999999997</v>
      </c>
      <c r="D56" t="s">
        <v>516</v>
      </c>
      <c r="E56">
        <f t="shared" si="0"/>
        <v>399.24609400000008</v>
      </c>
      <c r="F56">
        <f t="shared" si="2"/>
        <v>-6.4582159999999362</v>
      </c>
      <c r="G56">
        <v>540</v>
      </c>
      <c r="H56" t="e">
        <f t="shared" si="3"/>
        <v>#NUM!</v>
      </c>
      <c r="I56">
        <f t="shared" si="4"/>
        <v>7.5407522126295792</v>
      </c>
    </row>
    <row r="57" spans="1:9" x14ac:dyDescent="0.25">
      <c r="A57">
        <v>1000</v>
      </c>
      <c r="B57">
        <v>1883.4233400000001</v>
      </c>
      <c r="C57">
        <v>-9.1646560000000008</v>
      </c>
      <c r="D57" t="s">
        <v>517</v>
      </c>
      <c r="E57">
        <f t="shared" si="0"/>
        <v>399.42334000000005</v>
      </c>
      <c r="F57">
        <f t="shared" si="2"/>
        <v>-6.280969999999968</v>
      </c>
      <c r="G57">
        <v>550</v>
      </c>
      <c r="H57" t="e">
        <f t="shared" si="3"/>
        <v>#NUM!</v>
      </c>
      <c r="I57">
        <f t="shared" si="4"/>
        <v>7.5408463254808584</v>
      </c>
    </row>
    <row r="58" spans="1:9" x14ac:dyDescent="0.25">
      <c r="A58">
        <v>1000</v>
      </c>
      <c r="B58">
        <v>1883.15625</v>
      </c>
      <c r="C58">
        <v>-9.1440830000000002</v>
      </c>
      <c r="D58" t="s">
        <v>518</v>
      </c>
      <c r="E58">
        <f t="shared" si="0"/>
        <v>399.15625</v>
      </c>
      <c r="F58">
        <f t="shared" si="2"/>
        <v>-6.5480600000000209</v>
      </c>
      <c r="G58">
        <v>560</v>
      </c>
      <c r="H58" t="e">
        <f t="shared" si="3"/>
        <v>#NUM!</v>
      </c>
      <c r="I58">
        <f t="shared" si="4"/>
        <v>7.5407045045029317</v>
      </c>
    </row>
    <row r="59" spans="1:9" x14ac:dyDescent="0.25">
      <c r="A59">
        <v>1000</v>
      </c>
      <c r="B59">
        <v>1882.8479</v>
      </c>
      <c r="C59">
        <v>-9.1115860000000009</v>
      </c>
      <c r="D59" t="s">
        <v>519</v>
      </c>
      <c r="E59">
        <f t="shared" si="0"/>
        <v>398.84789999999998</v>
      </c>
      <c r="F59">
        <f t="shared" si="2"/>
        <v>-6.8564100000000394</v>
      </c>
      <c r="G59">
        <v>570</v>
      </c>
      <c r="H59" t="e">
        <f t="shared" si="3"/>
        <v>#NUM!</v>
      </c>
      <c r="I59">
        <f t="shared" si="4"/>
        <v>7.5405407500361772</v>
      </c>
    </row>
    <row r="60" spans="1:9" x14ac:dyDescent="0.25">
      <c r="A60">
        <v>1000</v>
      </c>
      <c r="B60">
        <v>1882.6429439999999</v>
      </c>
      <c r="C60">
        <v>-9.0943869999999993</v>
      </c>
      <c r="D60" t="s">
        <v>520</v>
      </c>
      <c r="E60">
        <f t="shared" si="0"/>
        <v>398.64294399999994</v>
      </c>
      <c r="F60">
        <f t="shared" si="2"/>
        <v>-7.0613660000000777</v>
      </c>
      <c r="G60">
        <v>580</v>
      </c>
      <c r="H60" t="e">
        <f t="shared" si="3"/>
        <v>#NUM!</v>
      </c>
      <c r="I60">
        <f t="shared" si="4"/>
        <v>7.5404318898590086</v>
      </c>
    </row>
    <row r="61" spans="1:9" x14ac:dyDescent="0.25">
      <c r="A61">
        <v>1000</v>
      </c>
      <c r="B61">
        <v>1882.3713379999999</v>
      </c>
      <c r="C61">
        <v>-9.0899889999999992</v>
      </c>
      <c r="D61" t="s">
        <v>521</v>
      </c>
      <c r="E61">
        <f t="shared" si="0"/>
        <v>398.37133799999992</v>
      </c>
      <c r="F61">
        <f t="shared" si="2"/>
        <v>-7.3329720000000975</v>
      </c>
      <c r="G61">
        <v>590</v>
      </c>
      <c r="H61" t="e">
        <f t="shared" si="3"/>
        <v>#NUM!</v>
      </c>
      <c r="I61">
        <f t="shared" si="4"/>
        <v>7.5402876109903891</v>
      </c>
    </row>
    <row r="62" spans="1:9" x14ac:dyDescent="0.25">
      <c r="A62">
        <v>1000</v>
      </c>
      <c r="B62">
        <v>1882.1575929999999</v>
      </c>
      <c r="C62">
        <v>-9.0765740000000008</v>
      </c>
      <c r="D62" t="s">
        <v>522</v>
      </c>
      <c r="E62">
        <f t="shared" si="0"/>
        <v>398.15759299999991</v>
      </c>
      <c r="F62">
        <f t="shared" si="2"/>
        <v>-7.5467170000001147</v>
      </c>
      <c r="G62">
        <v>600</v>
      </c>
      <c r="H62" t="e">
        <f t="shared" si="3"/>
        <v>#NUM!</v>
      </c>
      <c r="I62">
        <f t="shared" si="4"/>
        <v>7.5401740536215138</v>
      </c>
    </row>
    <row r="63" spans="1:9" x14ac:dyDescent="0.25">
      <c r="A63">
        <v>1000</v>
      </c>
      <c r="B63">
        <v>1882.6070560000001</v>
      </c>
      <c r="C63">
        <v>-9.0662739999999999</v>
      </c>
      <c r="D63" t="s">
        <v>523</v>
      </c>
      <c r="E63">
        <f t="shared" si="0"/>
        <v>398.60705600000006</v>
      </c>
      <c r="F63">
        <f t="shared" si="2"/>
        <v>-7.097253999999964</v>
      </c>
      <c r="G63">
        <v>610</v>
      </c>
      <c r="H63" t="e">
        <f t="shared" si="3"/>
        <v>#NUM!</v>
      </c>
      <c r="I63">
        <f t="shared" si="4"/>
        <v>7.5404128271141699</v>
      </c>
    </row>
    <row r="64" spans="1:9" x14ac:dyDescent="0.25">
      <c r="A64">
        <v>1000</v>
      </c>
      <c r="B64">
        <v>1882.6401370000001</v>
      </c>
      <c r="C64">
        <v>-9.0819840000000003</v>
      </c>
      <c r="D64" t="s">
        <v>524</v>
      </c>
      <c r="E64">
        <f t="shared" si="0"/>
        <v>398.6401370000001</v>
      </c>
      <c r="F64">
        <f t="shared" si="2"/>
        <v>-7.0641729999999257</v>
      </c>
      <c r="G64">
        <v>620</v>
      </c>
      <c r="H64" t="e">
        <f t="shared" si="3"/>
        <v>#NUM!</v>
      </c>
      <c r="I64">
        <f t="shared" si="4"/>
        <v>7.5404303988688541</v>
      </c>
    </row>
    <row r="65" spans="1:9" x14ac:dyDescent="0.25">
      <c r="A65">
        <v>1000</v>
      </c>
      <c r="B65">
        <v>1882.5462649999999</v>
      </c>
      <c r="C65">
        <v>-9.0629010000000001</v>
      </c>
      <c r="D65" t="s">
        <v>525</v>
      </c>
      <c r="E65">
        <f t="shared" si="0"/>
        <v>398.54626499999995</v>
      </c>
      <c r="F65">
        <f t="shared" si="2"/>
        <v>-7.1580450000000724</v>
      </c>
      <c r="G65">
        <v>630</v>
      </c>
      <c r="H65" t="e">
        <f t="shared" si="3"/>
        <v>#NUM!</v>
      </c>
      <c r="I65">
        <f t="shared" si="4"/>
        <v>7.5403805357332763</v>
      </c>
    </row>
    <row r="66" spans="1:9" x14ac:dyDescent="0.25">
      <c r="A66">
        <v>1000</v>
      </c>
      <c r="B66">
        <v>1882.997803</v>
      </c>
      <c r="C66">
        <v>-9.0871329999999997</v>
      </c>
      <c r="D66" t="s">
        <v>526</v>
      </c>
      <c r="E66">
        <f t="shared" ref="E66:E129" si="5">B66-$P$3</f>
        <v>398.99780299999998</v>
      </c>
      <c r="F66">
        <f t="shared" si="2"/>
        <v>-6.7065070000000446</v>
      </c>
      <c r="G66">
        <v>640</v>
      </c>
      <c r="H66" t="e">
        <f t="shared" si="3"/>
        <v>#NUM!</v>
      </c>
      <c r="I66">
        <f t="shared" ref="I66:I97" si="6">LN(B66)</f>
        <v>7.5406203619012935</v>
      </c>
    </row>
    <row r="67" spans="1:9" x14ac:dyDescent="0.25">
      <c r="A67">
        <v>1000</v>
      </c>
      <c r="B67">
        <v>1884.780518</v>
      </c>
      <c r="C67">
        <v>-9.2359089999999995</v>
      </c>
      <c r="D67" t="s">
        <v>527</v>
      </c>
      <c r="E67">
        <f t="shared" si="5"/>
        <v>400.78051800000003</v>
      </c>
      <c r="F67">
        <f t="shared" ref="F67:F130" si="7">E67-$R$3</f>
        <v>-4.9237919999999917</v>
      </c>
      <c r="G67">
        <v>650</v>
      </c>
      <c r="H67" t="e">
        <f t="shared" ref="H67:H130" si="8">LN(F67)</f>
        <v>#NUM!</v>
      </c>
      <c r="I67">
        <f t="shared" si="6"/>
        <v>7.5415666570286346</v>
      </c>
    </row>
    <row r="68" spans="1:9" x14ac:dyDescent="0.25">
      <c r="A68">
        <v>1000</v>
      </c>
      <c r="B68">
        <v>1886.3352050000001</v>
      </c>
      <c r="C68">
        <v>-9.3627450000000003</v>
      </c>
      <c r="D68" t="s">
        <v>528</v>
      </c>
      <c r="E68">
        <f t="shared" si="5"/>
        <v>402.33520500000009</v>
      </c>
      <c r="F68">
        <f t="shared" si="7"/>
        <v>-3.3691049999999336</v>
      </c>
      <c r="G68">
        <v>660</v>
      </c>
      <c r="H68" t="e">
        <f t="shared" si="8"/>
        <v>#NUM!</v>
      </c>
      <c r="I68">
        <f t="shared" si="6"/>
        <v>7.5423911806986963</v>
      </c>
    </row>
    <row r="69" spans="1:9" x14ac:dyDescent="0.25">
      <c r="A69">
        <v>1000</v>
      </c>
      <c r="B69">
        <v>1887.4335940000001</v>
      </c>
      <c r="C69">
        <v>-9.4418939999999996</v>
      </c>
      <c r="D69" t="s">
        <v>529</v>
      </c>
      <c r="E69">
        <f t="shared" si="5"/>
        <v>403.43359400000008</v>
      </c>
      <c r="F69">
        <f t="shared" si="7"/>
        <v>-2.2707159999999362</v>
      </c>
      <c r="G69">
        <v>670</v>
      </c>
      <c r="H69" t="e">
        <f t="shared" si="8"/>
        <v>#NUM!</v>
      </c>
      <c r="I69">
        <f t="shared" si="6"/>
        <v>7.5429732985175244</v>
      </c>
    </row>
    <row r="70" spans="1:9" x14ac:dyDescent="0.25">
      <c r="A70">
        <v>1000</v>
      </c>
      <c r="B70">
        <v>1887.7398679999999</v>
      </c>
      <c r="C70">
        <v>-9.4559909999999991</v>
      </c>
      <c r="D70" t="s">
        <v>530</v>
      </c>
      <c r="E70">
        <f t="shared" si="5"/>
        <v>403.73986799999989</v>
      </c>
      <c r="F70">
        <f t="shared" si="7"/>
        <v>-1.9644420000001332</v>
      </c>
      <c r="G70">
        <v>680</v>
      </c>
      <c r="H70" t="e">
        <f t="shared" si="8"/>
        <v>#NUM!</v>
      </c>
      <c r="I70">
        <f t="shared" si="6"/>
        <v>7.543135555433004</v>
      </c>
    </row>
    <row r="71" spans="1:9" x14ac:dyDescent="0.25">
      <c r="A71">
        <v>1000</v>
      </c>
      <c r="B71">
        <v>1888.7463379999999</v>
      </c>
      <c r="C71">
        <v>-9.5159870000000009</v>
      </c>
      <c r="D71" t="s">
        <v>531</v>
      </c>
      <c r="E71">
        <f t="shared" si="5"/>
        <v>404.74633799999992</v>
      </c>
      <c r="F71">
        <f t="shared" si="7"/>
        <v>-0.95797200000009752</v>
      </c>
      <c r="G71">
        <v>690</v>
      </c>
      <c r="H71" t="e">
        <f t="shared" si="8"/>
        <v>#NUM!</v>
      </c>
      <c r="I71">
        <f t="shared" si="6"/>
        <v>7.5436685747366248</v>
      </c>
    </row>
    <row r="72" spans="1:9" x14ac:dyDescent="0.25">
      <c r="A72">
        <v>1000</v>
      </c>
      <c r="B72">
        <v>1889.3912350000001</v>
      </c>
      <c r="C72">
        <v>-9.5709020000000002</v>
      </c>
      <c r="D72" t="s">
        <v>532</v>
      </c>
      <c r="E72">
        <f t="shared" si="5"/>
        <v>405.39123500000005</v>
      </c>
      <c r="F72">
        <f t="shared" si="7"/>
        <v>-0.31307499999996935</v>
      </c>
      <c r="G72">
        <v>700</v>
      </c>
      <c r="H72" t="e">
        <f t="shared" si="8"/>
        <v>#NUM!</v>
      </c>
      <c r="I72">
        <f t="shared" si="6"/>
        <v>7.5440099582854252</v>
      </c>
    </row>
    <row r="73" spans="1:9" x14ac:dyDescent="0.25">
      <c r="A73">
        <v>1000</v>
      </c>
      <c r="B73">
        <v>1889.909058</v>
      </c>
      <c r="C73">
        <v>-9.5860109999999992</v>
      </c>
      <c r="D73" t="s">
        <v>533</v>
      </c>
      <c r="E73">
        <f t="shared" si="5"/>
        <v>405.90905799999996</v>
      </c>
      <c r="F73">
        <f t="shared" si="7"/>
        <v>0.2047479999999382</v>
      </c>
      <c r="G73">
        <v>710</v>
      </c>
      <c r="H73">
        <f t="shared" si="8"/>
        <v>-1.5859753243067354</v>
      </c>
      <c r="I73">
        <f t="shared" si="6"/>
        <v>7.5442839894356881</v>
      </c>
    </row>
    <row r="74" spans="1:9" x14ac:dyDescent="0.25">
      <c r="A74">
        <v>1000</v>
      </c>
      <c r="B74">
        <v>1888.2116699999999</v>
      </c>
      <c r="C74">
        <v>-9.4701160000000009</v>
      </c>
      <c r="D74" t="s">
        <v>534</v>
      </c>
      <c r="E74">
        <f t="shared" si="5"/>
        <v>404.21166999999991</v>
      </c>
      <c r="F74">
        <f t="shared" si="7"/>
        <v>-1.4926400000001081</v>
      </c>
      <c r="G74">
        <v>720</v>
      </c>
      <c r="H74" t="e">
        <f t="shared" si="8"/>
        <v>#NUM!</v>
      </c>
      <c r="I74">
        <f t="shared" si="6"/>
        <v>7.5433854537686722</v>
      </c>
    </row>
    <row r="75" spans="1:9" x14ac:dyDescent="0.25">
      <c r="A75">
        <v>1000</v>
      </c>
      <c r="B75">
        <v>1886.7022710000001</v>
      </c>
      <c r="C75">
        <v>-9.2948939999999993</v>
      </c>
      <c r="D75" t="s">
        <v>535</v>
      </c>
      <c r="E75">
        <f t="shared" si="5"/>
        <v>402.70227100000011</v>
      </c>
      <c r="F75">
        <f t="shared" si="7"/>
        <v>-3.0020389999999111</v>
      </c>
      <c r="G75">
        <v>730</v>
      </c>
      <c r="H75" t="e">
        <f t="shared" si="8"/>
        <v>#NUM!</v>
      </c>
      <c r="I75">
        <f t="shared" si="6"/>
        <v>7.5425857539058239</v>
      </c>
    </row>
    <row r="76" spans="1:9" x14ac:dyDescent="0.25">
      <c r="A76">
        <v>1000</v>
      </c>
      <c r="B76">
        <v>1885.155518</v>
      </c>
      <c r="C76">
        <v>-9.1915119999999995</v>
      </c>
      <c r="D76" t="s">
        <v>536</v>
      </c>
      <c r="E76">
        <f t="shared" si="5"/>
        <v>401.15551800000003</v>
      </c>
      <c r="F76">
        <f t="shared" si="7"/>
        <v>-4.5487919999999917</v>
      </c>
      <c r="G76">
        <v>740</v>
      </c>
      <c r="H76" t="e">
        <f t="shared" si="8"/>
        <v>#NUM!</v>
      </c>
      <c r="I76">
        <f t="shared" si="6"/>
        <v>7.5417655993967045</v>
      </c>
    </row>
    <row r="77" spans="1:9" x14ac:dyDescent="0.25">
      <c r="A77">
        <v>1000</v>
      </c>
      <c r="B77">
        <v>1884.5428469999999</v>
      </c>
      <c r="C77">
        <v>-9.0993320000000004</v>
      </c>
      <c r="D77" t="s">
        <v>537</v>
      </c>
      <c r="E77">
        <f t="shared" si="5"/>
        <v>400.54284699999994</v>
      </c>
      <c r="F77">
        <f t="shared" si="7"/>
        <v>-5.161463000000083</v>
      </c>
      <c r="G77">
        <v>750</v>
      </c>
      <c r="H77" t="e">
        <f t="shared" si="8"/>
        <v>#NUM!</v>
      </c>
      <c r="I77">
        <f t="shared" si="6"/>
        <v>7.5414405489836085</v>
      </c>
    </row>
    <row r="78" spans="1:9" x14ac:dyDescent="0.25">
      <c r="A78">
        <v>1000</v>
      </c>
      <c r="B78">
        <v>1883.7576899999999</v>
      </c>
      <c r="C78">
        <v>-9.056343</v>
      </c>
      <c r="D78" t="s">
        <v>538</v>
      </c>
      <c r="E78">
        <f t="shared" si="5"/>
        <v>399.75768999999991</v>
      </c>
      <c r="F78">
        <f t="shared" si="7"/>
        <v>-5.9466200000001095</v>
      </c>
      <c r="G78">
        <v>760</v>
      </c>
      <c r="H78" t="e">
        <f t="shared" si="8"/>
        <v>#NUM!</v>
      </c>
      <c r="I78">
        <f t="shared" si="6"/>
        <v>7.5410238322150533</v>
      </c>
    </row>
    <row r="79" spans="1:9" x14ac:dyDescent="0.25">
      <c r="A79">
        <v>1000</v>
      </c>
      <c r="B79">
        <v>1883.457275</v>
      </c>
      <c r="C79">
        <v>-8.9966200000000001</v>
      </c>
      <c r="D79" t="s">
        <v>539</v>
      </c>
      <c r="E79">
        <f t="shared" si="5"/>
        <v>399.45727499999998</v>
      </c>
      <c r="F79">
        <f t="shared" si="7"/>
        <v>-6.2470350000000394</v>
      </c>
      <c r="G79">
        <v>770</v>
      </c>
      <c r="H79" t="e">
        <f t="shared" si="8"/>
        <v>#NUM!</v>
      </c>
      <c r="I79">
        <f t="shared" si="6"/>
        <v>7.540864343041525</v>
      </c>
    </row>
    <row r="80" spans="1:9" x14ac:dyDescent="0.25">
      <c r="A80">
        <v>1000</v>
      </c>
      <c r="B80">
        <v>1883.1243899999999</v>
      </c>
      <c r="C80">
        <v>-8.9543680000000005</v>
      </c>
      <c r="D80" t="s">
        <v>540</v>
      </c>
      <c r="E80">
        <f t="shared" si="5"/>
        <v>399.12438999999995</v>
      </c>
      <c r="F80">
        <f t="shared" si="7"/>
        <v>-6.5799200000000724</v>
      </c>
      <c r="G80">
        <v>780</v>
      </c>
      <c r="H80" t="e">
        <f t="shared" si="8"/>
        <v>#NUM!</v>
      </c>
      <c r="I80">
        <f t="shared" si="6"/>
        <v>7.540687585954875</v>
      </c>
    </row>
    <row r="81" spans="1:9" x14ac:dyDescent="0.25">
      <c r="A81">
        <v>1000</v>
      </c>
      <c r="B81">
        <v>1882.7341309999999</v>
      </c>
      <c r="C81">
        <v>-8.9335090000000008</v>
      </c>
      <c r="D81" t="s">
        <v>541</v>
      </c>
      <c r="E81">
        <f t="shared" si="5"/>
        <v>398.73413099999993</v>
      </c>
      <c r="F81">
        <f t="shared" si="7"/>
        <v>-6.9701790000000869</v>
      </c>
      <c r="G81">
        <v>790</v>
      </c>
      <c r="H81" t="e">
        <f t="shared" si="8"/>
        <v>#NUM!</v>
      </c>
      <c r="I81">
        <f t="shared" si="6"/>
        <v>7.5404803243176035</v>
      </c>
    </row>
    <row r="82" spans="1:9" x14ac:dyDescent="0.25">
      <c r="A82">
        <v>1000</v>
      </c>
      <c r="B82">
        <v>1883.9133300000001</v>
      </c>
      <c r="C82">
        <v>-8.9922339999999998</v>
      </c>
      <c r="D82" t="s">
        <v>542</v>
      </c>
      <c r="E82">
        <f t="shared" si="5"/>
        <v>399.91333000000009</v>
      </c>
      <c r="F82">
        <f t="shared" si="7"/>
        <v>-5.7909799999999336</v>
      </c>
      <c r="G82">
        <v>800</v>
      </c>
      <c r="H82" t="e">
        <f t="shared" si="8"/>
        <v>#NUM!</v>
      </c>
      <c r="I82">
        <f t="shared" si="6"/>
        <v>7.541106450893416</v>
      </c>
    </row>
    <row r="83" spans="1:9" x14ac:dyDescent="0.25">
      <c r="A83">
        <v>1000</v>
      </c>
      <c r="B83">
        <v>1885.3466800000001</v>
      </c>
      <c r="C83">
        <v>-9.1149730000000009</v>
      </c>
      <c r="D83" t="s">
        <v>543</v>
      </c>
      <c r="E83">
        <f t="shared" si="5"/>
        <v>401.34668000000011</v>
      </c>
      <c r="F83">
        <f t="shared" si="7"/>
        <v>-4.3576299999999151</v>
      </c>
      <c r="G83">
        <v>810</v>
      </c>
      <c r="H83" t="e">
        <f t="shared" si="8"/>
        <v>#NUM!</v>
      </c>
      <c r="I83">
        <f t="shared" si="6"/>
        <v>7.5418669980911623</v>
      </c>
    </row>
    <row r="84" spans="1:9" x14ac:dyDescent="0.25">
      <c r="A84">
        <v>1000</v>
      </c>
      <c r="B84">
        <v>1885.731567</v>
      </c>
      <c r="C84">
        <v>-9.1583590000000008</v>
      </c>
      <c r="D84" t="s">
        <v>544</v>
      </c>
      <c r="E84">
        <f t="shared" si="5"/>
        <v>401.73156700000004</v>
      </c>
      <c r="F84">
        <f t="shared" si="7"/>
        <v>-3.9727429999999799</v>
      </c>
      <c r="G84">
        <v>820</v>
      </c>
      <c r="H84" t="e">
        <f t="shared" si="8"/>
        <v>#NUM!</v>
      </c>
      <c r="I84">
        <f t="shared" si="6"/>
        <v>7.5420711237953384</v>
      </c>
    </row>
    <row r="85" spans="1:9" x14ac:dyDescent="0.25">
      <c r="A85">
        <v>1000</v>
      </c>
      <c r="B85">
        <v>1887.215942</v>
      </c>
      <c r="C85">
        <v>-9.207713</v>
      </c>
      <c r="D85" t="s">
        <v>545</v>
      </c>
      <c r="E85">
        <f t="shared" si="5"/>
        <v>403.21594200000004</v>
      </c>
      <c r="F85">
        <f t="shared" si="7"/>
        <v>-2.4883679999999799</v>
      </c>
      <c r="G85">
        <v>830</v>
      </c>
      <c r="H85" t="e">
        <f t="shared" si="8"/>
        <v>#NUM!</v>
      </c>
      <c r="I85">
        <f t="shared" si="6"/>
        <v>7.5428579754931402</v>
      </c>
    </row>
    <row r="86" spans="1:9" x14ac:dyDescent="0.25">
      <c r="A86">
        <v>1000</v>
      </c>
      <c r="B86">
        <v>1887.3350829999999</v>
      </c>
      <c r="C86">
        <v>-9.2241599999999995</v>
      </c>
      <c r="D86" t="s">
        <v>546</v>
      </c>
      <c r="E86">
        <f t="shared" si="5"/>
        <v>403.33508299999994</v>
      </c>
      <c r="F86">
        <f t="shared" si="7"/>
        <v>-2.3692270000000804</v>
      </c>
      <c r="G86">
        <v>840</v>
      </c>
      <c r="H86" t="e">
        <f t="shared" si="8"/>
        <v>#NUM!</v>
      </c>
      <c r="I86">
        <f t="shared" si="6"/>
        <v>7.5429211040608823</v>
      </c>
    </row>
    <row r="87" spans="1:9" x14ac:dyDescent="0.25">
      <c r="A87">
        <v>1000</v>
      </c>
      <c r="B87">
        <v>1887.3641359999999</v>
      </c>
      <c r="C87">
        <v>-9.2338869999999993</v>
      </c>
      <c r="D87" t="s">
        <v>547</v>
      </c>
      <c r="E87">
        <f t="shared" si="5"/>
        <v>403.36413599999992</v>
      </c>
      <c r="F87">
        <f t="shared" si="7"/>
        <v>-2.3401740000001041</v>
      </c>
      <c r="G87">
        <v>850</v>
      </c>
      <c r="H87" t="e">
        <f t="shared" si="8"/>
        <v>#NUM!</v>
      </c>
      <c r="I87">
        <f t="shared" si="6"/>
        <v>7.5429364976052762</v>
      </c>
    </row>
    <row r="88" spans="1:9" x14ac:dyDescent="0.25">
      <c r="A88">
        <v>1000</v>
      </c>
      <c r="B88">
        <v>1887.963135</v>
      </c>
      <c r="C88">
        <v>-9.2212650000000007</v>
      </c>
      <c r="D88" t="s">
        <v>548</v>
      </c>
      <c r="E88">
        <f t="shared" si="5"/>
        <v>403.96313499999997</v>
      </c>
      <c r="F88">
        <f t="shared" si="7"/>
        <v>-1.7411750000000552</v>
      </c>
      <c r="G88">
        <v>860</v>
      </c>
      <c r="H88" t="e">
        <f t="shared" si="8"/>
        <v>#NUM!</v>
      </c>
      <c r="I88">
        <f t="shared" si="6"/>
        <v>7.5432538205614224</v>
      </c>
    </row>
    <row r="89" spans="1:9" x14ac:dyDescent="0.25">
      <c r="A89">
        <v>1000</v>
      </c>
      <c r="B89">
        <v>1886.143188</v>
      </c>
      <c r="C89">
        <v>-9.0790869999999995</v>
      </c>
      <c r="D89" t="s">
        <v>549</v>
      </c>
      <c r="E89">
        <f t="shared" si="5"/>
        <v>402.14318800000001</v>
      </c>
      <c r="F89">
        <f t="shared" si="7"/>
        <v>-3.5611220000000117</v>
      </c>
      <c r="G89">
        <v>870</v>
      </c>
      <c r="H89" t="e">
        <f t="shared" si="8"/>
        <v>#NUM!</v>
      </c>
      <c r="I89">
        <f t="shared" si="6"/>
        <v>7.5422893818385512</v>
      </c>
    </row>
    <row r="90" spans="1:9" x14ac:dyDescent="0.25">
      <c r="A90">
        <v>1000</v>
      </c>
      <c r="B90">
        <v>1885.2703859999999</v>
      </c>
      <c r="C90">
        <v>-8.9898030000000002</v>
      </c>
      <c r="D90" t="s">
        <v>550</v>
      </c>
      <c r="E90">
        <f t="shared" si="5"/>
        <v>401.27038599999992</v>
      </c>
      <c r="F90">
        <f t="shared" si="7"/>
        <v>-4.4339240000001041</v>
      </c>
      <c r="G90">
        <v>880</v>
      </c>
      <c r="H90" t="e">
        <f t="shared" si="8"/>
        <v>#NUM!</v>
      </c>
      <c r="I90">
        <f t="shared" si="6"/>
        <v>7.5418265304442622</v>
      </c>
    </row>
    <row r="91" spans="1:9" x14ac:dyDescent="0.25">
      <c r="A91">
        <v>1000</v>
      </c>
      <c r="B91">
        <v>1885.088501</v>
      </c>
      <c r="C91">
        <v>-8.9231130000000007</v>
      </c>
      <c r="D91" t="s">
        <v>551</v>
      </c>
      <c r="E91">
        <f t="shared" si="5"/>
        <v>401.08850099999995</v>
      </c>
      <c r="F91">
        <f t="shared" si="7"/>
        <v>-4.6158090000000698</v>
      </c>
      <c r="G91">
        <v>890</v>
      </c>
      <c r="H91" t="e">
        <f t="shared" si="8"/>
        <v>#NUM!</v>
      </c>
      <c r="I91">
        <f t="shared" si="6"/>
        <v>7.5417300489126138</v>
      </c>
    </row>
    <row r="92" spans="1:9" x14ac:dyDescent="0.25">
      <c r="A92">
        <v>1000</v>
      </c>
      <c r="B92">
        <v>1884.393433</v>
      </c>
      <c r="C92">
        <v>-8.9264880000000009</v>
      </c>
      <c r="D92" t="s">
        <v>552</v>
      </c>
      <c r="E92">
        <f t="shared" si="5"/>
        <v>400.39343299999996</v>
      </c>
      <c r="F92">
        <f t="shared" si="7"/>
        <v>-5.3108770000000618</v>
      </c>
      <c r="G92">
        <v>900</v>
      </c>
      <c r="H92" t="e">
        <f t="shared" si="8"/>
        <v>#NUM!</v>
      </c>
      <c r="I92">
        <f t="shared" si="6"/>
        <v>7.5413612618909234</v>
      </c>
    </row>
    <row r="93" spans="1:9" x14ac:dyDescent="0.25">
      <c r="A93">
        <v>1000</v>
      </c>
      <c r="B93">
        <v>1884.0611570000001</v>
      </c>
      <c r="C93">
        <v>-8.8399629999999991</v>
      </c>
      <c r="D93" t="s">
        <v>553</v>
      </c>
      <c r="E93">
        <f t="shared" si="5"/>
        <v>400.06115700000009</v>
      </c>
      <c r="F93">
        <f t="shared" si="7"/>
        <v>-5.643152999999927</v>
      </c>
      <c r="G93">
        <v>910</v>
      </c>
      <c r="H93" t="e">
        <f t="shared" si="8"/>
        <v>#NUM!</v>
      </c>
      <c r="I93">
        <f t="shared" si="6"/>
        <v>7.5411849158621074</v>
      </c>
    </row>
    <row r="94" spans="1:9" x14ac:dyDescent="0.25">
      <c r="A94">
        <v>1000</v>
      </c>
      <c r="B94">
        <v>1884.9686280000001</v>
      </c>
      <c r="C94">
        <v>-8.8708489999999998</v>
      </c>
      <c r="D94" t="s">
        <v>554</v>
      </c>
      <c r="E94">
        <f t="shared" si="5"/>
        <v>400.96862800000008</v>
      </c>
      <c r="F94">
        <f t="shared" si="7"/>
        <v>-4.7356819999999402</v>
      </c>
      <c r="G94">
        <v>920</v>
      </c>
      <c r="H94" t="e">
        <f t="shared" si="8"/>
        <v>#NUM!</v>
      </c>
      <c r="I94">
        <f t="shared" si="6"/>
        <v>7.5416664567727931</v>
      </c>
    </row>
    <row r="95" spans="1:9" x14ac:dyDescent="0.25">
      <c r="A95">
        <v>1000</v>
      </c>
      <c r="B95">
        <v>1884.273682</v>
      </c>
      <c r="C95">
        <v>-8.8286519999999999</v>
      </c>
      <c r="D95" t="s">
        <v>555</v>
      </c>
      <c r="E95">
        <f t="shared" si="5"/>
        <v>400.27368200000001</v>
      </c>
      <c r="F95">
        <f t="shared" si="7"/>
        <v>-5.4306280000000129</v>
      </c>
      <c r="G95">
        <v>930</v>
      </c>
      <c r="H95" t="e">
        <f t="shared" si="8"/>
        <v>#NUM!</v>
      </c>
      <c r="I95">
        <f t="shared" si="6"/>
        <v>7.5412977110405111</v>
      </c>
    </row>
    <row r="96" spans="1:9" x14ac:dyDescent="0.25">
      <c r="A96">
        <v>1000</v>
      </c>
      <c r="B96">
        <v>1884.275024</v>
      </c>
      <c r="C96">
        <v>-8.7817830000000008</v>
      </c>
      <c r="D96" t="s">
        <v>556</v>
      </c>
      <c r="E96">
        <f t="shared" si="5"/>
        <v>400.27502400000003</v>
      </c>
      <c r="F96">
        <f t="shared" si="7"/>
        <v>-5.4292859999999905</v>
      </c>
      <c r="G96">
        <v>940</v>
      </c>
      <c r="H96" t="e">
        <f t="shared" si="8"/>
        <v>#NUM!</v>
      </c>
      <c r="I96">
        <f t="shared" si="6"/>
        <v>7.5412984232510221</v>
      </c>
    </row>
    <row r="97" spans="1:9" x14ac:dyDescent="0.25">
      <c r="A97">
        <v>1000</v>
      </c>
      <c r="B97">
        <v>1884.1241460000001</v>
      </c>
      <c r="C97">
        <v>-8.7593940000000003</v>
      </c>
      <c r="D97" t="s">
        <v>557</v>
      </c>
      <c r="E97">
        <f t="shared" si="5"/>
        <v>400.12414600000011</v>
      </c>
      <c r="F97">
        <f t="shared" si="7"/>
        <v>-5.5801639999999111</v>
      </c>
      <c r="G97">
        <v>950</v>
      </c>
      <c r="H97" t="e">
        <f t="shared" si="8"/>
        <v>#NUM!</v>
      </c>
      <c r="I97">
        <f t="shared" si="6"/>
        <v>7.5412183478697932</v>
      </c>
    </row>
    <row r="98" spans="1:9" x14ac:dyDescent="0.25">
      <c r="A98">
        <v>1000</v>
      </c>
      <c r="B98">
        <v>1883.2202150000001</v>
      </c>
      <c r="C98">
        <v>-8.7161589999999993</v>
      </c>
      <c r="D98" t="s">
        <v>558</v>
      </c>
      <c r="E98">
        <f t="shared" si="5"/>
        <v>399.22021500000005</v>
      </c>
      <c r="F98">
        <f t="shared" si="7"/>
        <v>-6.484094999999968</v>
      </c>
      <c r="G98">
        <v>960</v>
      </c>
      <c r="H98" t="e">
        <f t="shared" si="8"/>
        <v>#NUM!</v>
      </c>
      <c r="I98">
        <f t="shared" ref="I98:I129" si="9">LN(B98)</f>
        <v>7.5407384708366747</v>
      </c>
    </row>
    <row r="99" spans="1:9" x14ac:dyDescent="0.25">
      <c r="A99">
        <v>1000</v>
      </c>
      <c r="B99">
        <v>1883.9155270000001</v>
      </c>
      <c r="C99">
        <v>-8.6769669999999994</v>
      </c>
      <c r="D99" t="s">
        <v>559</v>
      </c>
      <c r="E99">
        <f t="shared" si="5"/>
        <v>399.91552700000011</v>
      </c>
      <c r="F99">
        <f t="shared" si="7"/>
        <v>-5.7887829999999099</v>
      </c>
      <c r="G99">
        <v>970</v>
      </c>
      <c r="H99" t="e">
        <f t="shared" si="8"/>
        <v>#NUM!</v>
      </c>
      <c r="I99">
        <f t="shared" si="9"/>
        <v>7.5411076170822655</v>
      </c>
    </row>
    <row r="100" spans="1:9" x14ac:dyDescent="0.25">
      <c r="A100">
        <v>1000</v>
      </c>
      <c r="B100">
        <v>1883.7661129999999</v>
      </c>
      <c r="C100">
        <v>-8.6545919999999992</v>
      </c>
      <c r="D100" t="s">
        <v>560</v>
      </c>
      <c r="E100">
        <f t="shared" si="5"/>
        <v>399.7661129999999</v>
      </c>
      <c r="F100">
        <f t="shared" si="7"/>
        <v>-5.9381970000001161</v>
      </c>
      <c r="G100">
        <v>980</v>
      </c>
      <c r="H100" t="e">
        <f t="shared" si="8"/>
        <v>#NUM!</v>
      </c>
      <c r="I100">
        <f t="shared" si="9"/>
        <v>7.5410283035869359</v>
      </c>
    </row>
    <row r="101" spans="1:9" x14ac:dyDescent="0.25">
      <c r="A101">
        <v>1000</v>
      </c>
      <c r="B101">
        <v>1883.2854</v>
      </c>
      <c r="C101">
        <v>-8.6713930000000001</v>
      </c>
      <c r="D101" t="s">
        <v>561</v>
      </c>
      <c r="E101">
        <f t="shared" si="5"/>
        <v>399.28539999999998</v>
      </c>
      <c r="F101">
        <f t="shared" si="7"/>
        <v>-6.4189100000000394</v>
      </c>
      <c r="G101">
        <v>990</v>
      </c>
      <c r="H101" t="e">
        <f t="shared" si="8"/>
        <v>#NUM!</v>
      </c>
      <c r="I101">
        <f t="shared" si="9"/>
        <v>7.5407730838210529</v>
      </c>
    </row>
    <row r="102" spans="1:9" x14ac:dyDescent="0.25">
      <c r="A102">
        <v>1000</v>
      </c>
      <c r="B102">
        <v>1883.366577</v>
      </c>
      <c r="C102">
        <v>-8.6500020000000006</v>
      </c>
      <c r="D102" t="s">
        <v>562</v>
      </c>
      <c r="E102">
        <f t="shared" si="5"/>
        <v>399.36657700000001</v>
      </c>
      <c r="F102">
        <f t="shared" si="7"/>
        <v>-6.3377330000000143</v>
      </c>
      <c r="G102">
        <v>1000</v>
      </c>
      <c r="H102" t="e">
        <f t="shared" si="8"/>
        <v>#NUM!</v>
      </c>
      <c r="I102">
        <f t="shared" si="9"/>
        <v>7.540816186821016</v>
      </c>
    </row>
    <row r="103" spans="1:9" x14ac:dyDescent="0.25">
      <c r="A103">
        <v>1000</v>
      </c>
      <c r="B103">
        <v>1884.1674800000001</v>
      </c>
      <c r="C103">
        <v>-8.7015419999999999</v>
      </c>
      <c r="D103" t="s">
        <v>563</v>
      </c>
      <c r="E103">
        <f t="shared" si="5"/>
        <v>400.16748000000007</v>
      </c>
      <c r="F103">
        <f t="shared" si="7"/>
        <v>-5.5368299999999522</v>
      </c>
      <c r="G103">
        <v>1010</v>
      </c>
      <c r="H103" t="e">
        <f t="shared" si="8"/>
        <v>#NUM!</v>
      </c>
      <c r="I103">
        <f t="shared" si="9"/>
        <v>7.5412413471513258</v>
      </c>
    </row>
    <row r="104" spans="1:9" x14ac:dyDescent="0.25">
      <c r="A104">
        <v>1000</v>
      </c>
      <c r="B104">
        <v>1884.2969969999999</v>
      </c>
      <c r="C104">
        <v>-8.6561620000000001</v>
      </c>
      <c r="D104" t="s">
        <v>564</v>
      </c>
      <c r="E104">
        <f t="shared" si="5"/>
        <v>400.29699699999992</v>
      </c>
      <c r="F104">
        <f t="shared" si="7"/>
        <v>-5.4073130000001015</v>
      </c>
      <c r="G104">
        <v>1020</v>
      </c>
      <c r="H104" t="e">
        <f t="shared" si="8"/>
        <v>#NUM!</v>
      </c>
      <c r="I104">
        <f t="shared" si="9"/>
        <v>7.5413100844319034</v>
      </c>
    </row>
    <row r="105" spans="1:9" x14ac:dyDescent="0.25">
      <c r="A105">
        <v>1000</v>
      </c>
      <c r="B105">
        <v>1884.290894</v>
      </c>
      <c r="C105">
        <v>-8.6256039999999992</v>
      </c>
      <c r="D105" t="s">
        <v>565</v>
      </c>
      <c r="E105">
        <f t="shared" si="5"/>
        <v>400.29089399999998</v>
      </c>
      <c r="F105">
        <f t="shared" si="7"/>
        <v>-5.4134160000000406</v>
      </c>
      <c r="G105">
        <v>1030</v>
      </c>
      <c r="H105" t="e">
        <f t="shared" si="8"/>
        <v>#NUM!</v>
      </c>
      <c r="I105">
        <f t="shared" si="9"/>
        <v>7.5413068455529508</v>
      </c>
    </row>
    <row r="106" spans="1:9" x14ac:dyDescent="0.25">
      <c r="A106">
        <v>1000</v>
      </c>
      <c r="B106">
        <v>1883.963745</v>
      </c>
      <c r="C106">
        <v>-8.6068210000000001</v>
      </c>
      <c r="D106" t="s">
        <v>566</v>
      </c>
      <c r="E106">
        <f t="shared" si="5"/>
        <v>399.96374500000002</v>
      </c>
      <c r="F106">
        <f t="shared" si="7"/>
        <v>-5.7405650000000037</v>
      </c>
      <c r="G106">
        <v>1040</v>
      </c>
      <c r="H106" t="e">
        <f t="shared" si="8"/>
        <v>#NUM!</v>
      </c>
      <c r="I106">
        <f t="shared" si="9"/>
        <v>7.5411332113205738</v>
      </c>
    </row>
    <row r="107" spans="1:9" x14ac:dyDescent="0.25">
      <c r="A107">
        <v>1000</v>
      </c>
      <c r="B107">
        <v>1886.572144</v>
      </c>
      <c r="C107">
        <v>-8.6862290000000009</v>
      </c>
      <c r="D107" t="s">
        <v>567</v>
      </c>
      <c r="E107">
        <f t="shared" si="5"/>
        <v>402.57214399999998</v>
      </c>
      <c r="F107">
        <f t="shared" si="7"/>
        <v>-3.1321660000000406</v>
      </c>
      <c r="G107">
        <v>1050</v>
      </c>
      <c r="H107" t="e">
        <f t="shared" si="8"/>
        <v>#NUM!</v>
      </c>
      <c r="I107">
        <f t="shared" si="9"/>
        <v>7.542516780920697</v>
      </c>
    </row>
    <row r="108" spans="1:9" x14ac:dyDescent="0.25">
      <c r="A108">
        <v>1000</v>
      </c>
      <c r="B108">
        <v>1887.4097899999999</v>
      </c>
      <c r="C108">
        <v>-8.6967479999999995</v>
      </c>
      <c r="D108" t="s">
        <v>568</v>
      </c>
      <c r="E108">
        <f t="shared" si="5"/>
        <v>403.40978999999993</v>
      </c>
      <c r="F108">
        <f t="shared" si="7"/>
        <v>-2.2945200000000909</v>
      </c>
      <c r="G108">
        <v>1060</v>
      </c>
      <c r="H108" t="e">
        <f t="shared" si="8"/>
        <v>#NUM!</v>
      </c>
      <c r="I108">
        <f t="shared" si="9"/>
        <v>7.5429606866035561</v>
      </c>
    </row>
    <row r="109" spans="1:9" x14ac:dyDescent="0.25">
      <c r="A109">
        <v>1000</v>
      </c>
      <c r="B109">
        <v>1885.701904</v>
      </c>
      <c r="C109">
        <v>-8.6365999999999996</v>
      </c>
      <c r="D109" t="s">
        <v>569</v>
      </c>
      <c r="E109">
        <f t="shared" si="5"/>
        <v>401.70190400000001</v>
      </c>
      <c r="F109">
        <f t="shared" si="7"/>
        <v>-4.0024060000000077</v>
      </c>
      <c r="G109">
        <v>1070</v>
      </c>
      <c r="H109" t="e">
        <f t="shared" si="8"/>
        <v>#NUM!</v>
      </c>
      <c r="I109">
        <f t="shared" si="9"/>
        <v>7.5420553934369865</v>
      </c>
    </row>
    <row r="110" spans="1:9" x14ac:dyDescent="0.25">
      <c r="A110">
        <v>1000</v>
      </c>
      <c r="B110">
        <v>1886.4011230000001</v>
      </c>
      <c r="C110">
        <v>-8.6196210000000004</v>
      </c>
      <c r="D110" t="s">
        <v>570</v>
      </c>
      <c r="E110">
        <f t="shared" si="5"/>
        <v>402.4011230000001</v>
      </c>
      <c r="F110">
        <f t="shared" si="7"/>
        <v>-3.303186999999923</v>
      </c>
      <c r="G110">
        <v>1080</v>
      </c>
      <c r="H110" t="e">
        <f t="shared" si="8"/>
        <v>#NUM!</v>
      </c>
      <c r="I110">
        <f t="shared" si="9"/>
        <v>7.542426125096755</v>
      </c>
    </row>
    <row r="111" spans="1:9" x14ac:dyDescent="0.25">
      <c r="A111">
        <v>1000</v>
      </c>
      <c r="B111">
        <v>1885.1671140000001</v>
      </c>
      <c r="C111">
        <v>-8.5700199999999995</v>
      </c>
      <c r="D111" t="s">
        <v>571</v>
      </c>
      <c r="E111">
        <f t="shared" si="5"/>
        <v>401.16711400000008</v>
      </c>
      <c r="F111">
        <f t="shared" si="7"/>
        <v>-4.5371959999999376</v>
      </c>
      <c r="G111">
        <v>1090</v>
      </c>
      <c r="H111" t="e">
        <f t="shared" si="8"/>
        <v>#NUM!</v>
      </c>
      <c r="I111">
        <f t="shared" si="9"/>
        <v>7.5417717505944308</v>
      </c>
    </row>
    <row r="112" spans="1:9" x14ac:dyDescent="0.25">
      <c r="A112">
        <v>1000</v>
      </c>
      <c r="B112">
        <v>1885.088013</v>
      </c>
      <c r="C112">
        <v>-8.545814</v>
      </c>
      <c r="D112" t="s">
        <v>572</v>
      </c>
      <c r="E112">
        <f t="shared" si="5"/>
        <v>401.08801300000005</v>
      </c>
      <c r="F112">
        <f t="shared" si="7"/>
        <v>-4.6162969999999746</v>
      </c>
      <c r="G112">
        <v>1100</v>
      </c>
      <c r="H112" t="e">
        <f t="shared" si="8"/>
        <v>#NUM!</v>
      </c>
      <c r="I112">
        <f t="shared" si="9"/>
        <v>7.5417297900387936</v>
      </c>
    </row>
    <row r="113" spans="1:9" x14ac:dyDescent="0.25">
      <c r="A113">
        <v>1000</v>
      </c>
      <c r="B113">
        <v>1885.961914</v>
      </c>
      <c r="C113">
        <v>-8.5375619999999994</v>
      </c>
      <c r="D113" t="s">
        <v>573</v>
      </c>
      <c r="E113">
        <f t="shared" si="5"/>
        <v>401.96191399999998</v>
      </c>
      <c r="F113">
        <f t="shared" si="7"/>
        <v>-3.742396000000042</v>
      </c>
      <c r="G113">
        <v>1110</v>
      </c>
      <c r="H113" t="e">
        <f t="shared" si="8"/>
        <v>#NUM!</v>
      </c>
      <c r="I113">
        <f t="shared" si="9"/>
        <v>7.5421932689279938</v>
      </c>
    </row>
    <row r="114" spans="1:9" x14ac:dyDescent="0.25">
      <c r="A114">
        <v>1000</v>
      </c>
      <c r="B114">
        <v>1885.650513</v>
      </c>
      <c r="C114">
        <v>-8.4870059999999992</v>
      </c>
      <c r="D114" t="s">
        <v>574</v>
      </c>
      <c r="E114">
        <f t="shared" si="5"/>
        <v>401.65051300000005</v>
      </c>
      <c r="F114">
        <f t="shared" si="7"/>
        <v>-4.0537969999999746</v>
      </c>
      <c r="G114">
        <v>1120</v>
      </c>
      <c r="H114" t="e">
        <f t="shared" si="8"/>
        <v>#NUM!</v>
      </c>
      <c r="I114">
        <f t="shared" si="9"/>
        <v>7.5420281400836418</v>
      </c>
    </row>
    <row r="115" spans="1:9" x14ac:dyDescent="0.25">
      <c r="A115">
        <v>1000</v>
      </c>
      <c r="B115">
        <v>1886.2303469999999</v>
      </c>
      <c r="C115">
        <v>-8.4880030000000009</v>
      </c>
      <c r="D115" t="s">
        <v>575</v>
      </c>
      <c r="E115">
        <f t="shared" si="5"/>
        <v>402.23034699999994</v>
      </c>
      <c r="F115">
        <f t="shared" si="7"/>
        <v>-3.473963000000083</v>
      </c>
      <c r="G115">
        <v>1130</v>
      </c>
      <c r="H115" t="e">
        <f t="shared" si="8"/>
        <v>#NUM!</v>
      </c>
      <c r="I115">
        <f t="shared" si="9"/>
        <v>7.5423355909422929</v>
      </c>
    </row>
    <row r="116" spans="1:9" x14ac:dyDescent="0.25">
      <c r="A116">
        <v>1000</v>
      </c>
      <c r="B116">
        <v>1886.5791019999999</v>
      </c>
      <c r="C116">
        <v>-8.5276449999999997</v>
      </c>
      <c r="D116" t="s">
        <v>576</v>
      </c>
      <c r="E116">
        <f t="shared" si="5"/>
        <v>402.57910199999992</v>
      </c>
      <c r="F116">
        <f t="shared" si="7"/>
        <v>-3.1252080000001001</v>
      </c>
      <c r="G116">
        <v>1140</v>
      </c>
      <c r="H116" t="e">
        <f t="shared" si="8"/>
        <v>#NUM!</v>
      </c>
      <c r="I116">
        <f t="shared" si="9"/>
        <v>7.5425204690845407</v>
      </c>
    </row>
    <row r="117" spans="1:9" x14ac:dyDescent="0.25">
      <c r="A117">
        <v>1000</v>
      </c>
      <c r="B117">
        <v>1886.1591800000001</v>
      </c>
      <c r="C117">
        <v>-8.4787680000000005</v>
      </c>
      <c r="D117" t="s">
        <v>577</v>
      </c>
      <c r="E117">
        <f t="shared" si="5"/>
        <v>402.15918000000011</v>
      </c>
      <c r="F117">
        <f t="shared" si="7"/>
        <v>-3.5451299999999151</v>
      </c>
      <c r="G117">
        <v>1150</v>
      </c>
      <c r="H117" t="e">
        <f t="shared" si="8"/>
        <v>#NUM!</v>
      </c>
      <c r="I117">
        <f t="shared" si="9"/>
        <v>7.5422978604802076</v>
      </c>
    </row>
    <row r="118" spans="1:9" x14ac:dyDescent="0.25">
      <c r="A118">
        <v>1000</v>
      </c>
      <c r="B118">
        <v>1886.2001949999999</v>
      </c>
      <c r="C118">
        <v>-8.4711060000000007</v>
      </c>
      <c r="D118" t="s">
        <v>578</v>
      </c>
      <c r="E118">
        <f t="shared" si="5"/>
        <v>402.20019499999989</v>
      </c>
      <c r="F118">
        <f t="shared" si="7"/>
        <v>-3.5041150000001267</v>
      </c>
      <c r="G118">
        <v>1160</v>
      </c>
      <c r="H118" t="e">
        <f t="shared" si="8"/>
        <v>#NUM!</v>
      </c>
      <c r="I118">
        <f t="shared" si="9"/>
        <v>7.5423196054922412</v>
      </c>
    </row>
    <row r="119" spans="1:9" x14ac:dyDescent="0.25">
      <c r="A119">
        <v>1000</v>
      </c>
      <c r="B119">
        <v>1886.2508539999999</v>
      </c>
      <c r="C119">
        <v>-8.4439209999999996</v>
      </c>
      <c r="D119" t="s">
        <v>579</v>
      </c>
      <c r="E119">
        <f t="shared" si="5"/>
        <v>402.25085399999989</v>
      </c>
      <c r="F119">
        <f t="shared" si="7"/>
        <v>-3.4534560000001306</v>
      </c>
      <c r="G119">
        <v>1170</v>
      </c>
      <c r="H119" t="e">
        <f t="shared" si="8"/>
        <v>#NUM!</v>
      </c>
      <c r="I119">
        <f t="shared" si="9"/>
        <v>7.5423464628321222</v>
      </c>
    </row>
    <row r="120" spans="1:9" x14ac:dyDescent="0.25">
      <c r="A120">
        <v>1000</v>
      </c>
      <c r="B120">
        <v>1886.290039</v>
      </c>
      <c r="C120">
        <v>-8.4140189999999997</v>
      </c>
      <c r="D120" t="s">
        <v>580</v>
      </c>
      <c r="E120">
        <f t="shared" si="5"/>
        <v>402.29003899999998</v>
      </c>
      <c r="F120">
        <f t="shared" si="7"/>
        <v>-3.414271000000042</v>
      </c>
      <c r="G120">
        <v>1180</v>
      </c>
      <c r="H120" t="e">
        <f t="shared" si="8"/>
        <v>#NUM!</v>
      </c>
      <c r="I120">
        <f t="shared" si="9"/>
        <v>7.5423672366294712</v>
      </c>
    </row>
    <row r="121" spans="1:9" x14ac:dyDescent="0.25">
      <c r="A121">
        <v>1000</v>
      </c>
      <c r="B121">
        <v>1886.2811280000001</v>
      </c>
      <c r="C121">
        <v>-8.4069420000000008</v>
      </c>
      <c r="D121" t="s">
        <v>581</v>
      </c>
      <c r="E121">
        <f t="shared" si="5"/>
        <v>402.28112800000008</v>
      </c>
      <c r="F121">
        <f t="shared" si="7"/>
        <v>-3.4231819999999402</v>
      </c>
      <c r="G121">
        <v>1190</v>
      </c>
      <c r="H121" t="e">
        <f t="shared" si="8"/>
        <v>#NUM!</v>
      </c>
      <c r="I121">
        <f t="shared" si="9"/>
        <v>7.5423625125303859</v>
      </c>
    </row>
    <row r="122" spans="1:9" x14ac:dyDescent="0.25">
      <c r="A122">
        <v>1000</v>
      </c>
      <c r="B122">
        <v>1886.652466</v>
      </c>
      <c r="C122">
        <v>-8.3835010000000008</v>
      </c>
      <c r="D122" t="s">
        <v>582</v>
      </c>
      <c r="E122">
        <f t="shared" si="5"/>
        <v>402.652466</v>
      </c>
      <c r="F122">
        <f t="shared" si="7"/>
        <v>-3.0518440000000169</v>
      </c>
      <c r="G122">
        <v>1200</v>
      </c>
      <c r="H122" t="e">
        <f t="shared" si="8"/>
        <v>#NUM!</v>
      </c>
      <c r="I122">
        <f t="shared" si="9"/>
        <v>7.5425593556456683</v>
      </c>
    </row>
    <row r="123" spans="1:9" x14ac:dyDescent="0.25">
      <c r="A123">
        <v>1000</v>
      </c>
      <c r="B123">
        <v>1886.560547</v>
      </c>
      <c r="C123">
        <v>-8.3644999999999996</v>
      </c>
      <c r="D123" t="s">
        <v>583</v>
      </c>
      <c r="E123">
        <f t="shared" si="5"/>
        <v>402.56054700000004</v>
      </c>
      <c r="F123">
        <f t="shared" si="7"/>
        <v>-3.1437629999999785</v>
      </c>
      <c r="G123">
        <v>1210</v>
      </c>
      <c r="H123" t="e">
        <f t="shared" si="8"/>
        <v>#NUM!</v>
      </c>
      <c r="I123">
        <f t="shared" si="9"/>
        <v>7.5425106337740422</v>
      </c>
    </row>
    <row r="124" spans="1:9" x14ac:dyDescent="0.25">
      <c r="A124">
        <v>1000</v>
      </c>
      <c r="B124">
        <v>1886.5874020000001</v>
      </c>
      <c r="C124">
        <v>-8.3620409999999996</v>
      </c>
      <c r="D124" t="s">
        <v>584</v>
      </c>
      <c r="E124">
        <f t="shared" si="5"/>
        <v>402.58740200000011</v>
      </c>
      <c r="F124">
        <f t="shared" si="7"/>
        <v>-3.1169079999999099</v>
      </c>
      <c r="G124">
        <v>1220</v>
      </c>
      <c r="H124" t="e">
        <f t="shared" si="8"/>
        <v>#NUM!</v>
      </c>
      <c r="I124">
        <f t="shared" si="9"/>
        <v>7.5425248685723405</v>
      </c>
    </row>
    <row r="125" spans="1:9" x14ac:dyDescent="0.25">
      <c r="A125">
        <v>1000</v>
      </c>
      <c r="B125">
        <v>1887.121216</v>
      </c>
      <c r="C125">
        <v>-8.3402390000000004</v>
      </c>
      <c r="D125" t="s">
        <v>585</v>
      </c>
      <c r="E125">
        <f t="shared" si="5"/>
        <v>403.121216</v>
      </c>
      <c r="F125">
        <f t="shared" si="7"/>
        <v>-2.5830940000000169</v>
      </c>
      <c r="G125">
        <v>1230</v>
      </c>
      <c r="H125" t="e">
        <f t="shared" si="8"/>
        <v>#NUM!</v>
      </c>
      <c r="I125">
        <f t="shared" si="9"/>
        <v>7.5428077807193006</v>
      </c>
    </row>
    <row r="126" spans="1:9" x14ac:dyDescent="0.25">
      <c r="A126">
        <v>1000</v>
      </c>
      <c r="B126">
        <v>1887.0310059999999</v>
      </c>
      <c r="C126">
        <v>-8.3323710000000002</v>
      </c>
      <c r="D126" t="s">
        <v>586</v>
      </c>
      <c r="E126">
        <f t="shared" si="5"/>
        <v>403.03100599999993</v>
      </c>
      <c r="F126">
        <f t="shared" si="7"/>
        <v>-2.6733040000000869</v>
      </c>
      <c r="G126">
        <v>1240</v>
      </c>
      <c r="H126" t="e">
        <f t="shared" si="8"/>
        <v>#NUM!</v>
      </c>
      <c r="I126">
        <f t="shared" si="9"/>
        <v>7.5427599766061055</v>
      </c>
    </row>
    <row r="127" spans="1:9" x14ac:dyDescent="0.25">
      <c r="A127">
        <v>1000</v>
      </c>
      <c r="B127">
        <v>1886.726318</v>
      </c>
      <c r="C127">
        <v>-8.3234370000000002</v>
      </c>
      <c r="D127" t="s">
        <v>587</v>
      </c>
      <c r="E127">
        <f t="shared" si="5"/>
        <v>402.72631799999999</v>
      </c>
      <c r="F127">
        <f t="shared" si="7"/>
        <v>-2.9779920000000288</v>
      </c>
      <c r="G127">
        <v>1250</v>
      </c>
      <c r="H127" t="e">
        <f t="shared" si="8"/>
        <v>#NUM!</v>
      </c>
      <c r="I127">
        <f t="shared" si="9"/>
        <v>7.5425984993437902</v>
      </c>
    </row>
    <row r="128" spans="1:9" x14ac:dyDescent="0.25">
      <c r="A128">
        <v>1000</v>
      </c>
      <c r="B128">
        <v>1887.1904300000001</v>
      </c>
      <c r="C128">
        <v>-8.3190240000000006</v>
      </c>
      <c r="D128" t="s">
        <v>588</v>
      </c>
      <c r="E128">
        <f t="shared" si="5"/>
        <v>403.19043000000011</v>
      </c>
      <c r="F128">
        <f t="shared" si="7"/>
        <v>-2.5138799999999151</v>
      </c>
      <c r="G128">
        <v>1260</v>
      </c>
      <c r="H128" t="e">
        <f t="shared" si="8"/>
        <v>#NUM!</v>
      </c>
      <c r="I128">
        <f t="shared" si="9"/>
        <v>7.5428444570759448</v>
      </c>
    </row>
    <row r="129" spans="1:9" x14ac:dyDescent="0.25">
      <c r="A129">
        <v>1000</v>
      </c>
      <c r="B129">
        <v>1886.684448</v>
      </c>
      <c r="C129">
        <v>-8.2815940000000001</v>
      </c>
      <c r="D129" t="s">
        <v>589</v>
      </c>
      <c r="E129">
        <f t="shared" si="5"/>
        <v>402.68444799999997</v>
      </c>
      <c r="F129">
        <f t="shared" si="7"/>
        <v>-3.019862000000046</v>
      </c>
      <c r="G129">
        <v>1270</v>
      </c>
      <c r="H129" t="e">
        <f t="shared" si="8"/>
        <v>#NUM!</v>
      </c>
      <c r="I129">
        <f t="shared" si="9"/>
        <v>7.5425763072196883</v>
      </c>
    </row>
    <row r="130" spans="1:9" x14ac:dyDescent="0.25">
      <c r="A130">
        <v>1000</v>
      </c>
      <c r="B130">
        <v>1886.9646</v>
      </c>
      <c r="C130">
        <v>-8.2959110000000003</v>
      </c>
      <c r="D130" t="s">
        <v>590</v>
      </c>
      <c r="E130">
        <f t="shared" ref="E130:E193" si="10">B130-$P$3</f>
        <v>402.96460000000002</v>
      </c>
      <c r="F130">
        <f t="shared" si="7"/>
        <v>-2.7397100000000023</v>
      </c>
      <c r="G130">
        <v>1280</v>
      </c>
      <c r="H130" t="e">
        <f t="shared" si="8"/>
        <v>#NUM!</v>
      </c>
      <c r="I130">
        <f t="shared" ref="I130:I161" si="11">LN(B130)</f>
        <v>7.5427247852561736</v>
      </c>
    </row>
    <row r="131" spans="1:9" x14ac:dyDescent="0.25">
      <c r="A131">
        <v>1000</v>
      </c>
      <c r="B131">
        <v>1887.2147219999999</v>
      </c>
      <c r="C131">
        <v>-8.2861569999999993</v>
      </c>
      <c r="D131" t="s">
        <v>591</v>
      </c>
      <c r="E131">
        <f t="shared" si="10"/>
        <v>403.21472199999994</v>
      </c>
      <c r="F131">
        <f t="shared" ref="F131:F194" si="12">E131-$R$3</f>
        <v>-2.489588000000083</v>
      </c>
      <c r="G131">
        <v>1290</v>
      </c>
      <c r="H131" t="e">
        <f t="shared" ref="H131:H191" si="13">LN(F131)</f>
        <v>#NUM!</v>
      </c>
      <c r="I131">
        <f t="shared" si="11"/>
        <v>7.5428573290380276</v>
      </c>
    </row>
    <row r="132" spans="1:9" x14ac:dyDescent="0.25">
      <c r="A132">
        <v>1000</v>
      </c>
      <c r="B132">
        <v>1887.327759</v>
      </c>
      <c r="C132">
        <v>-8.2693270000000005</v>
      </c>
      <c r="D132" t="s">
        <v>592</v>
      </c>
      <c r="E132">
        <f t="shared" si="10"/>
        <v>403.32775900000001</v>
      </c>
      <c r="F132">
        <f t="shared" si="12"/>
        <v>-2.3765510000000063</v>
      </c>
      <c r="G132">
        <v>1300</v>
      </c>
      <c r="H132" t="e">
        <f t="shared" si="13"/>
        <v>#NUM!</v>
      </c>
      <c r="I132">
        <f t="shared" si="11"/>
        <v>7.5429172234493915</v>
      </c>
    </row>
    <row r="133" spans="1:9" x14ac:dyDescent="0.25">
      <c r="A133">
        <v>1000</v>
      </c>
      <c r="B133">
        <v>1887.50647</v>
      </c>
      <c r="C133">
        <v>-8.2657760000000007</v>
      </c>
      <c r="D133" t="s">
        <v>593</v>
      </c>
      <c r="E133">
        <f t="shared" si="10"/>
        <v>403.50647000000004</v>
      </c>
      <c r="F133">
        <f t="shared" si="12"/>
        <v>-2.1978399999999851</v>
      </c>
      <c r="G133">
        <v>1310</v>
      </c>
      <c r="H133" t="e">
        <f t="shared" si="13"/>
        <v>#NUM!</v>
      </c>
      <c r="I133">
        <f t="shared" si="11"/>
        <v>7.5430119089318746</v>
      </c>
    </row>
    <row r="134" spans="1:9" x14ac:dyDescent="0.25">
      <c r="A134">
        <v>1000</v>
      </c>
      <c r="B134">
        <v>1887.838379</v>
      </c>
      <c r="C134">
        <v>-8.2722510000000007</v>
      </c>
      <c r="D134" t="s">
        <v>594</v>
      </c>
      <c r="E134">
        <f t="shared" si="10"/>
        <v>403.83837900000003</v>
      </c>
      <c r="F134">
        <f t="shared" si="12"/>
        <v>-1.8659309999999891</v>
      </c>
      <c r="G134">
        <v>1320</v>
      </c>
      <c r="H134" t="e">
        <f t="shared" si="13"/>
        <v>#NUM!</v>
      </c>
      <c r="I134">
        <f t="shared" si="11"/>
        <v>7.5431877386979647</v>
      </c>
    </row>
    <row r="135" spans="1:9" x14ac:dyDescent="0.25">
      <c r="A135">
        <v>1000</v>
      </c>
      <c r="B135">
        <v>1888.446533</v>
      </c>
      <c r="C135">
        <v>-8.2746420000000001</v>
      </c>
      <c r="D135" t="s">
        <v>595</v>
      </c>
      <c r="E135">
        <f t="shared" si="10"/>
        <v>404.44653300000004</v>
      </c>
      <c r="F135">
        <f t="shared" si="12"/>
        <v>-1.2577769999999759</v>
      </c>
      <c r="G135">
        <v>1330</v>
      </c>
      <c r="H135" t="e">
        <f t="shared" si="13"/>
        <v>#NUM!</v>
      </c>
      <c r="I135">
        <f t="shared" si="11"/>
        <v>7.5435098298639813</v>
      </c>
    </row>
    <row r="136" spans="1:9" x14ac:dyDescent="0.25">
      <c r="A136">
        <v>1000</v>
      </c>
      <c r="B136">
        <v>1889.3680420000001</v>
      </c>
      <c r="C136">
        <v>-8.2737259999999999</v>
      </c>
      <c r="D136" t="s">
        <v>596</v>
      </c>
      <c r="E136">
        <f t="shared" si="10"/>
        <v>405.36804200000006</v>
      </c>
      <c r="F136">
        <f t="shared" si="12"/>
        <v>-0.33626799999996138</v>
      </c>
      <c r="G136">
        <v>1340</v>
      </c>
      <c r="H136" t="e">
        <f t="shared" si="13"/>
        <v>#NUM!</v>
      </c>
      <c r="I136">
        <f t="shared" si="11"/>
        <v>7.5439976828276363</v>
      </c>
    </row>
    <row r="137" spans="1:9" x14ac:dyDescent="0.25">
      <c r="A137">
        <v>1000</v>
      </c>
      <c r="B137">
        <v>1888.6403809999999</v>
      </c>
      <c r="C137">
        <v>-8.2505039999999994</v>
      </c>
      <c r="D137" t="s">
        <v>597</v>
      </c>
      <c r="E137">
        <f t="shared" si="10"/>
        <v>404.64038099999993</v>
      </c>
      <c r="F137">
        <f t="shared" si="12"/>
        <v>-1.0639290000000869</v>
      </c>
      <c r="G137">
        <v>1350</v>
      </c>
      <c r="H137" t="e">
        <f t="shared" si="13"/>
        <v>#NUM!</v>
      </c>
      <c r="I137">
        <f t="shared" si="11"/>
        <v>7.543612474046963</v>
      </c>
    </row>
    <row r="138" spans="1:9" x14ac:dyDescent="0.25">
      <c r="A138">
        <v>1000</v>
      </c>
      <c r="B138">
        <v>1890.0124510000001</v>
      </c>
      <c r="C138">
        <v>-8.2657620000000005</v>
      </c>
      <c r="D138" t="s">
        <v>598</v>
      </c>
      <c r="E138">
        <f t="shared" si="10"/>
        <v>406.01245100000006</v>
      </c>
      <c r="F138">
        <f t="shared" si="12"/>
        <v>0.30814100000003464</v>
      </c>
      <c r="G138">
        <v>1360</v>
      </c>
      <c r="H138">
        <f t="shared" si="13"/>
        <v>-1.1771978085555412</v>
      </c>
      <c r="I138">
        <f t="shared" si="11"/>
        <v>7.5443386958626766</v>
      </c>
    </row>
    <row r="139" spans="1:9" x14ac:dyDescent="0.25">
      <c r="A139">
        <v>1000</v>
      </c>
      <c r="B139">
        <v>1889.2246090000001</v>
      </c>
      <c r="C139">
        <v>-8.2626209999999993</v>
      </c>
      <c r="D139" t="s">
        <v>599</v>
      </c>
      <c r="E139">
        <f t="shared" si="10"/>
        <v>405.2246090000001</v>
      </c>
      <c r="F139">
        <f t="shared" si="12"/>
        <v>-0.47970099999992044</v>
      </c>
      <c r="G139">
        <v>1370</v>
      </c>
      <c r="H139" t="e">
        <f t="shared" si="13"/>
        <v>#NUM!</v>
      </c>
      <c r="I139">
        <f t="shared" si="11"/>
        <v>7.5439217640857565</v>
      </c>
    </row>
    <row r="140" spans="1:9" x14ac:dyDescent="0.25">
      <c r="A140">
        <v>1000</v>
      </c>
      <c r="B140">
        <v>1889.243164</v>
      </c>
      <c r="C140">
        <v>-8.2156559999999992</v>
      </c>
      <c r="D140" t="s">
        <v>600</v>
      </c>
      <c r="E140">
        <f t="shared" si="10"/>
        <v>405.24316399999998</v>
      </c>
      <c r="F140">
        <f t="shared" si="12"/>
        <v>-0.46114600000004202</v>
      </c>
      <c r="G140">
        <v>1380</v>
      </c>
      <c r="H140" t="e">
        <f t="shared" si="13"/>
        <v>#NUM!</v>
      </c>
      <c r="I140">
        <f t="shared" si="11"/>
        <v>7.543931585527206</v>
      </c>
    </row>
    <row r="141" spans="1:9" x14ac:dyDescent="0.25">
      <c r="A141">
        <v>1000</v>
      </c>
      <c r="B141">
        <v>1888.7905270000001</v>
      </c>
      <c r="C141">
        <v>-8.2301359999999999</v>
      </c>
      <c r="D141" t="s">
        <v>601</v>
      </c>
      <c r="E141">
        <f t="shared" si="10"/>
        <v>404.79052700000011</v>
      </c>
      <c r="F141">
        <f t="shared" si="12"/>
        <v>-0.91378299999990986</v>
      </c>
      <c r="G141">
        <v>1390</v>
      </c>
      <c r="H141" t="e">
        <f t="shared" si="13"/>
        <v>#NUM!</v>
      </c>
      <c r="I141">
        <f t="shared" si="11"/>
        <v>7.5436919704050629</v>
      </c>
    </row>
    <row r="142" spans="1:9" x14ac:dyDescent="0.25">
      <c r="A142">
        <v>1000</v>
      </c>
      <c r="B142">
        <v>1889.7116699999999</v>
      </c>
      <c r="C142">
        <v>-8.2292349999999992</v>
      </c>
      <c r="D142" t="s">
        <v>602</v>
      </c>
      <c r="E142">
        <f t="shared" si="10"/>
        <v>405.71166999999991</v>
      </c>
      <c r="F142">
        <f t="shared" si="12"/>
        <v>7.3599999998918975E-3</v>
      </c>
      <c r="G142">
        <v>1400</v>
      </c>
      <c r="H142">
        <f t="shared" si="13"/>
        <v>-4.9116953462560398</v>
      </c>
      <c r="I142">
        <f t="shared" si="11"/>
        <v>7.54417954086035</v>
      </c>
    </row>
    <row r="143" spans="1:9" x14ac:dyDescent="0.25">
      <c r="A143">
        <v>1000</v>
      </c>
      <c r="B143">
        <v>1890.290405</v>
      </c>
      <c r="C143">
        <v>-8.2079520000000006</v>
      </c>
      <c r="D143" t="s">
        <v>603</v>
      </c>
      <c r="E143">
        <f t="shared" si="10"/>
        <v>406.29040499999996</v>
      </c>
      <c r="F143">
        <f t="shared" si="12"/>
        <v>0.58609499999994341</v>
      </c>
      <c r="G143">
        <v>1410</v>
      </c>
      <c r="H143">
        <f t="shared" si="13"/>
        <v>-0.53427338650365064</v>
      </c>
      <c r="I143">
        <f t="shared" si="11"/>
        <v>7.5444857496893611</v>
      </c>
    </row>
    <row r="144" spans="1:9" x14ac:dyDescent="0.25">
      <c r="A144">
        <v>1000</v>
      </c>
      <c r="B144">
        <v>1890.239746</v>
      </c>
      <c r="C144">
        <v>-8.2158470000000001</v>
      </c>
      <c r="D144" t="s">
        <v>604</v>
      </c>
      <c r="E144">
        <f t="shared" si="10"/>
        <v>406.23974599999997</v>
      </c>
      <c r="F144">
        <f t="shared" si="12"/>
        <v>0.5354359999999474</v>
      </c>
      <c r="G144">
        <v>1420</v>
      </c>
      <c r="H144">
        <f t="shared" si="13"/>
        <v>-0.62467391070931111</v>
      </c>
      <c r="I144">
        <f t="shared" si="11"/>
        <v>7.5444589497443904</v>
      </c>
    </row>
    <row r="145" spans="1:9" x14ac:dyDescent="0.25">
      <c r="A145">
        <v>1000</v>
      </c>
      <c r="B145">
        <v>1890.955811</v>
      </c>
      <c r="C145">
        <v>-8.2209009999999996</v>
      </c>
      <c r="D145" t="s">
        <v>605</v>
      </c>
      <c r="E145">
        <f t="shared" si="10"/>
        <v>406.95581100000004</v>
      </c>
      <c r="F145">
        <f t="shared" si="12"/>
        <v>1.2515010000000188</v>
      </c>
      <c r="G145">
        <v>1430</v>
      </c>
      <c r="H145">
        <f t="shared" si="13"/>
        <v>0.2243436309305383</v>
      </c>
      <c r="I145">
        <f t="shared" si="11"/>
        <v>7.5448377003261919</v>
      </c>
    </row>
    <row r="146" spans="1:9" x14ac:dyDescent="0.25">
      <c r="A146">
        <v>1000</v>
      </c>
      <c r="B146">
        <v>1891.5101320000001</v>
      </c>
      <c r="C146">
        <v>-8.2200399999999991</v>
      </c>
      <c r="D146" t="s">
        <v>606</v>
      </c>
      <c r="E146">
        <f t="shared" si="10"/>
        <v>407.51013200000011</v>
      </c>
      <c r="F146">
        <f t="shared" si="12"/>
        <v>1.8058220000000915</v>
      </c>
      <c r="G146">
        <v>1440</v>
      </c>
      <c r="H146">
        <f t="shared" si="13"/>
        <v>0.59101588978307917</v>
      </c>
      <c r="I146">
        <f t="shared" si="11"/>
        <v>7.5451308006540323</v>
      </c>
    </row>
    <row r="147" spans="1:9" x14ac:dyDescent="0.25">
      <c r="A147">
        <v>1000</v>
      </c>
      <c r="B147">
        <v>1891.5698239999999</v>
      </c>
      <c r="C147">
        <v>-8.1999460000000006</v>
      </c>
      <c r="D147" t="s">
        <v>607</v>
      </c>
      <c r="E147">
        <f t="shared" si="10"/>
        <v>407.56982399999993</v>
      </c>
      <c r="F147">
        <f t="shared" si="12"/>
        <v>1.8655139999999051</v>
      </c>
      <c r="G147">
        <v>1450</v>
      </c>
      <c r="H147">
        <f t="shared" si="13"/>
        <v>0.62353661834129603</v>
      </c>
      <c r="I147">
        <f t="shared" si="11"/>
        <v>7.545162358009784</v>
      </c>
    </row>
    <row r="148" spans="1:9" x14ac:dyDescent="0.25">
      <c r="A148">
        <v>1000</v>
      </c>
      <c r="B148">
        <v>1891.6689449999999</v>
      </c>
      <c r="C148">
        <v>-8.1956019999999992</v>
      </c>
      <c r="D148" t="s">
        <v>608</v>
      </c>
      <c r="E148">
        <f t="shared" si="10"/>
        <v>407.66894499999989</v>
      </c>
      <c r="F148">
        <f t="shared" si="12"/>
        <v>1.9646349999998733</v>
      </c>
      <c r="G148">
        <v>1460</v>
      </c>
      <c r="H148">
        <f t="shared" si="13"/>
        <v>0.67530647743124173</v>
      </c>
      <c r="I148">
        <f t="shared" si="11"/>
        <v>7.5452147580860549</v>
      </c>
    </row>
    <row r="149" spans="1:9" x14ac:dyDescent="0.25">
      <c r="A149">
        <v>1000</v>
      </c>
      <c r="B149">
        <v>1891.424561</v>
      </c>
      <c r="C149">
        <v>-8.1777490000000004</v>
      </c>
      <c r="D149" t="s">
        <v>609</v>
      </c>
      <c r="E149">
        <f t="shared" si="10"/>
        <v>407.42456100000004</v>
      </c>
      <c r="F149">
        <f t="shared" si="12"/>
        <v>1.7202510000000188</v>
      </c>
      <c r="G149">
        <v>1470</v>
      </c>
      <c r="H149">
        <f t="shared" si="13"/>
        <v>0.54247021041115018</v>
      </c>
      <c r="I149">
        <f t="shared" si="11"/>
        <v>7.5450855601162177</v>
      </c>
    </row>
    <row r="150" spans="1:9" x14ac:dyDescent="0.25">
      <c r="A150">
        <v>1000</v>
      </c>
      <c r="B150">
        <v>1891.0394289999999</v>
      </c>
      <c r="C150">
        <v>-8.1680360000000007</v>
      </c>
      <c r="D150" t="s">
        <v>610</v>
      </c>
      <c r="E150">
        <f t="shared" si="10"/>
        <v>407.03942899999993</v>
      </c>
      <c r="F150">
        <f t="shared" si="12"/>
        <v>1.3351189999999065</v>
      </c>
      <c r="G150">
        <v>1480</v>
      </c>
      <c r="H150">
        <f t="shared" si="13"/>
        <v>0.28902042645631498</v>
      </c>
      <c r="I150">
        <f t="shared" si="11"/>
        <v>7.5448819193136352</v>
      </c>
    </row>
    <row r="151" spans="1:9" x14ac:dyDescent="0.25">
      <c r="A151">
        <v>1000</v>
      </c>
      <c r="B151">
        <v>1891.0242920000001</v>
      </c>
      <c r="C151">
        <v>-8.1387479999999996</v>
      </c>
      <c r="D151" t="s">
        <v>611</v>
      </c>
      <c r="E151">
        <f t="shared" si="10"/>
        <v>407.02429200000006</v>
      </c>
      <c r="F151">
        <f t="shared" si="12"/>
        <v>1.3199820000000386</v>
      </c>
      <c r="G151">
        <v>1490</v>
      </c>
      <c r="H151">
        <f t="shared" si="13"/>
        <v>0.27761810014169636</v>
      </c>
      <c r="I151">
        <f t="shared" si="11"/>
        <v>7.5448739146891146</v>
      </c>
    </row>
    <row r="152" spans="1:9" x14ac:dyDescent="0.25">
      <c r="A152">
        <v>1000</v>
      </c>
      <c r="B152">
        <v>1891.3394780000001</v>
      </c>
      <c r="C152">
        <v>-8.1615330000000004</v>
      </c>
      <c r="D152" t="s">
        <v>612</v>
      </c>
      <c r="E152">
        <f t="shared" si="10"/>
        <v>407.3394780000001</v>
      </c>
      <c r="F152">
        <f t="shared" si="12"/>
        <v>1.6351680000000783</v>
      </c>
      <c r="G152">
        <v>1500</v>
      </c>
      <c r="H152">
        <f t="shared" si="13"/>
        <v>0.49174555136418729</v>
      </c>
      <c r="I152">
        <f t="shared" si="11"/>
        <v>7.5450405755498329</v>
      </c>
    </row>
    <row r="153" spans="1:9" x14ac:dyDescent="0.25">
      <c r="A153">
        <v>1000</v>
      </c>
      <c r="B153">
        <v>1892.199707</v>
      </c>
      <c r="C153">
        <v>-8.1434879999999996</v>
      </c>
      <c r="D153" t="s">
        <v>613</v>
      </c>
      <c r="E153">
        <f t="shared" si="10"/>
        <v>408.19970699999999</v>
      </c>
      <c r="F153">
        <f t="shared" si="12"/>
        <v>2.4953969999999686</v>
      </c>
      <c r="G153">
        <v>1510</v>
      </c>
      <c r="H153">
        <f t="shared" si="13"/>
        <v>0.91444783478197844</v>
      </c>
      <c r="I153">
        <f t="shared" si="11"/>
        <v>7.5454952974241207</v>
      </c>
    </row>
    <row r="154" spans="1:9" x14ac:dyDescent="0.25">
      <c r="A154">
        <v>1000</v>
      </c>
      <c r="B154">
        <v>1892.261841</v>
      </c>
      <c r="C154">
        <v>-8.1345410000000005</v>
      </c>
      <c r="D154" t="s">
        <v>614</v>
      </c>
      <c r="E154">
        <f t="shared" si="10"/>
        <v>408.261841</v>
      </c>
      <c r="F154">
        <f t="shared" si="12"/>
        <v>2.5575309999999831</v>
      </c>
      <c r="G154">
        <v>1520</v>
      </c>
      <c r="H154">
        <f t="shared" si="13"/>
        <v>0.9390423399822978</v>
      </c>
      <c r="I154">
        <f t="shared" si="11"/>
        <v>7.5455281337995039</v>
      </c>
    </row>
    <row r="155" spans="1:9" x14ac:dyDescent="0.25">
      <c r="A155">
        <v>1000</v>
      </c>
      <c r="B155">
        <v>1892.8905030000001</v>
      </c>
      <c r="C155">
        <v>-8.1429139999999993</v>
      </c>
      <c r="D155" t="s">
        <v>615</v>
      </c>
      <c r="E155">
        <f t="shared" si="10"/>
        <v>408.89050300000008</v>
      </c>
      <c r="F155">
        <f t="shared" si="12"/>
        <v>3.1861930000000598</v>
      </c>
      <c r="G155">
        <v>1530</v>
      </c>
      <c r="H155">
        <f t="shared" si="13"/>
        <v>1.1588267871798106</v>
      </c>
      <c r="I155">
        <f t="shared" si="11"/>
        <v>7.545860306430165</v>
      </c>
    </row>
    <row r="156" spans="1:9" x14ac:dyDescent="0.25">
      <c r="A156">
        <v>1000</v>
      </c>
      <c r="B156">
        <v>1892.4075929999999</v>
      </c>
      <c r="C156">
        <v>-8.1487060000000007</v>
      </c>
      <c r="D156" t="s">
        <v>616</v>
      </c>
      <c r="E156">
        <f t="shared" si="10"/>
        <v>408.40759299999991</v>
      </c>
      <c r="F156">
        <f t="shared" si="12"/>
        <v>2.7032829999998853</v>
      </c>
      <c r="G156">
        <v>1540</v>
      </c>
      <c r="H156">
        <f t="shared" si="13"/>
        <v>0.99446696029693127</v>
      </c>
      <c r="I156">
        <f t="shared" si="11"/>
        <v>7.5456051561141937</v>
      </c>
    </row>
    <row r="157" spans="1:9" x14ac:dyDescent="0.25">
      <c r="A157">
        <v>1000</v>
      </c>
      <c r="B157">
        <v>1892.550659</v>
      </c>
      <c r="C157">
        <v>-8.151726</v>
      </c>
      <c r="D157" t="s">
        <v>617</v>
      </c>
      <c r="E157">
        <f t="shared" si="10"/>
        <v>408.550659</v>
      </c>
      <c r="F157">
        <f t="shared" si="12"/>
        <v>2.8463489999999751</v>
      </c>
      <c r="G157">
        <v>1550</v>
      </c>
      <c r="H157">
        <f t="shared" si="13"/>
        <v>1.0460371203995984</v>
      </c>
      <c r="I157">
        <f t="shared" si="11"/>
        <v>7.5456807532492443</v>
      </c>
    </row>
    <row r="158" spans="1:9" x14ac:dyDescent="0.25">
      <c r="A158">
        <v>1000</v>
      </c>
      <c r="B158">
        <v>1892.771362</v>
      </c>
      <c r="C158">
        <v>-8.1444030000000005</v>
      </c>
      <c r="D158" t="s">
        <v>618</v>
      </c>
      <c r="E158">
        <f t="shared" si="10"/>
        <v>408.77136199999995</v>
      </c>
      <c r="F158">
        <f t="shared" si="12"/>
        <v>3.0670519999999328</v>
      </c>
      <c r="G158">
        <v>1560</v>
      </c>
      <c r="H158">
        <f t="shared" si="13"/>
        <v>1.1207168396672029</v>
      </c>
      <c r="I158">
        <f t="shared" si="11"/>
        <v>7.5457973631434756</v>
      </c>
    </row>
    <row r="159" spans="1:9" x14ac:dyDescent="0.25">
      <c r="A159">
        <v>1000</v>
      </c>
      <c r="B159">
        <v>1893.102173</v>
      </c>
      <c r="C159">
        <v>-8.1397309999999994</v>
      </c>
      <c r="D159" t="s">
        <v>619</v>
      </c>
      <c r="E159">
        <f t="shared" si="10"/>
        <v>409.10217299999999</v>
      </c>
      <c r="F159">
        <f t="shared" si="12"/>
        <v>3.3978629999999725</v>
      </c>
      <c r="G159">
        <v>1570</v>
      </c>
      <c r="H159">
        <f t="shared" si="13"/>
        <v>1.2231467046029265</v>
      </c>
      <c r="I159">
        <f t="shared" si="11"/>
        <v>7.5459721238679336</v>
      </c>
    </row>
    <row r="160" spans="1:9" x14ac:dyDescent="0.25">
      <c r="A160">
        <v>1000</v>
      </c>
      <c r="B160">
        <v>1894.1724850000001</v>
      </c>
      <c r="C160">
        <v>-8.1461109999999994</v>
      </c>
      <c r="D160" t="s">
        <v>620</v>
      </c>
      <c r="E160">
        <f t="shared" si="10"/>
        <v>410.17248500000005</v>
      </c>
      <c r="F160">
        <f t="shared" si="12"/>
        <v>4.4681750000000306</v>
      </c>
      <c r="G160">
        <v>1580</v>
      </c>
      <c r="H160">
        <f t="shared" si="13"/>
        <v>1.4969800478526507</v>
      </c>
      <c r="I160">
        <f t="shared" si="11"/>
        <v>7.5465373387652654</v>
      </c>
    </row>
    <row r="161" spans="1:9" x14ac:dyDescent="0.25">
      <c r="A161">
        <v>1000</v>
      </c>
      <c r="B161">
        <v>1894.024048</v>
      </c>
      <c r="C161">
        <v>-8.1388160000000003</v>
      </c>
      <c r="D161" t="s">
        <v>621</v>
      </c>
      <c r="E161">
        <f t="shared" si="10"/>
        <v>410.02404799999999</v>
      </c>
      <c r="F161">
        <f t="shared" si="12"/>
        <v>4.3197379999999725</v>
      </c>
      <c r="G161">
        <v>1590</v>
      </c>
      <c r="H161">
        <f t="shared" si="13"/>
        <v>1.4631947522686912</v>
      </c>
      <c r="I161">
        <f t="shared" si="11"/>
        <v>7.5464589706031164</v>
      </c>
    </row>
    <row r="162" spans="1:9" x14ac:dyDescent="0.25">
      <c r="A162">
        <v>1000</v>
      </c>
      <c r="B162">
        <v>1894.686279</v>
      </c>
      <c r="C162">
        <v>-8.1294730000000008</v>
      </c>
      <c r="D162" t="s">
        <v>622</v>
      </c>
      <c r="E162">
        <f t="shared" si="10"/>
        <v>410.68627900000001</v>
      </c>
      <c r="F162">
        <f t="shared" si="12"/>
        <v>4.9819689999999923</v>
      </c>
      <c r="G162">
        <v>1600</v>
      </c>
      <c r="H162">
        <f t="shared" si="13"/>
        <v>1.6058251944199855</v>
      </c>
      <c r="I162">
        <f t="shared" ref="I162:I187" si="14">LN(B162)</f>
        <v>7.5468085518323935</v>
      </c>
    </row>
    <row r="163" spans="1:9" x14ac:dyDescent="0.25">
      <c r="A163">
        <v>1000</v>
      </c>
      <c r="B163">
        <v>1894.7485349999999</v>
      </c>
      <c r="C163">
        <v>-8.1205390000000008</v>
      </c>
      <c r="D163" t="s">
        <v>623</v>
      </c>
      <c r="E163">
        <f t="shared" si="10"/>
        <v>410.74853499999995</v>
      </c>
      <c r="F163">
        <f t="shared" si="12"/>
        <v>5.0442249999999262</v>
      </c>
      <c r="G163">
        <v>1610</v>
      </c>
      <c r="H163">
        <f t="shared" si="13"/>
        <v>1.6182440245621768</v>
      </c>
      <c r="I163">
        <f t="shared" si="14"/>
        <v>7.5468414095027647</v>
      </c>
    </row>
    <row r="164" spans="1:9" x14ac:dyDescent="0.25">
      <c r="A164">
        <v>1000</v>
      </c>
      <c r="B164">
        <v>1894.8896480000001</v>
      </c>
      <c r="C164">
        <v>-8.1123969999999996</v>
      </c>
      <c r="D164" t="s">
        <v>624</v>
      </c>
      <c r="E164">
        <f t="shared" si="10"/>
        <v>410.88964800000008</v>
      </c>
      <c r="F164">
        <f t="shared" si="12"/>
        <v>5.1853380000000584</v>
      </c>
      <c r="G164">
        <v>1620</v>
      </c>
      <c r="H164">
        <f t="shared" si="13"/>
        <v>1.6458350275992839</v>
      </c>
      <c r="I164">
        <f t="shared" si="14"/>
        <v>7.5469158825755231</v>
      </c>
    </row>
    <row r="165" spans="1:9" x14ac:dyDescent="0.25">
      <c r="A165">
        <v>1000</v>
      </c>
      <c r="B165">
        <v>1895.2851559999999</v>
      </c>
      <c r="C165">
        <v>-8.1099519999999998</v>
      </c>
      <c r="D165" t="s">
        <v>625</v>
      </c>
      <c r="E165">
        <f t="shared" si="10"/>
        <v>411.28515599999992</v>
      </c>
      <c r="F165">
        <f t="shared" si="12"/>
        <v>5.5808459999998945</v>
      </c>
      <c r="G165">
        <v>1630</v>
      </c>
      <c r="H165">
        <f t="shared" si="13"/>
        <v>1.7193403778043519</v>
      </c>
      <c r="I165">
        <f t="shared" si="14"/>
        <v>7.547124584296097</v>
      </c>
    </row>
    <row r="166" spans="1:9" x14ac:dyDescent="0.25">
      <c r="A166">
        <v>1000</v>
      </c>
      <c r="B166">
        <v>1895.015991</v>
      </c>
      <c r="C166">
        <v>-8.1056899999999992</v>
      </c>
      <c r="D166" t="s">
        <v>626</v>
      </c>
      <c r="E166">
        <f t="shared" si="10"/>
        <v>411.01599099999999</v>
      </c>
      <c r="F166">
        <f t="shared" si="12"/>
        <v>5.3116809999999646</v>
      </c>
      <c r="G166">
        <v>1640</v>
      </c>
      <c r="H166">
        <f t="shared" si="13"/>
        <v>1.6699083576600464</v>
      </c>
      <c r="I166">
        <f t="shared" si="14"/>
        <v>7.5469825560033499</v>
      </c>
    </row>
    <row r="167" spans="1:9" x14ac:dyDescent="0.25">
      <c r="A167">
        <v>1000</v>
      </c>
      <c r="B167">
        <v>1895.450317</v>
      </c>
      <c r="C167">
        <v>-8.08826</v>
      </c>
      <c r="D167" t="s">
        <v>627</v>
      </c>
      <c r="E167">
        <f t="shared" si="10"/>
        <v>411.45031700000004</v>
      </c>
      <c r="F167">
        <f t="shared" si="12"/>
        <v>5.7460070000000201</v>
      </c>
      <c r="G167">
        <v>1650</v>
      </c>
      <c r="H167">
        <f t="shared" si="13"/>
        <v>1.748505178795134</v>
      </c>
      <c r="I167">
        <f t="shared" si="14"/>
        <v>7.5472117235867602</v>
      </c>
    </row>
    <row r="168" spans="1:9" x14ac:dyDescent="0.25">
      <c r="A168">
        <v>1000</v>
      </c>
      <c r="B168">
        <v>1895.3149410000001</v>
      </c>
      <c r="C168">
        <v>-8.0619630000000004</v>
      </c>
      <c r="D168" t="s">
        <v>628</v>
      </c>
      <c r="E168">
        <f t="shared" si="10"/>
        <v>411.31494100000009</v>
      </c>
      <c r="F168">
        <f t="shared" si="12"/>
        <v>5.610631000000069</v>
      </c>
      <c r="G168">
        <v>1660</v>
      </c>
      <c r="H168">
        <f t="shared" si="13"/>
        <v>1.7246631909278329</v>
      </c>
      <c r="I168">
        <f t="shared" si="14"/>
        <v>7.5471402994859025</v>
      </c>
    </row>
    <row r="169" spans="1:9" x14ac:dyDescent="0.25">
      <c r="A169">
        <v>1000</v>
      </c>
      <c r="B169">
        <v>1896.396606</v>
      </c>
      <c r="C169">
        <v>-8.0933949999999992</v>
      </c>
      <c r="D169" t="s">
        <v>629</v>
      </c>
      <c r="E169">
        <f t="shared" si="10"/>
        <v>412.39660600000002</v>
      </c>
      <c r="F169">
        <f t="shared" si="12"/>
        <v>6.6922959999999989</v>
      </c>
      <c r="G169">
        <v>1670</v>
      </c>
      <c r="H169">
        <f t="shared" si="13"/>
        <v>1.9009570140650838</v>
      </c>
      <c r="I169">
        <f t="shared" si="14"/>
        <v>7.5477108413195486</v>
      </c>
    </row>
    <row r="170" spans="1:9" x14ac:dyDescent="0.25">
      <c r="A170">
        <v>1000</v>
      </c>
      <c r="B170">
        <v>1896.917236</v>
      </c>
      <c r="C170">
        <v>-8.0810189999999995</v>
      </c>
      <c r="D170" t="s">
        <v>630</v>
      </c>
      <c r="E170">
        <f t="shared" si="10"/>
        <v>412.917236</v>
      </c>
      <c r="F170">
        <f t="shared" si="12"/>
        <v>7.2129259999999817</v>
      </c>
      <c r="G170">
        <v>1680</v>
      </c>
      <c r="H170">
        <f t="shared" si="13"/>
        <v>1.975874694214782</v>
      </c>
      <c r="I170">
        <f t="shared" si="14"/>
        <v>7.5479853400955292</v>
      </c>
    </row>
    <row r="171" spans="1:9" x14ac:dyDescent="0.25">
      <c r="A171">
        <v>1000</v>
      </c>
      <c r="B171">
        <v>1896.830933</v>
      </c>
      <c r="C171">
        <v>-8.0759779999999992</v>
      </c>
      <c r="D171" t="s">
        <v>631</v>
      </c>
      <c r="E171">
        <f t="shared" si="10"/>
        <v>412.83093299999996</v>
      </c>
      <c r="F171">
        <f t="shared" si="12"/>
        <v>7.1266229999999382</v>
      </c>
      <c r="G171">
        <v>1690</v>
      </c>
      <c r="H171">
        <f t="shared" si="13"/>
        <v>1.9638374896883068</v>
      </c>
      <c r="I171">
        <f t="shared" si="14"/>
        <v>7.5479398426106297</v>
      </c>
    </row>
    <row r="172" spans="1:9" x14ac:dyDescent="0.25">
      <c r="A172">
        <v>1000</v>
      </c>
      <c r="B172">
        <v>1896.3826899999999</v>
      </c>
      <c r="C172">
        <v>-8.0752539999999993</v>
      </c>
      <c r="D172" t="s">
        <v>632</v>
      </c>
      <c r="E172">
        <f t="shared" si="10"/>
        <v>412.38268999999991</v>
      </c>
      <c r="F172">
        <f t="shared" si="12"/>
        <v>6.6783799999998905</v>
      </c>
      <c r="G172">
        <v>1700</v>
      </c>
      <c r="H172">
        <f t="shared" si="13"/>
        <v>1.8988754431669674</v>
      </c>
      <c r="I172">
        <f t="shared" si="14"/>
        <v>7.5477035031651694</v>
      </c>
    </row>
    <row r="173" spans="1:9" x14ac:dyDescent="0.25">
      <c r="A173">
        <v>1000</v>
      </c>
      <c r="B173">
        <v>1896.8526609999999</v>
      </c>
      <c r="C173">
        <v>-8.0512669999999993</v>
      </c>
      <c r="D173" t="s">
        <v>633</v>
      </c>
      <c r="E173">
        <f t="shared" si="10"/>
        <v>412.8526609999999</v>
      </c>
      <c r="F173">
        <f t="shared" si="12"/>
        <v>7.1483509999998773</v>
      </c>
      <c r="G173">
        <v>1710</v>
      </c>
      <c r="H173">
        <f t="shared" si="13"/>
        <v>1.9668817007362267</v>
      </c>
      <c r="I173">
        <f t="shared" si="14"/>
        <v>7.547951297440461</v>
      </c>
    </row>
    <row r="174" spans="1:9" x14ac:dyDescent="0.25">
      <c r="A174">
        <v>1000</v>
      </c>
      <c r="B174">
        <v>1897.110107</v>
      </c>
      <c r="C174">
        <v>-8.0485349999999993</v>
      </c>
      <c r="D174" t="s">
        <v>634</v>
      </c>
      <c r="E174">
        <f t="shared" si="10"/>
        <v>413.11010699999997</v>
      </c>
      <c r="F174">
        <f t="shared" si="12"/>
        <v>7.40579699999995</v>
      </c>
      <c r="G174">
        <v>1720</v>
      </c>
      <c r="H174">
        <f t="shared" si="13"/>
        <v>2.0022630719078083</v>
      </c>
      <c r="I174">
        <f t="shared" si="14"/>
        <v>7.5480870109496001</v>
      </c>
    </row>
    <row r="175" spans="1:9" x14ac:dyDescent="0.25">
      <c r="A175">
        <v>1000</v>
      </c>
      <c r="B175">
        <v>1897.777832</v>
      </c>
      <c r="C175">
        <v>-8.0615249999999996</v>
      </c>
      <c r="D175" t="s">
        <v>635</v>
      </c>
      <c r="E175">
        <f t="shared" si="10"/>
        <v>413.77783199999999</v>
      </c>
      <c r="F175">
        <f t="shared" si="12"/>
        <v>8.0735219999999686</v>
      </c>
      <c r="G175">
        <v>1730</v>
      </c>
      <c r="H175">
        <f t="shared" si="13"/>
        <v>2.0885898183002118</v>
      </c>
      <c r="I175">
        <f t="shared" si="14"/>
        <v>7.5484389185777694</v>
      </c>
    </row>
    <row r="176" spans="1:9" x14ac:dyDescent="0.25">
      <c r="A176">
        <v>1000</v>
      </c>
      <c r="B176">
        <v>1897.6513669999999</v>
      </c>
      <c r="C176">
        <v>-8.0603099999999994</v>
      </c>
      <c r="D176" t="s">
        <v>636</v>
      </c>
      <c r="E176">
        <f t="shared" si="10"/>
        <v>413.65136699999994</v>
      </c>
      <c r="F176">
        <f t="shared" si="12"/>
        <v>7.9470569999999157</v>
      </c>
      <c r="G176">
        <v>1740</v>
      </c>
      <c r="H176">
        <f t="shared" si="13"/>
        <v>2.0728016714502409</v>
      </c>
      <c r="I176">
        <f t="shared" si="14"/>
        <v>7.5483722778931899</v>
      </c>
    </row>
    <row r="177" spans="1:9" x14ac:dyDescent="0.25">
      <c r="A177">
        <v>1000</v>
      </c>
      <c r="B177">
        <v>1897.7136230000001</v>
      </c>
      <c r="C177">
        <v>-8.0513899999999996</v>
      </c>
      <c r="D177" t="s">
        <v>637</v>
      </c>
      <c r="E177">
        <f t="shared" si="10"/>
        <v>413.7136230000001</v>
      </c>
      <c r="F177">
        <f t="shared" si="12"/>
        <v>8.009313000000077</v>
      </c>
      <c r="G177">
        <v>1750</v>
      </c>
      <c r="H177">
        <f t="shared" si="13"/>
        <v>2.0806049896117482</v>
      </c>
      <c r="I177">
        <f t="shared" si="14"/>
        <v>7.5484050842241599</v>
      </c>
    </row>
    <row r="178" spans="1:9" x14ac:dyDescent="0.25">
      <c r="A178">
        <v>1000</v>
      </c>
      <c r="B178">
        <v>1897.6345209999999</v>
      </c>
      <c r="C178">
        <v>-8.0309950000000008</v>
      </c>
      <c r="D178" t="s">
        <v>638</v>
      </c>
      <c r="E178">
        <f t="shared" si="10"/>
        <v>413.63452099999995</v>
      </c>
      <c r="F178">
        <f t="shared" si="12"/>
        <v>7.9302109999999288</v>
      </c>
      <c r="G178">
        <v>1760</v>
      </c>
      <c r="H178">
        <f t="shared" si="13"/>
        <v>2.0706796431111769</v>
      </c>
      <c r="I178">
        <f t="shared" si="14"/>
        <v>7.548363400564579</v>
      </c>
    </row>
    <row r="179" spans="1:9" x14ac:dyDescent="0.25">
      <c r="A179">
        <v>1000</v>
      </c>
      <c r="B179">
        <v>1897.8133539999999</v>
      </c>
      <c r="C179">
        <v>-8.0274839999999994</v>
      </c>
      <c r="D179" t="s">
        <v>639</v>
      </c>
      <c r="E179">
        <f t="shared" si="10"/>
        <v>413.81335399999989</v>
      </c>
      <c r="F179">
        <f t="shared" si="12"/>
        <v>8.1090439999998694</v>
      </c>
      <c r="G179">
        <v>1770</v>
      </c>
      <c r="H179">
        <f t="shared" si="13"/>
        <v>2.0929799820174821</v>
      </c>
      <c r="I179">
        <f t="shared" si="14"/>
        <v>7.54845763608356</v>
      </c>
    </row>
    <row r="180" spans="1:9" x14ac:dyDescent="0.25">
      <c r="A180">
        <v>1000</v>
      </c>
      <c r="B180">
        <v>1898.3988039999999</v>
      </c>
      <c r="C180">
        <v>-8.0173210000000008</v>
      </c>
      <c r="D180" t="s">
        <v>640</v>
      </c>
      <c r="E180">
        <f t="shared" si="10"/>
        <v>414.39880399999993</v>
      </c>
      <c r="F180">
        <f t="shared" si="12"/>
        <v>8.6944939999999065</v>
      </c>
      <c r="G180">
        <v>1780</v>
      </c>
      <c r="H180">
        <f t="shared" si="13"/>
        <v>2.1626899517483005</v>
      </c>
      <c r="I180">
        <f t="shared" si="14"/>
        <v>7.5487660751171415</v>
      </c>
    </row>
    <row r="181" spans="1:9" x14ac:dyDescent="0.25">
      <c r="A181">
        <v>1000</v>
      </c>
      <c r="B181">
        <v>1899.028564</v>
      </c>
      <c r="C181">
        <v>-8.0257079999999998</v>
      </c>
      <c r="D181" t="s">
        <v>641</v>
      </c>
      <c r="E181">
        <f t="shared" si="10"/>
        <v>415.02856399999996</v>
      </c>
      <c r="F181">
        <f t="shared" si="12"/>
        <v>9.3242539999999394</v>
      </c>
      <c r="G181">
        <v>1790</v>
      </c>
      <c r="H181">
        <f t="shared" si="13"/>
        <v>2.2326189623297021</v>
      </c>
      <c r="I181">
        <f t="shared" si="14"/>
        <v>7.5490977523000042</v>
      </c>
    </row>
    <row r="182" spans="1:9" x14ac:dyDescent="0.25">
      <c r="A182">
        <v>1000</v>
      </c>
      <c r="B182">
        <v>1899.2210689999999</v>
      </c>
      <c r="C182">
        <v>-8.0128679999999992</v>
      </c>
      <c r="D182" t="s">
        <v>642</v>
      </c>
      <c r="E182">
        <f t="shared" si="10"/>
        <v>415.22106899999994</v>
      </c>
      <c r="F182">
        <f t="shared" si="12"/>
        <v>9.5167589999999223</v>
      </c>
      <c r="G182">
        <v>1800</v>
      </c>
      <c r="H182">
        <f t="shared" si="13"/>
        <v>2.2530543496635422</v>
      </c>
      <c r="I182">
        <f t="shared" si="14"/>
        <v>7.5491991174122353</v>
      </c>
    </row>
    <row r="183" spans="1:9" x14ac:dyDescent="0.25">
      <c r="A183">
        <v>1000</v>
      </c>
      <c r="B183">
        <v>1899.715942</v>
      </c>
      <c r="C183">
        <v>-8.0511169999999996</v>
      </c>
      <c r="D183" t="s">
        <v>643</v>
      </c>
      <c r="E183">
        <f t="shared" si="10"/>
        <v>415.71594200000004</v>
      </c>
      <c r="F183">
        <f t="shared" si="12"/>
        <v>10.01163200000002</v>
      </c>
      <c r="G183">
        <v>1810</v>
      </c>
      <c r="H183">
        <f t="shared" si="13"/>
        <v>2.3037476170010871</v>
      </c>
      <c r="I183">
        <f t="shared" si="14"/>
        <v>7.5494596497671367</v>
      </c>
    </row>
    <row r="184" spans="1:9" x14ac:dyDescent="0.25">
      <c r="A184">
        <v>1000</v>
      </c>
      <c r="B184">
        <v>1900.4895019999999</v>
      </c>
      <c r="C184">
        <v>-8.0703639999999996</v>
      </c>
      <c r="D184" t="s">
        <v>644</v>
      </c>
      <c r="E184">
        <f t="shared" si="10"/>
        <v>416.4895019999999</v>
      </c>
      <c r="F184">
        <f t="shared" si="12"/>
        <v>10.785191999999881</v>
      </c>
      <c r="G184">
        <v>1820</v>
      </c>
      <c r="H184">
        <f t="shared" si="13"/>
        <v>2.3781740821861233</v>
      </c>
      <c r="I184">
        <f t="shared" si="14"/>
        <v>7.5498667646045234</v>
      </c>
    </row>
    <row r="185" spans="1:9" x14ac:dyDescent="0.25">
      <c r="A185">
        <v>1000</v>
      </c>
      <c r="B185">
        <v>1900.873169</v>
      </c>
      <c r="C185">
        <v>-8.1255659999999992</v>
      </c>
      <c r="D185" t="s">
        <v>645</v>
      </c>
      <c r="E185">
        <f t="shared" si="10"/>
        <v>416.87316899999996</v>
      </c>
      <c r="F185">
        <f t="shared" si="12"/>
        <v>11.168858999999941</v>
      </c>
      <c r="G185">
        <v>1830</v>
      </c>
      <c r="H185">
        <f t="shared" si="13"/>
        <v>2.4131294592512247</v>
      </c>
      <c r="I185">
        <f t="shared" si="14"/>
        <v>7.5500686222195466</v>
      </c>
    </row>
    <row r="186" spans="1:9" x14ac:dyDescent="0.25">
      <c r="A186">
        <v>1000</v>
      </c>
      <c r="B186">
        <v>1901.02478</v>
      </c>
      <c r="C186">
        <v>-8.1132310000000007</v>
      </c>
      <c r="D186" t="s">
        <v>646</v>
      </c>
      <c r="E186">
        <f t="shared" si="10"/>
        <v>417.02477999999996</v>
      </c>
      <c r="F186">
        <f t="shared" si="12"/>
        <v>11.320469999999943</v>
      </c>
      <c r="G186">
        <v>1840</v>
      </c>
      <c r="H186">
        <f t="shared" si="13"/>
        <v>2.426612591347753</v>
      </c>
      <c r="I186">
        <f t="shared" si="14"/>
        <v>7.5501483776480791</v>
      </c>
    </row>
    <row r="187" spans="1:9" x14ac:dyDescent="0.25">
      <c r="A187">
        <v>1000</v>
      </c>
      <c r="B187">
        <v>1901.452393</v>
      </c>
      <c r="C187">
        <v>-8.1189809999999998</v>
      </c>
      <c r="D187" t="s">
        <v>647</v>
      </c>
      <c r="E187">
        <f t="shared" si="10"/>
        <v>417.45239300000003</v>
      </c>
      <c r="F187">
        <f t="shared" si="12"/>
        <v>11.748083000000008</v>
      </c>
      <c r="G187">
        <v>1850</v>
      </c>
      <c r="H187">
        <f t="shared" si="13"/>
        <v>2.4636900783437632</v>
      </c>
      <c r="I187">
        <f t="shared" si="14"/>
        <v>7.5503732905048029</v>
      </c>
    </row>
    <row r="188" spans="1:9" x14ac:dyDescent="0.25">
      <c r="A188">
        <v>1000</v>
      </c>
      <c r="B188">
        <v>1901.3443600000001</v>
      </c>
      <c r="C188">
        <v>-8.1497989999999998</v>
      </c>
      <c r="D188" t="s">
        <v>648</v>
      </c>
      <c r="E188">
        <f t="shared" si="10"/>
        <v>417.34436000000005</v>
      </c>
      <c r="F188">
        <f t="shared" si="12"/>
        <v>11.640050000000031</v>
      </c>
      <c r="G188">
        <v>1860</v>
      </c>
      <c r="H188">
        <f t="shared" si="13"/>
        <v>2.4544517378267146</v>
      </c>
      <c r="I188">
        <f t="shared" ref="I188:I191" si="15">LN(B188)</f>
        <v>7.5503164728481957</v>
      </c>
    </row>
    <row r="189" spans="1:9" x14ac:dyDescent="0.25">
      <c r="A189">
        <v>1000</v>
      </c>
      <c r="B189">
        <v>1903.3927000000001</v>
      </c>
      <c r="C189">
        <v>-8.1815460000000009</v>
      </c>
      <c r="D189" t="s">
        <v>649</v>
      </c>
      <c r="E189">
        <f t="shared" si="10"/>
        <v>419.3927000000001</v>
      </c>
      <c r="F189">
        <f t="shared" si="12"/>
        <v>13.688390000000084</v>
      </c>
      <c r="G189">
        <v>1870</v>
      </c>
      <c r="H189">
        <f t="shared" si="13"/>
        <v>2.6165480282938831</v>
      </c>
      <c r="I189">
        <f t="shared" si="15"/>
        <v>7.55139320438869</v>
      </c>
    </row>
    <row r="190" spans="1:9" x14ac:dyDescent="0.25">
      <c r="A190">
        <v>1000</v>
      </c>
      <c r="B190">
        <v>1903.3901370000001</v>
      </c>
      <c r="C190">
        <v>-8.2073640000000001</v>
      </c>
      <c r="D190" t="s">
        <v>650</v>
      </c>
      <c r="E190">
        <f t="shared" si="10"/>
        <v>419.3901370000001</v>
      </c>
      <c r="F190">
        <f t="shared" si="12"/>
        <v>13.685827000000074</v>
      </c>
      <c r="G190">
        <v>1880</v>
      </c>
      <c r="H190">
        <f t="shared" si="13"/>
        <v>2.6163607717957342</v>
      </c>
      <c r="I190">
        <f t="shared" si="15"/>
        <v>7.5513918578448447</v>
      </c>
    </row>
    <row r="191" spans="1:9" x14ac:dyDescent="0.25">
      <c r="A191">
        <v>1000</v>
      </c>
      <c r="B191">
        <v>1903.588135</v>
      </c>
      <c r="C191">
        <v>-8.2246450000000006</v>
      </c>
      <c r="D191" t="s">
        <v>651</v>
      </c>
      <c r="E191">
        <f t="shared" si="10"/>
        <v>419.58813499999997</v>
      </c>
      <c r="F191">
        <f t="shared" si="12"/>
        <v>13.883824999999945</v>
      </c>
      <c r="G191">
        <v>1890</v>
      </c>
      <c r="H191">
        <f t="shared" si="13"/>
        <v>2.6307244934833376</v>
      </c>
      <c r="I191">
        <f t="shared" si="15"/>
        <v>7.5514958763004447</v>
      </c>
    </row>
    <row r="192" spans="1:9" x14ac:dyDescent="0.25">
      <c r="A192">
        <v>1000</v>
      </c>
      <c r="B192">
        <v>1904.3111570000001</v>
      </c>
      <c r="C192">
        <v>-8.2407369999999993</v>
      </c>
      <c r="D192" t="s">
        <v>652</v>
      </c>
      <c r="E192">
        <f t="shared" si="10"/>
        <v>420.31115700000009</v>
      </c>
      <c r="F192">
        <f t="shared" si="12"/>
        <v>14.606847000000073</v>
      </c>
      <c r="G192">
        <v>1900</v>
      </c>
      <c r="H192">
        <f t="shared" ref="H192:H196" si="16">LN(F192)</f>
        <v>2.6814903913837536</v>
      </c>
      <c r="I192">
        <f t="shared" ref="I192:I196" si="17">LN(B192)</f>
        <v>7.5518756247933778</v>
      </c>
    </row>
    <row r="193" spans="1:9" x14ac:dyDescent="0.25">
      <c r="A193">
        <v>1000</v>
      </c>
      <c r="B193">
        <v>1904.762939</v>
      </c>
      <c r="C193">
        <v>-8.2525940000000002</v>
      </c>
      <c r="D193" t="s">
        <v>653</v>
      </c>
      <c r="E193">
        <f t="shared" si="10"/>
        <v>420.76293899999996</v>
      </c>
      <c r="F193">
        <f t="shared" si="12"/>
        <v>15.058628999999939</v>
      </c>
      <c r="G193">
        <v>1910</v>
      </c>
      <c r="H193">
        <f t="shared" si="16"/>
        <v>2.7119511823711546</v>
      </c>
      <c r="I193">
        <f t="shared" si="17"/>
        <v>7.5521128383475027</v>
      </c>
    </row>
    <row r="194" spans="1:9" x14ac:dyDescent="0.25">
      <c r="A194">
        <v>1000</v>
      </c>
      <c r="B194">
        <v>1904.9985349999999</v>
      </c>
      <c r="C194">
        <v>-8.2435910000000003</v>
      </c>
      <c r="D194" t="s">
        <v>654</v>
      </c>
      <c r="E194">
        <f t="shared" ref="E194:E196" si="18">B194-$P$3</f>
        <v>420.99853499999995</v>
      </c>
      <c r="F194">
        <f t="shared" si="12"/>
        <v>15.294224999999926</v>
      </c>
      <c r="G194">
        <v>1920</v>
      </c>
      <c r="H194">
        <f t="shared" si="16"/>
        <v>2.7274753061654415</v>
      </c>
      <c r="I194">
        <f t="shared" si="17"/>
        <v>7.5522365185316342</v>
      </c>
    </row>
    <row r="195" spans="1:9" x14ac:dyDescent="0.25">
      <c r="A195">
        <v>1000</v>
      </c>
      <c r="B195">
        <v>1905.4724120000001</v>
      </c>
      <c r="C195">
        <v>-8.2616499999999995</v>
      </c>
      <c r="D195" t="s">
        <v>655</v>
      </c>
      <c r="E195">
        <f t="shared" si="18"/>
        <v>421.47241200000008</v>
      </c>
      <c r="F195">
        <f t="shared" ref="F195:F196" si="19">E195-$R$3</f>
        <v>15.768102000000056</v>
      </c>
      <c r="G195">
        <v>1930</v>
      </c>
      <c r="H195">
        <f t="shared" si="16"/>
        <v>2.7579890386270649</v>
      </c>
      <c r="I195">
        <f t="shared" si="17"/>
        <v>7.5524852421193662</v>
      </c>
    </row>
    <row r="196" spans="1:9" x14ac:dyDescent="0.25">
      <c r="A196">
        <v>1000</v>
      </c>
      <c r="B196">
        <v>1906.3740230000001</v>
      </c>
      <c r="C196">
        <v>-8.2630169999999996</v>
      </c>
      <c r="D196" t="s">
        <v>656</v>
      </c>
      <c r="E196">
        <f t="shared" si="18"/>
        <v>422.37402300000008</v>
      </c>
      <c r="F196">
        <f t="shared" si="19"/>
        <v>16.669713000000058</v>
      </c>
      <c r="G196">
        <v>1940</v>
      </c>
      <c r="H196">
        <f t="shared" si="16"/>
        <v>2.8135934800578108</v>
      </c>
      <c r="I196">
        <f t="shared" si="17"/>
        <v>7.5529582994852325</v>
      </c>
    </row>
    <row r="197" spans="1:9" x14ac:dyDescent="0.25">
      <c r="A197">
        <v>1000</v>
      </c>
      <c r="B197">
        <v>1910.6967770000001</v>
      </c>
      <c r="C197">
        <v>-8.2745870000000004</v>
      </c>
      <c r="D197" t="s">
        <v>657</v>
      </c>
      <c r="E197">
        <f t="shared" ref="E197" si="20">B197-$P$3</f>
        <v>426.69677700000011</v>
      </c>
      <c r="F197">
        <f t="shared" ref="F197" si="21">E197-$R$3</f>
        <v>20.99246700000009</v>
      </c>
      <c r="G197">
        <v>1950</v>
      </c>
      <c r="H197">
        <f t="shared" ref="H197" si="22">LN(F197)</f>
        <v>3.0441636590843535</v>
      </c>
      <c r="I197">
        <f t="shared" ref="I197" si="23">LN(B197)</f>
        <v>7.5552232592276569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opLeftCell="A26" zoomScale="70" zoomScaleNormal="70" workbookViewId="0">
      <selection activeCell="S40" sqref="S40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6.71093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2015.4567870000001</v>
      </c>
      <c r="C2">
        <v>-12.973990000000001</v>
      </c>
      <c r="D2" t="s">
        <v>658</v>
      </c>
      <c r="E2">
        <f>B2-$P$3</f>
        <v>537.45678700000008</v>
      </c>
      <c r="F2">
        <f t="shared" ref="F2:F27" si="0">E2-$R$3</f>
        <v>50.707467000000065</v>
      </c>
      <c r="G2">
        <v>0</v>
      </c>
      <c r="H2">
        <f>LN(F2)</f>
        <v>3.9260731778592919</v>
      </c>
      <c r="I2">
        <f t="shared" ref="I2:I27" si="1">LN(B2)</f>
        <v>7.6086011419899879</v>
      </c>
      <c r="L2" s="1" t="s">
        <v>0</v>
      </c>
      <c r="M2" s="1"/>
      <c r="P2" t="s">
        <v>14</v>
      </c>
      <c r="R2" t="s">
        <v>15</v>
      </c>
    </row>
    <row r="3" spans="1:18" x14ac:dyDescent="0.25">
      <c r="A3">
        <v>1000</v>
      </c>
      <c r="B3">
        <v>2007.9575199999999</v>
      </c>
      <c r="C3">
        <v>-12.849708</v>
      </c>
      <c r="D3" t="s">
        <v>659</v>
      </c>
      <c r="E3">
        <f t="shared" ref="E3:E27" si="2">B3-$P$3</f>
        <v>529.95751999999993</v>
      </c>
      <c r="F3">
        <f t="shared" si="0"/>
        <v>43.20819999999992</v>
      </c>
      <c r="G3">
        <v>10</v>
      </c>
      <c r="H3">
        <f t="shared" ref="H3:H27" si="3">LN(F3)</f>
        <v>3.7660302920523248</v>
      </c>
      <c r="I3">
        <f t="shared" si="1"/>
        <v>7.6048733252093559</v>
      </c>
      <c r="K3" t="s">
        <v>2</v>
      </c>
      <c r="L3">
        <f>1/(0.001)</f>
        <v>1000</v>
      </c>
      <c r="M3" s="3" t="s">
        <v>3</v>
      </c>
      <c r="P3">
        <v>1478</v>
      </c>
      <c r="R3">
        <v>486.74932000000001</v>
      </c>
    </row>
    <row r="4" spans="1:18" x14ac:dyDescent="0.25">
      <c r="A4">
        <v>1000</v>
      </c>
      <c r="B4">
        <v>2001.9454350000001</v>
      </c>
      <c r="C4">
        <v>-12.717394000000001</v>
      </c>
      <c r="D4" t="s">
        <v>660</v>
      </c>
      <c r="E4">
        <f t="shared" si="2"/>
        <v>523.94543500000009</v>
      </c>
      <c r="F4">
        <f t="shared" si="0"/>
        <v>37.196115000000077</v>
      </c>
      <c r="G4">
        <v>20</v>
      </c>
      <c r="H4">
        <f t="shared" si="3"/>
        <v>3.6162043203414673</v>
      </c>
      <c r="I4">
        <f t="shared" si="1"/>
        <v>7.6018747042589796</v>
      </c>
      <c r="L4">
        <f>L3/60</f>
        <v>16.666666666666668</v>
      </c>
      <c r="M4" s="3" t="s">
        <v>4</v>
      </c>
      <c r="N4" s="3"/>
    </row>
    <row r="5" spans="1:18" x14ac:dyDescent="0.25">
      <c r="A5">
        <v>1000</v>
      </c>
      <c r="B5">
        <v>1996.8558350000001</v>
      </c>
      <c r="C5">
        <v>-12.596035000000001</v>
      </c>
      <c r="D5" t="s">
        <v>661</v>
      </c>
      <c r="E5">
        <f t="shared" si="2"/>
        <v>518.85583500000007</v>
      </c>
      <c r="F5">
        <f t="shared" si="0"/>
        <v>32.106515000000059</v>
      </c>
      <c r="G5">
        <v>30</v>
      </c>
      <c r="H5">
        <f t="shared" si="3"/>
        <v>3.4690589690440365</v>
      </c>
      <c r="I5">
        <f t="shared" si="1"/>
        <v>7.5993291400237561</v>
      </c>
      <c r="L5">
        <f>L4/60</f>
        <v>0.27777777777777779</v>
      </c>
      <c r="M5" s="3" t="s">
        <v>5</v>
      </c>
      <c r="N5" s="3"/>
    </row>
    <row r="6" spans="1:18" x14ac:dyDescent="0.25">
      <c r="A6">
        <v>1000</v>
      </c>
      <c r="B6">
        <v>1992.088501</v>
      </c>
      <c r="C6">
        <v>-12.523211</v>
      </c>
      <c r="D6" t="s">
        <v>662</v>
      </c>
      <c r="E6">
        <f t="shared" si="2"/>
        <v>514.08850099999995</v>
      </c>
      <c r="F6">
        <f t="shared" si="0"/>
        <v>27.33918099999994</v>
      </c>
      <c r="G6">
        <v>40</v>
      </c>
      <c r="H6">
        <f t="shared" si="3"/>
        <v>3.308320874738842</v>
      </c>
      <c r="I6">
        <f t="shared" si="1"/>
        <v>7.5969388653704915</v>
      </c>
    </row>
    <row r="7" spans="1:18" x14ac:dyDescent="0.25">
      <c r="A7">
        <v>1000</v>
      </c>
      <c r="B7">
        <v>1989.6945800000001</v>
      </c>
      <c r="C7">
        <v>-12.446754</v>
      </c>
      <c r="D7" t="s">
        <v>663</v>
      </c>
      <c r="E7">
        <f t="shared" si="2"/>
        <v>511.69458000000009</v>
      </c>
      <c r="F7">
        <f t="shared" si="0"/>
        <v>24.945260000000076</v>
      </c>
      <c r="G7">
        <v>50</v>
      </c>
      <c r="H7">
        <f t="shared" si="3"/>
        <v>3.2166838241891322</v>
      </c>
      <c r="I7">
        <f t="shared" si="1"/>
        <v>7.595736428552744</v>
      </c>
    </row>
    <row r="8" spans="1:18" x14ac:dyDescent="0.25">
      <c r="A8">
        <v>1000</v>
      </c>
      <c r="B8">
        <v>1986.6264650000001</v>
      </c>
      <c r="C8">
        <v>-12.378738999999999</v>
      </c>
      <c r="D8" t="s">
        <v>664</v>
      </c>
      <c r="E8">
        <f t="shared" si="2"/>
        <v>508.62646500000005</v>
      </c>
      <c r="F8">
        <f t="shared" si="0"/>
        <v>21.877145000000041</v>
      </c>
      <c r="G8">
        <v>60</v>
      </c>
      <c r="H8">
        <f t="shared" si="3"/>
        <v>3.0854424845792496</v>
      </c>
      <c r="I8">
        <f t="shared" si="1"/>
        <v>7.5941932354482855</v>
      </c>
    </row>
    <row r="9" spans="1:18" x14ac:dyDescent="0.25">
      <c r="A9">
        <v>1000</v>
      </c>
      <c r="B9">
        <v>1984.846802</v>
      </c>
      <c r="C9">
        <v>-12.298866</v>
      </c>
      <c r="D9" t="s">
        <v>665</v>
      </c>
      <c r="E9">
        <f t="shared" si="2"/>
        <v>506.84680200000003</v>
      </c>
      <c r="F9">
        <f t="shared" si="0"/>
        <v>20.097482000000014</v>
      </c>
      <c r="G9">
        <v>70</v>
      </c>
      <c r="H9">
        <f t="shared" si="3"/>
        <v>3.0005945335857933</v>
      </c>
      <c r="I9">
        <f t="shared" si="1"/>
        <v>7.5932970123091756</v>
      </c>
    </row>
    <row r="10" spans="1:18" x14ac:dyDescent="0.25">
      <c r="A10">
        <v>1000</v>
      </c>
      <c r="B10">
        <v>1983.0584719999999</v>
      </c>
      <c r="C10">
        <v>-12.243187000000001</v>
      </c>
      <c r="D10" t="s">
        <v>666</v>
      </c>
      <c r="E10">
        <f t="shared" si="2"/>
        <v>505.05847199999994</v>
      </c>
      <c r="F10">
        <f t="shared" si="0"/>
        <v>18.309151999999926</v>
      </c>
      <c r="G10">
        <v>80</v>
      </c>
      <c r="H10">
        <f t="shared" si="3"/>
        <v>2.9074010441240161</v>
      </c>
      <c r="I10">
        <f t="shared" si="1"/>
        <v>7.5923956147214833</v>
      </c>
    </row>
    <row r="11" spans="1:18" x14ac:dyDescent="0.25">
      <c r="A11">
        <v>1000</v>
      </c>
      <c r="B11">
        <v>1981.5623780000001</v>
      </c>
      <c r="C11">
        <v>-12.220648000000001</v>
      </c>
      <c r="D11" t="s">
        <v>667</v>
      </c>
      <c r="E11">
        <f t="shared" si="2"/>
        <v>503.56237800000008</v>
      </c>
      <c r="F11">
        <f t="shared" si="0"/>
        <v>16.813058000000069</v>
      </c>
      <c r="G11">
        <v>90</v>
      </c>
      <c r="H11">
        <f t="shared" si="3"/>
        <v>2.8221558464023779</v>
      </c>
      <c r="I11">
        <f t="shared" si="1"/>
        <v>7.5916408923267724</v>
      </c>
    </row>
    <row r="12" spans="1:18" x14ac:dyDescent="0.25">
      <c r="A12">
        <v>1000</v>
      </c>
      <c r="B12">
        <v>1979.8793949999999</v>
      </c>
      <c r="C12">
        <v>-12.150938999999999</v>
      </c>
      <c r="D12" t="s">
        <v>668</v>
      </c>
      <c r="E12">
        <f t="shared" si="2"/>
        <v>501.87939499999993</v>
      </c>
      <c r="F12">
        <f t="shared" si="0"/>
        <v>15.13007499999992</v>
      </c>
      <c r="G12">
        <v>100</v>
      </c>
      <c r="H12">
        <f t="shared" si="3"/>
        <v>2.7166844848269687</v>
      </c>
      <c r="I12">
        <f t="shared" si="1"/>
        <v>7.5907912102172315</v>
      </c>
    </row>
    <row r="13" spans="1:18" x14ac:dyDescent="0.25">
      <c r="A13">
        <v>1000</v>
      </c>
      <c r="B13">
        <v>1978.4259030000001</v>
      </c>
      <c r="C13">
        <v>-12.122935</v>
      </c>
      <c r="D13" t="s">
        <v>669</v>
      </c>
      <c r="E13">
        <f t="shared" si="2"/>
        <v>500.42590300000006</v>
      </c>
      <c r="F13">
        <f t="shared" si="0"/>
        <v>13.676583000000051</v>
      </c>
      <c r="G13">
        <v>110</v>
      </c>
      <c r="H13">
        <f t="shared" si="3"/>
        <v>2.6156851002922585</v>
      </c>
      <c r="I13">
        <f t="shared" si="1"/>
        <v>7.5900568090248512</v>
      </c>
    </row>
    <row r="14" spans="1:18" x14ac:dyDescent="0.25">
      <c r="A14">
        <v>1000</v>
      </c>
      <c r="B14">
        <v>1977.3961179999999</v>
      </c>
      <c r="C14">
        <v>-12.084427</v>
      </c>
      <c r="D14" t="s">
        <v>670</v>
      </c>
      <c r="E14">
        <f t="shared" si="2"/>
        <v>499.39611799999989</v>
      </c>
      <c r="F14">
        <f t="shared" si="0"/>
        <v>12.646797999999876</v>
      </c>
      <c r="G14">
        <v>120</v>
      </c>
      <c r="H14">
        <f t="shared" si="3"/>
        <v>2.5374040606029609</v>
      </c>
      <c r="I14">
        <f t="shared" si="1"/>
        <v>7.5895361662771261</v>
      </c>
    </row>
    <row r="15" spans="1:18" x14ac:dyDescent="0.25">
      <c r="A15">
        <v>1000</v>
      </c>
      <c r="B15">
        <v>1975.518433</v>
      </c>
      <c r="C15">
        <v>-12.026697</v>
      </c>
      <c r="D15" t="s">
        <v>671</v>
      </c>
      <c r="E15">
        <f t="shared" si="2"/>
        <v>497.51843299999996</v>
      </c>
      <c r="F15">
        <f t="shared" si="0"/>
        <v>10.769112999999948</v>
      </c>
      <c r="G15">
        <v>130</v>
      </c>
      <c r="H15">
        <f t="shared" si="3"/>
        <v>2.3766821293736817</v>
      </c>
      <c r="I15">
        <f t="shared" si="1"/>
        <v>7.5885861406102419</v>
      </c>
    </row>
    <row r="16" spans="1:18" x14ac:dyDescent="0.25">
      <c r="A16">
        <v>1000</v>
      </c>
      <c r="B16">
        <v>1974.0145259999999</v>
      </c>
      <c r="C16">
        <v>-11.972219000000001</v>
      </c>
      <c r="D16" t="s">
        <v>672</v>
      </c>
      <c r="E16">
        <f t="shared" si="2"/>
        <v>496.01452599999993</v>
      </c>
      <c r="F16">
        <f t="shared" si="0"/>
        <v>9.265205999999921</v>
      </c>
      <c r="G16">
        <v>140</v>
      </c>
      <c r="H16">
        <f t="shared" si="3"/>
        <v>2.226266093704925</v>
      </c>
      <c r="I16">
        <f t="shared" si="1"/>
        <v>7.5878245786289664</v>
      </c>
    </row>
    <row r="17" spans="1:9" x14ac:dyDescent="0.25">
      <c r="A17">
        <v>1000</v>
      </c>
      <c r="B17">
        <v>1973.239746</v>
      </c>
      <c r="C17">
        <v>-11.948411</v>
      </c>
      <c r="D17" t="s">
        <v>673</v>
      </c>
      <c r="E17">
        <f t="shared" si="2"/>
        <v>495.23974599999997</v>
      </c>
      <c r="F17">
        <f t="shared" si="0"/>
        <v>8.4904259999999567</v>
      </c>
      <c r="G17">
        <v>150</v>
      </c>
      <c r="H17">
        <f t="shared" si="3"/>
        <v>2.1389391757428888</v>
      </c>
      <c r="I17">
        <f t="shared" si="1"/>
        <v>7.5874320120717789</v>
      </c>
    </row>
    <row r="18" spans="1:9" x14ac:dyDescent="0.25">
      <c r="A18">
        <v>1000</v>
      </c>
      <c r="B18">
        <v>1971.943726</v>
      </c>
      <c r="C18">
        <v>-11.908875999999999</v>
      </c>
      <c r="D18" t="s">
        <v>674</v>
      </c>
      <c r="E18">
        <f t="shared" si="2"/>
        <v>493.94372599999997</v>
      </c>
      <c r="F18">
        <f t="shared" si="0"/>
        <v>7.1944059999999581</v>
      </c>
      <c r="G18">
        <v>160</v>
      </c>
      <c r="H18">
        <f t="shared" si="3"/>
        <v>1.973303779599801</v>
      </c>
      <c r="I18">
        <f t="shared" si="1"/>
        <v>7.5867749982442509</v>
      </c>
    </row>
    <row r="19" spans="1:9" x14ac:dyDescent="0.25">
      <c r="A19">
        <v>1000</v>
      </c>
      <c r="B19">
        <v>1970.5205080000001</v>
      </c>
      <c r="C19">
        <v>-11.833363</v>
      </c>
      <c r="D19" t="s">
        <v>675</v>
      </c>
      <c r="E19">
        <f t="shared" si="2"/>
        <v>492.52050800000006</v>
      </c>
      <c r="F19">
        <f t="shared" si="0"/>
        <v>5.7711880000000519</v>
      </c>
      <c r="G19">
        <v>170</v>
      </c>
      <c r="H19">
        <f t="shared" si="3"/>
        <v>1.752877951874716</v>
      </c>
      <c r="I19">
        <f t="shared" si="1"/>
        <v>7.5860530040916849</v>
      </c>
    </row>
    <row r="20" spans="1:9" x14ac:dyDescent="0.25">
      <c r="A20">
        <v>1000</v>
      </c>
      <c r="B20">
        <v>1967.88147</v>
      </c>
      <c r="C20">
        <v>-11.763367000000001</v>
      </c>
      <c r="D20" t="s">
        <v>676</v>
      </c>
      <c r="E20">
        <f t="shared" si="2"/>
        <v>489.88147000000004</v>
      </c>
      <c r="F20">
        <f t="shared" si="0"/>
        <v>3.1321500000000242</v>
      </c>
      <c r="G20">
        <v>180</v>
      </c>
      <c r="H20">
        <f t="shared" si="3"/>
        <v>1.1417196697020513</v>
      </c>
      <c r="I20">
        <f t="shared" si="1"/>
        <v>7.5847128471398433</v>
      </c>
    </row>
    <row r="21" spans="1:9" x14ac:dyDescent="0.25">
      <c r="A21">
        <v>1000</v>
      </c>
      <c r="B21">
        <v>1968.584717</v>
      </c>
      <c r="C21">
        <v>-11.790182</v>
      </c>
      <c r="D21" t="s">
        <v>677</v>
      </c>
      <c r="E21">
        <f t="shared" si="2"/>
        <v>490.58471699999996</v>
      </c>
      <c r="F21">
        <f t="shared" si="0"/>
        <v>3.8353969999999435</v>
      </c>
      <c r="G21">
        <v>190</v>
      </c>
      <c r="H21">
        <f t="shared" si="3"/>
        <v>1.3442729496699628</v>
      </c>
      <c r="I21">
        <f t="shared" si="1"/>
        <v>7.5850701457798291</v>
      </c>
    </row>
    <row r="22" spans="1:9" x14ac:dyDescent="0.25">
      <c r="A22">
        <v>1000</v>
      </c>
      <c r="B22">
        <v>1968.5554199999999</v>
      </c>
      <c r="C22">
        <v>-11.725759999999999</v>
      </c>
      <c r="D22" t="s">
        <v>678</v>
      </c>
      <c r="E22">
        <f t="shared" si="2"/>
        <v>490.55541999999991</v>
      </c>
      <c r="F22">
        <f t="shared" si="0"/>
        <v>3.8060999999999012</v>
      </c>
      <c r="G22">
        <v>200</v>
      </c>
      <c r="H22">
        <f t="shared" si="3"/>
        <v>1.3366050428324994</v>
      </c>
      <c r="I22">
        <f t="shared" si="1"/>
        <v>7.5850552634037989</v>
      </c>
    </row>
    <row r="23" spans="1:9" x14ac:dyDescent="0.25">
      <c r="A23">
        <v>1000</v>
      </c>
      <c r="B23">
        <v>1967.265625</v>
      </c>
      <c r="C23">
        <v>-11.673126</v>
      </c>
      <c r="D23" t="s">
        <v>679</v>
      </c>
      <c r="E23">
        <f t="shared" si="2"/>
        <v>489.265625</v>
      </c>
      <c r="F23">
        <f t="shared" si="0"/>
        <v>2.5163049999999885</v>
      </c>
      <c r="G23">
        <v>210</v>
      </c>
      <c r="H23">
        <f t="shared" si="3"/>
        <v>0.92279155565647597</v>
      </c>
      <c r="I23">
        <f t="shared" si="1"/>
        <v>7.5843998499429608</v>
      </c>
    </row>
    <row r="24" spans="1:9" x14ac:dyDescent="0.25">
      <c r="A24">
        <v>1000</v>
      </c>
      <c r="B24">
        <v>1964.665405</v>
      </c>
      <c r="C24">
        <v>-11.625123</v>
      </c>
      <c r="D24" t="s">
        <v>680</v>
      </c>
      <c r="E24">
        <f t="shared" si="2"/>
        <v>486.66540499999996</v>
      </c>
      <c r="F24">
        <f t="shared" si="0"/>
        <v>-8.3915000000047257E-2</v>
      </c>
      <c r="G24">
        <v>220</v>
      </c>
      <c r="H24" t="e">
        <f t="shared" si="3"/>
        <v>#NUM!</v>
      </c>
      <c r="I24">
        <f t="shared" si="1"/>
        <v>7.5830772324508375</v>
      </c>
    </row>
    <row r="25" spans="1:9" x14ac:dyDescent="0.25">
      <c r="A25">
        <v>1000</v>
      </c>
      <c r="B25">
        <v>1964.980591</v>
      </c>
      <c r="C25">
        <v>-11.616816999999999</v>
      </c>
      <c r="D25" t="s">
        <v>681</v>
      </c>
      <c r="E25">
        <f t="shared" si="2"/>
        <v>486.980591</v>
      </c>
      <c r="F25">
        <f t="shared" si="0"/>
        <v>0.23127099999999245</v>
      </c>
      <c r="G25">
        <v>230</v>
      </c>
      <c r="H25">
        <f t="shared" si="3"/>
        <v>-1.4641650959018764</v>
      </c>
      <c r="I25">
        <f t="shared" si="1"/>
        <v>7.5832376469008906</v>
      </c>
    </row>
    <row r="26" spans="1:9" x14ac:dyDescent="0.25">
      <c r="A26">
        <v>1000</v>
      </c>
      <c r="B26">
        <v>1964.8811040000001</v>
      </c>
      <c r="C26">
        <v>-11.613567</v>
      </c>
      <c r="D26" t="s">
        <v>682</v>
      </c>
      <c r="E26">
        <f t="shared" si="2"/>
        <v>486.88110400000005</v>
      </c>
      <c r="F26">
        <f t="shared" si="0"/>
        <v>0.13178400000003876</v>
      </c>
      <c r="G26">
        <v>240</v>
      </c>
      <c r="H26">
        <f t="shared" si="3"/>
        <v>-2.0265910603371617</v>
      </c>
      <c r="I26">
        <f t="shared" si="1"/>
        <v>7.5831870156025181</v>
      </c>
    </row>
    <row r="27" spans="1:9" x14ac:dyDescent="0.25">
      <c r="A27">
        <v>1000</v>
      </c>
      <c r="B27">
        <v>1963.3012699999999</v>
      </c>
      <c r="C27">
        <v>-11.573364</v>
      </c>
      <c r="D27" t="s">
        <v>683</v>
      </c>
      <c r="E27">
        <f t="shared" si="2"/>
        <v>485.30126999999993</v>
      </c>
      <c r="F27">
        <f t="shared" si="0"/>
        <v>-1.4480500000000802</v>
      </c>
      <c r="G27">
        <v>250</v>
      </c>
      <c r="H27" t="e">
        <f t="shared" si="3"/>
        <v>#NUM!</v>
      </c>
      <c r="I27">
        <f t="shared" si="1"/>
        <v>7.58238265677456</v>
      </c>
    </row>
    <row r="28" spans="1:9" x14ac:dyDescent="0.25">
      <c r="A28">
        <v>1000</v>
      </c>
      <c r="B28">
        <v>1963.17749</v>
      </c>
      <c r="C28">
        <v>-11.535688</v>
      </c>
      <c r="D28" t="s">
        <v>684</v>
      </c>
      <c r="E28">
        <f t="shared" ref="E28:E33" si="4">B28-$P$3</f>
        <v>485.17749000000003</v>
      </c>
      <c r="F28">
        <f t="shared" ref="F28:F33" si="5">E28-$R$3</f>
        <v>-1.5718299999999772</v>
      </c>
      <c r="G28">
        <v>260</v>
      </c>
      <c r="H28" t="e">
        <f t="shared" ref="H28:H33" si="6">LN(F28)</f>
        <v>#NUM!</v>
      </c>
      <c r="I28">
        <f t="shared" ref="I28:I33" si="7">LN(B28)</f>
        <v>7.5823196079169923</v>
      </c>
    </row>
    <row r="29" spans="1:9" x14ac:dyDescent="0.25">
      <c r="A29">
        <v>1000</v>
      </c>
      <c r="B29">
        <v>1961.755981</v>
      </c>
      <c r="C29">
        <v>-11.47139</v>
      </c>
      <c r="D29" t="s">
        <v>685</v>
      </c>
      <c r="E29">
        <f t="shared" si="4"/>
        <v>483.75598100000002</v>
      </c>
      <c r="F29">
        <f t="shared" si="5"/>
        <v>-2.9933389999999918</v>
      </c>
      <c r="G29">
        <v>270</v>
      </c>
      <c r="H29" t="e">
        <f t="shared" si="6"/>
        <v>#NUM!</v>
      </c>
      <c r="I29">
        <f t="shared" si="7"/>
        <v>7.5815952598113965</v>
      </c>
    </row>
    <row r="30" spans="1:9" x14ac:dyDescent="0.25">
      <c r="A30">
        <v>1000</v>
      </c>
      <c r="B30">
        <v>1961.881226</v>
      </c>
      <c r="C30">
        <v>-11.509078000000001</v>
      </c>
      <c r="D30" t="s">
        <v>686</v>
      </c>
      <c r="E30">
        <f t="shared" si="4"/>
        <v>483.88122599999997</v>
      </c>
      <c r="F30">
        <f t="shared" si="5"/>
        <v>-2.8680940000000419</v>
      </c>
      <c r="G30">
        <v>280</v>
      </c>
      <c r="H30" t="e">
        <f t="shared" si="6"/>
        <v>#NUM!</v>
      </c>
      <c r="I30">
        <f t="shared" si="7"/>
        <v>7.5816591010859264</v>
      </c>
    </row>
    <row r="31" spans="1:9" x14ac:dyDescent="0.25">
      <c r="A31">
        <v>1000</v>
      </c>
      <c r="B31">
        <v>1961.2653809999999</v>
      </c>
      <c r="C31">
        <v>-11.47725</v>
      </c>
      <c r="D31" t="s">
        <v>687</v>
      </c>
      <c r="E31">
        <f t="shared" si="4"/>
        <v>483.26538099999993</v>
      </c>
      <c r="F31">
        <f t="shared" si="5"/>
        <v>-3.4839390000000776</v>
      </c>
      <c r="G31">
        <v>290</v>
      </c>
      <c r="H31" t="e">
        <f t="shared" si="6"/>
        <v>#NUM!</v>
      </c>
      <c r="I31">
        <f t="shared" si="7"/>
        <v>7.5813451464639092</v>
      </c>
    </row>
    <row r="32" spans="1:9" x14ac:dyDescent="0.25">
      <c r="A32">
        <v>1000</v>
      </c>
      <c r="B32">
        <v>1960.8291019999999</v>
      </c>
      <c r="C32">
        <v>-11.428004</v>
      </c>
      <c r="D32" t="s">
        <v>688</v>
      </c>
      <c r="E32">
        <f t="shared" si="4"/>
        <v>482.82910199999992</v>
      </c>
      <c r="F32">
        <f t="shared" si="5"/>
        <v>-3.9202180000000908</v>
      </c>
      <c r="G32">
        <v>300</v>
      </c>
      <c r="H32" t="e">
        <f t="shared" si="6"/>
        <v>#NUM!</v>
      </c>
      <c r="I32">
        <f t="shared" si="7"/>
        <v>7.5811226740050275</v>
      </c>
    </row>
    <row r="33" spans="1:20" x14ac:dyDescent="0.25">
      <c r="A33">
        <v>1000</v>
      </c>
      <c r="B33">
        <v>1960.461548</v>
      </c>
      <c r="C33">
        <v>-11.394482</v>
      </c>
      <c r="D33" t="s">
        <v>689</v>
      </c>
      <c r="E33">
        <f t="shared" si="4"/>
        <v>482.46154799999999</v>
      </c>
      <c r="F33">
        <f t="shared" si="5"/>
        <v>-4.2877720000000181</v>
      </c>
      <c r="G33">
        <v>310</v>
      </c>
      <c r="H33" t="e">
        <f t="shared" si="6"/>
        <v>#NUM!</v>
      </c>
      <c r="I33">
        <f t="shared" si="7"/>
        <v>7.5809352081761041</v>
      </c>
    </row>
    <row r="39" spans="1:20" x14ac:dyDescent="0.25">
      <c r="S39">
        <v>-1.32E-2</v>
      </c>
    </row>
    <row r="40" spans="1:20" x14ac:dyDescent="0.25">
      <c r="R40" t="s">
        <v>2</v>
      </c>
      <c r="S40">
        <f>1/ABS(S39)</f>
        <v>75.757575757575765</v>
      </c>
      <c r="T40" s="3" t="s">
        <v>3</v>
      </c>
    </row>
    <row r="41" spans="1:20" x14ac:dyDescent="0.25">
      <c r="S41">
        <f>S40/60</f>
        <v>1.2626262626262628</v>
      </c>
      <c r="T41" s="3" t="s">
        <v>4</v>
      </c>
    </row>
    <row r="42" spans="1:20" x14ac:dyDescent="0.25">
      <c r="S42">
        <f>S41/60</f>
        <v>2.1043771043771045E-2</v>
      </c>
      <c r="T42" s="3" t="s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opLeftCell="C22" zoomScale="90" zoomScaleNormal="90" workbookViewId="0">
      <selection activeCell="T40" sqref="T40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9" max="9" width="14.285156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2310.3879390000002</v>
      </c>
      <c r="C2">
        <v>-13.041732</v>
      </c>
      <c r="D2" t="s">
        <v>690</v>
      </c>
      <c r="E2">
        <f>B2-$P$3</f>
        <v>826.38793900000019</v>
      </c>
      <c r="F2">
        <f>E2-$R$3</f>
        <v>302.49545900000021</v>
      </c>
      <c r="G2">
        <v>0</v>
      </c>
      <c r="H2">
        <f>LN(F2)</f>
        <v>5.7120662657879739</v>
      </c>
      <c r="I2">
        <f>LN(B2)</f>
        <v>7.7451707283767099</v>
      </c>
      <c r="L2" s="1" t="s">
        <v>0</v>
      </c>
      <c r="M2" s="1"/>
      <c r="O2" s="2"/>
      <c r="P2" t="s">
        <v>14</v>
      </c>
      <c r="R2" t="s">
        <v>15</v>
      </c>
    </row>
    <row r="3" spans="1:18" x14ac:dyDescent="0.25">
      <c r="A3">
        <v>1000</v>
      </c>
      <c r="B3">
        <v>2162.318115</v>
      </c>
      <c r="C3">
        <v>-12.827168</v>
      </c>
      <c r="D3" t="s">
        <v>691</v>
      </c>
      <c r="E3">
        <f t="shared" ref="E3:E28" si="0">B3-$P$3</f>
        <v>678.31811500000003</v>
      </c>
      <c r="F3">
        <f t="shared" ref="F3:F28" si="1">E3-$R$3</f>
        <v>154.42563500000006</v>
      </c>
      <c r="G3">
        <v>10</v>
      </c>
      <c r="H3">
        <f t="shared" ref="H3:H28" si="2">LN(F3)</f>
        <v>5.0397126536020016</v>
      </c>
      <c r="I3">
        <f t="shared" ref="I3:I28" si="3">LN(B3)</f>
        <v>7.6789361265981819</v>
      </c>
      <c r="K3" t="s">
        <v>2</v>
      </c>
      <c r="L3">
        <f>1/(0.0005)</f>
        <v>2000</v>
      </c>
      <c r="M3" s="3" t="s">
        <v>3</v>
      </c>
      <c r="O3" s="2"/>
      <c r="P3">
        <v>1484</v>
      </c>
      <c r="R3">
        <v>523.89247999999998</v>
      </c>
    </row>
    <row r="4" spans="1:18" x14ac:dyDescent="0.25">
      <c r="A4">
        <v>1000</v>
      </c>
      <c r="B4">
        <v>2090.9885250000002</v>
      </c>
      <c r="C4">
        <v>-12.110804</v>
      </c>
      <c r="D4" t="s">
        <v>692</v>
      </c>
      <c r="E4">
        <f t="shared" si="0"/>
        <v>606.98852500000021</v>
      </c>
      <c r="F4">
        <f t="shared" si="1"/>
        <v>83.096045000000231</v>
      </c>
      <c r="G4">
        <v>20</v>
      </c>
      <c r="H4">
        <f t="shared" si="2"/>
        <v>4.4199971074676787</v>
      </c>
      <c r="I4">
        <f t="shared" si="3"/>
        <v>7.6453922116086979</v>
      </c>
      <c r="L4">
        <f>L3/60</f>
        <v>33.333333333333336</v>
      </c>
      <c r="M4" s="3" t="s">
        <v>4</v>
      </c>
    </row>
    <row r="5" spans="1:18" x14ac:dyDescent="0.25">
      <c r="A5">
        <v>1000</v>
      </c>
      <c r="B5">
        <v>2073.9960940000001</v>
      </c>
      <c r="C5">
        <v>-11.893044</v>
      </c>
      <c r="D5" t="s">
        <v>693</v>
      </c>
      <c r="E5">
        <f t="shared" si="0"/>
        <v>589.99609400000008</v>
      </c>
      <c r="F5">
        <f t="shared" si="1"/>
        <v>66.103614000000107</v>
      </c>
      <c r="G5">
        <v>30</v>
      </c>
      <c r="H5">
        <f t="shared" si="2"/>
        <v>4.1912234200982832</v>
      </c>
      <c r="I5">
        <f t="shared" si="3"/>
        <v>7.637232505470438</v>
      </c>
      <c r="L5">
        <f>L4/60</f>
        <v>0.55555555555555558</v>
      </c>
      <c r="M5" s="3" t="s">
        <v>5</v>
      </c>
    </row>
    <row r="6" spans="1:18" x14ac:dyDescent="0.25">
      <c r="A6">
        <v>1000</v>
      </c>
      <c r="B6">
        <v>2063.4584960000002</v>
      </c>
      <c r="C6">
        <v>-11.655886000000001</v>
      </c>
      <c r="D6" t="s">
        <v>694</v>
      </c>
      <c r="E6">
        <f t="shared" si="0"/>
        <v>579.4584960000002</v>
      </c>
      <c r="F6">
        <f t="shared" si="1"/>
        <v>55.566016000000218</v>
      </c>
      <c r="G6">
        <v>40</v>
      </c>
      <c r="H6">
        <f t="shared" si="2"/>
        <v>4.0175717913620153</v>
      </c>
      <c r="I6">
        <f t="shared" si="3"/>
        <v>7.6321387355907957</v>
      </c>
    </row>
    <row r="7" spans="1:18" x14ac:dyDescent="0.25">
      <c r="A7">
        <v>1000</v>
      </c>
      <c r="B7">
        <v>2055.8996579999998</v>
      </c>
      <c r="C7">
        <v>-11.481688</v>
      </c>
      <c r="D7" t="s">
        <v>695</v>
      </c>
      <c r="E7">
        <f t="shared" si="0"/>
        <v>571.89965799999982</v>
      </c>
      <c r="F7">
        <f t="shared" si="1"/>
        <v>48.00717799999984</v>
      </c>
      <c r="G7">
        <v>50</v>
      </c>
      <c r="H7">
        <f t="shared" si="2"/>
        <v>3.8713505413943139</v>
      </c>
      <c r="I7">
        <f t="shared" si="3"/>
        <v>7.6284688209093705</v>
      </c>
    </row>
    <row r="8" spans="1:18" x14ac:dyDescent="0.25">
      <c r="A8">
        <v>1000</v>
      </c>
      <c r="B8">
        <v>2049.631836</v>
      </c>
      <c r="C8">
        <v>-11.333009000000001</v>
      </c>
      <c r="D8" t="s">
        <v>696</v>
      </c>
      <c r="E8">
        <f t="shared" si="0"/>
        <v>565.63183600000002</v>
      </c>
      <c r="F8">
        <f t="shared" si="1"/>
        <v>41.739356000000043</v>
      </c>
      <c r="G8">
        <v>60</v>
      </c>
      <c r="H8">
        <f t="shared" si="2"/>
        <v>3.7314444726847973</v>
      </c>
      <c r="I8">
        <f t="shared" si="3"/>
        <v>7.6254154638087224</v>
      </c>
    </row>
    <row r="9" spans="1:18" x14ac:dyDescent="0.25">
      <c r="A9">
        <v>1000</v>
      </c>
      <c r="B9">
        <v>2044.3907469999999</v>
      </c>
      <c r="C9">
        <v>-11.172321999999999</v>
      </c>
      <c r="D9" t="s">
        <v>697</v>
      </c>
      <c r="E9">
        <f t="shared" si="0"/>
        <v>560.39074699999992</v>
      </c>
      <c r="F9">
        <f t="shared" si="1"/>
        <v>36.498266999999942</v>
      </c>
      <c r="G9">
        <v>70</v>
      </c>
      <c r="H9">
        <f t="shared" si="2"/>
        <v>3.5972647800092044</v>
      </c>
      <c r="I9">
        <f t="shared" si="3"/>
        <v>7.6228551008615772</v>
      </c>
    </row>
    <row r="10" spans="1:18" x14ac:dyDescent="0.25">
      <c r="A10">
        <v>1000</v>
      </c>
      <c r="B10">
        <v>2038.9521480000001</v>
      </c>
      <c r="C10">
        <v>-11.037603000000001</v>
      </c>
      <c r="D10" t="s">
        <v>698</v>
      </c>
      <c r="E10">
        <f t="shared" si="0"/>
        <v>554.95214800000008</v>
      </c>
      <c r="F10">
        <f t="shared" si="1"/>
        <v>31.059668000000102</v>
      </c>
      <c r="G10">
        <v>80</v>
      </c>
      <c r="H10">
        <f t="shared" si="2"/>
        <v>3.4359101286743634</v>
      </c>
      <c r="I10">
        <f t="shared" si="3"/>
        <v>7.6201913019322225</v>
      </c>
    </row>
    <row r="11" spans="1:18" x14ac:dyDescent="0.25">
      <c r="A11">
        <v>1000</v>
      </c>
      <c r="B11">
        <v>2035.1967770000001</v>
      </c>
      <c r="C11">
        <v>-10.918608000000001</v>
      </c>
      <c r="D11" t="s">
        <v>699</v>
      </c>
      <c r="E11">
        <f t="shared" si="0"/>
        <v>551.19677700000011</v>
      </c>
      <c r="F11">
        <f t="shared" si="1"/>
        <v>27.304297000000133</v>
      </c>
      <c r="G11">
        <v>90</v>
      </c>
      <c r="H11">
        <f t="shared" si="2"/>
        <v>3.3070440890723534</v>
      </c>
      <c r="I11">
        <f t="shared" si="3"/>
        <v>7.6183477895164042</v>
      </c>
    </row>
    <row r="12" spans="1:18" x14ac:dyDescent="0.25">
      <c r="A12">
        <v>1000</v>
      </c>
      <c r="B12">
        <v>2031.353149</v>
      </c>
      <c r="C12">
        <v>-10.804584999999999</v>
      </c>
      <c r="D12" t="s">
        <v>700</v>
      </c>
      <c r="E12">
        <f t="shared" si="0"/>
        <v>547.35314900000003</v>
      </c>
      <c r="F12">
        <f t="shared" si="1"/>
        <v>23.460669000000053</v>
      </c>
      <c r="G12">
        <v>100</v>
      </c>
      <c r="H12">
        <f t="shared" si="2"/>
        <v>3.1553253594427813</v>
      </c>
      <c r="I12">
        <f t="shared" si="3"/>
        <v>7.6164574258348878</v>
      </c>
    </row>
    <row r="13" spans="1:18" x14ac:dyDescent="0.25">
      <c r="A13">
        <v>1000</v>
      </c>
      <c r="B13">
        <v>2028.1685789999999</v>
      </c>
      <c r="C13">
        <v>-10.712910000000001</v>
      </c>
      <c r="D13" t="s">
        <v>701</v>
      </c>
      <c r="E13">
        <f t="shared" si="0"/>
        <v>544.16857899999991</v>
      </c>
      <c r="F13">
        <f t="shared" si="1"/>
        <v>20.276098999999931</v>
      </c>
      <c r="G13">
        <v>110</v>
      </c>
      <c r="H13">
        <f t="shared" si="2"/>
        <v>3.0094428032180258</v>
      </c>
      <c r="I13">
        <f t="shared" si="3"/>
        <v>7.6148884869959659</v>
      </c>
    </row>
    <row r="14" spans="1:18" x14ac:dyDescent="0.25">
      <c r="A14">
        <v>1000</v>
      </c>
      <c r="B14">
        <v>2026.0117190000001</v>
      </c>
      <c r="C14">
        <v>-10.667980999999999</v>
      </c>
      <c r="D14" t="s">
        <v>702</v>
      </c>
      <c r="E14">
        <f t="shared" si="0"/>
        <v>542.01171900000008</v>
      </c>
      <c r="F14">
        <f t="shared" si="1"/>
        <v>18.119239000000107</v>
      </c>
      <c r="G14">
        <v>120</v>
      </c>
      <c r="H14">
        <f t="shared" si="2"/>
        <v>2.8969743019404128</v>
      </c>
      <c r="I14">
        <f t="shared" si="3"/>
        <v>7.6138244690959471</v>
      </c>
    </row>
    <row r="15" spans="1:18" x14ac:dyDescent="0.25">
      <c r="A15">
        <v>1000</v>
      </c>
      <c r="B15">
        <v>2023.6164550000001</v>
      </c>
      <c r="C15">
        <v>-10.594351</v>
      </c>
      <c r="D15" t="s">
        <v>703</v>
      </c>
      <c r="E15">
        <f t="shared" si="0"/>
        <v>539.61645500000009</v>
      </c>
      <c r="F15">
        <f t="shared" si="1"/>
        <v>15.72397500000011</v>
      </c>
      <c r="G15">
        <v>130</v>
      </c>
      <c r="H15">
        <f t="shared" si="2"/>
        <v>2.7551866176321296</v>
      </c>
      <c r="I15">
        <f t="shared" si="3"/>
        <v>7.6126415139324566</v>
      </c>
    </row>
    <row r="16" spans="1:18" x14ac:dyDescent="0.25">
      <c r="A16">
        <v>1000</v>
      </c>
      <c r="B16">
        <v>2021.4626459999999</v>
      </c>
      <c r="C16">
        <v>-10.507676</v>
      </c>
      <c r="D16" t="s">
        <v>704</v>
      </c>
      <c r="E16">
        <f t="shared" si="0"/>
        <v>537.46264599999995</v>
      </c>
      <c r="F16">
        <f t="shared" si="1"/>
        <v>13.570165999999972</v>
      </c>
      <c r="G16">
        <v>140</v>
      </c>
      <c r="H16">
        <f t="shared" si="2"/>
        <v>2.6078737066385722</v>
      </c>
      <c r="I16">
        <f t="shared" si="3"/>
        <v>7.6115766105524436</v>
      </c>
    </row>
    <row r="17" spans="1:9" x14ac:dyDescent="0.25">
      <c r="A17">
        <v>1000</v>
      </c>
      <c r="B17">
        <v>2019.6213379999999</v>
      </c>
      <c r="C17">
        <v>-10.424621999999999</v>
      </c>
      <c r="D17" t="s">
        <v>705</v>
      </c>
      <c r="E17">
        <f t="shared" si="0"/>
        <v>535.62133799999992</v>
      </c>
      <c r="F17">
        <f t="shared" si="1"/>
        <v>11.728857999999946</v>
      </c>
      <c r="G17">
        <v>150</v>
      </c>
      <c r="H17">
        <f t="shared" si="2"/>
        <v>2.462052300722108</v>
      </c>
      <c r="I17">
        <f t="shared" si="3"/>
        <v>7.6106653163874531</v>
      </c>
    </row>
    <row r="18" spans="1:9" x14ac:dyDescent="0.25">
      <c r="A18">
        <v>1000</v>
      </c>
      <c r="B18">
        <v>2017.0177000000001</v>
      </c>
      <c r="C18">
        <v>-10.346757</v>
      </c>
      <c r="D18" t="s">
        <v>706</v>
      </c>
      <c r="E18">
        <f t="shared" si="0"/>
        <v>533.0177000000001</v>
      </c>
      <c r="F18">
        <f t="shared" si="1"/>
        <v>9.1252200000001267</v>
      </c>
      <c r="G18">
        <v>160</v>
      </c>
      <c r="H18">
        <f t="shared" si="2"/>
        <v>2.2110420087669787</v>
      </c>
      <c r="I18">
        <f t="shared" si="3"/>
        <v>7.6093753133247315</v>
      </c>
    </row>
    <row r="19" spans="1:9" x14ac:dyDescent="0.25">
      <c r="A19">
        <v>1000</v>
      </c>
      <c r="B19">
        <v>2016.7376710000001</v>
      </c>
      <c r="C19">
        <v>-10.288399999999999</v>
      </c>
      <c r="D19" t="s">
        <v>707</v>
      </c>
      <c r="E19">
        <f t="shared" si="0"/>
        <v>532.73767100000009</v>
      </c>
      <c r="F19">
        <f t="shared" si="1"/>
        <v>8.8451910000001135</v>
      </c>
      <c r="G19">
        <v>170</v>
      </c>
      <c r="H19">
        <f t="shared" si="2"/>
        <v>2.1798739214995839</v>
      </c>
      <c r="I19">
        <f t="shared" si="3"/>
        <v>7.6092364704972946</v>
      </c>
    </row>
    <row r="20" spans="1:9" x14ac:dyDescent="0.25">
      <c r="A20">
        <v>1000</v>
      </c>
      <c r="B20">
        <v>2015.0626219999999</v>
      </c>
      <c r="C20">
        <v>-10.216042</v>
      </c>
      <c r="D20" t="s">
        <v>708</v>
      </c>
      <c r="E20">
        <f t="shared" si="0"/>
        <v>531.06262199999992</v>
      </c>
      <c r="F20">
        <f t="shared" si="1"/>
        <v>7.1701419999999416</v>
      </c>
      <c r="G20">
        <v>180</v>
      </c>
      <c r="H20">
        <f t="shared" si="2"/>
        <v>1.96992545915739</v>
      </c>
      <c r="I20">
        <f t="shared" si="3"/>
        <v>7.6084055518135081</v>
      </c>
    </row>
    <row r="21" spans="1:9" x14ac:dyDescent="0.25">
      <c r="A21">
        <v>1000</v>
      </c>
      <c r="B21">
        <v>2013.178467</v>
      </c>
      <c r="C21">
        <v>-10.170771</v>
      </c>
      <c r="D21" t="s">
        <v>709</v>
      </c>
      <c r="E21">
        <f t="shared" si="0"/>
        <v>529.17846699999996</v>
      </c>
      <c r="F21">
        <f t="shared" si="1"/>
        <v>5.2859869999999773</v>
      </c>
      <c r="G21">
        <v>190</v>
      </c>
      <c r="H21">
        <f t="shared" si="2"/>
        <v>1.665059356852546</v>
      </c>
      <c r="I21">
        <f t="shared" si="3"/>
        <v>7.6074700789379897</v>
      </c>
    </row>
    <row r="22" spans="1:9" x14ac:dyDescent="0.25">
      <c r="A22">
        <v>1000</v>
      </c>
      <c r="B22">
        <v>2011.959106</v>
      </c>
      <c r="C22">
        <v>-10.12688</v>
      </c>
      <c r="D22" t="s">
        <v>710</v>
      </c>
      <c r="E22">
        <f t="shared" si="0"/>
        <v>527.95910600000002</v>
      </c>
      <c r="F22">
        <f t="shared" si="1"/>
        <v>4.066626000000042</v>
      </c>
      <c r="G22">
        <v>200</v>
      </c>
      <c r="H22">
        <f t="shared" si="2"/>
        <v>1.4028136630211112</v>
      </c>
      <c r="I22">
        <f t="shared" si="3"/>
        <v>7.6068642059633715</v>
      </c>
    </row>
    <row r="23" spans="1:9" x14ac:dyDescent="0.25">
      <c r="A23">
        <v>1000</v>
      </c>
      <c r="B23">
        <v>2011.151245</v>
      </c>
      <c r="C23">
        <v>-10.074342</v>
      </c>
      <c r="D23" t="s">
        <v>711</v>
      </c>
      <c r="E23">
        <f t="shared" si="0"/>
        <v>527.15124500000002</v>
      </c>
      <c r="F23">
        <f t="shared" si="1"/>
        <v>3.2587650000000394</v>
      </c>
      <c r="G23">
        <v>210</v>
      </c>
      <c r="H23">
        <f t="shared" si="2"/>
        <v>1.1813482892469376</v>
      </c>
      <c r="I23">
        <f t="shared" si="3"/>
        <v>7.606462595795926</v>
      </c>
    </row>
    <row r="24" spans="1:9" x14ac:dyDescent="0.25">
      <c r="A24">
        <v>1000</v>
      </c>
      <c r="B24">
        <v>2010.100952</v>
      </c>
      <c r="C24">
        <v>-10.040464</v>
      </c>
      <c r="D24" t="s">
        <v>712</v>
      </c>
      <c r="E24">
        <f t="shared" si="0"/>
        <v>526.10095200000001</v>
      </c>
      <c r="F24">
        <f t="shared" si="1"/>
        <v>2.2084720000000289</v>
      </c>
      <c r="G24">
        <v>220</v>
      </c>
      <c r="H24">
        <f t="shared" si="2"/>
        <v>0.79230087368565594</v>
      </c>
      <c r="I24">
        <f t="shared" si="3"/>
        <v>7.6059402246675161</v>
      </c>
    </row>
    <row r="25" spans="1:9" x14ac:dyDescent="0.25">
      <c r="A25">
        <v>1000</v>
      </c>
      <c r="B25">
        <v>2009.3217770000001</v>
      </c>
      <c r="C25">
        <v>-9.9995370000000001</v>
      </c>
      <c r="D25" t="s">
        <v>713</v>
      </c>
      <c r="E25">
        <f t="shared" si="0"/>
        <v>525.32177700000011</v>
      </c>
      <c r="F25">
        <f t="shared" si="1"/>
        <v>1.4292970000001333</v>
      </c>
      <c r="G25">
        <v>230</v>
      </c>
      <c r="H25">
        <f t="shared" si="2"/>
        <v>0.35718271500127702</v>
      </c>
      <c r="I25">
        <f t="shared" si="3"/>
        <v>7.6055525197345979</v>
      </c>
    </row>
    <row r="26" spans="1:9" x14ac:dyDescent="0.25">
      <c r="A26">
        <v>1000</v>
      </c>
      <c r="B26">
        <v>2007.9111330000001</v>
      </c>
      <c r="C26">
        <v>-9.9369180000000004</v>
      </c>
      <c r="D26" t="s">
        <v>714</v>
      </c>
      <c r="E26">
        <f t="shared" si="0"/>
        <v>523.91113300000006</v>
      </c>
      <c r="F26">
        <f t="shared" si="1"/>
        <v>1.865300000008574E-2</v>
      </c>
      <c r="G26">
        <v>240</v>
      </c>
      <c r="H26">
        <f t="shared" si="2"/>
        <v>-3.9817482879151149</v>
      </c>
      <c r="I26">
        <f t="shared" si="3"/>
        <v>7.6048502233581692</v>
      </c>
    </row>
    <row r="27" spans="1:9" x14ac:dyDescent="0.25">
      <c r="A27">
        <v>1000</v>
      </c>
      <c r="B27">
        <v>2007.1145019999999</v>
      </c>
      <c r="C27">
        <v>-9.9153350000000007</v>
      </c>
      <c r="D27" t="s">
        <v>715</v>
      </c>
      <c r="E27">
        <f t="shared" si="0"/>
        <v>523.1145019999999</v>
      </c>
      <c r="F27">
        <f t="shared" si="1"/>
        <v>-0.77797800000007555</v>
      </c>
      <c r="G27">
        <v>250</v>
      </c>
      <c r="H27" t="e">
        <f t="shared" si="2"/>
        <v>#NUM!</v>
      </c>
      <c r="I27">
        <f t="shared" si="3"/>
        <v>7.6044533984893521</v>
      </c>
    </row>
    <row r="28" spans="1:9" x14ac:dyDescent="0.25">
      <c r="A28">
        <v>1000</v>
      </c>
      <c r="B28">
        <v>2006.2775879999999</v>
      </c>
      <c r="C28">
        <v>-9.8941610000000004</v>
      </c>
      <c r="D28" t="s">
        <v>716</v>
      </c>
      <c r="E28">
        <f t="shared" si="0"/>
        <v>522.27758799999992</v>
      </c>
      <c r="F28">
        <f t="shared" si="1"/>
        <v>-1.6148920000000544</v>
      </c>
      <c r="G28">
        <v>260</v>
      </c>
      <c r="H28" t="e">
        <f t="shared" si="2"/>
        <v>#NUM!</v>
      </c>
      <c r="I28">
        <f t="shared" si="3"/>
        <v>7.6040363378118192</v>
      </c>
    </row>
    <row r="29" spans="1:9" x14ac:dyDescent="0.25">
      <c r="A29">
        <v>1000</v>
      </c>
      <c r="B29">
        <v>2005.541138</v>
      </c>
      <c r="C29">
        <v>-9.8425519999999995</v>
      </c>
      <c r="D29" t="s">
        <v>717</v>
      </c>
      <c r="E29">
        <f t="shared" ref="E29:E36" si="4">B29-$P$3</f>
        <v>521.54113800000005</v>
      </c>
      <c r="F29">
        <f t="shared" ref="F29:F36" si="5">E29-$R$3</f>
        <v>-2.3513419999999314</v>
      </c>
      <c r="G29">
        <v>270</v>
      </c>
      <c r="H29" t="e">
        <f t="shared" ref="H29:H36" si="6">LN(F29)</f>
        <v>#NUM!</v>
      </c>
      <c r="I29">
        <f t="shared" ref="I29:I36" si="7">LN(B29)</f>
        <v>7.6036691975901034</v>
      </c>
    </row>
    <row r="30" spans="1:9" x14ac:dyDescent="0.25">
      <c r="A30">
        <v>1000</v>
      </c>
      <c r="B30">
        <v>2005.0454099999999</v>
      </c>
      <c r="C30">
        <v>-9.8201079999999994</v>
      </c>
      <c r="D30" t="s">
        <v>718</v>
      </c>
      <c r="E30">
        <f t="shared" si="4"/>
        <v>521.04540999999995</v>
      </c>
      <c r="F30">
        <f t="shared" si="5"/>
        <v>-2.8470700000000306</v>
      </c>
      <c r="G30">
        <v>280</v>
      </c>
      <c r="H30" t="e">
        <f t="shared" si="6"/>
        <v>#NUM!</v>
      </c>
      <c r="I30">
        <f t="shared" si="7"/>
        <v>7.6034219878632516</v>
      </c>
    </row>
    <row r="31" spans="1:9" x14ac:dyDescent="0.25">
      <c r="A31">
        <v>1000</v>
      </c>
      <c r="B31">
        <v>2004.2120359999999</v>
      </c>
      <c r="C31">
        <v>-9.8011890000000008</v>
      </c>
      <c r="D31" t="s">
        <v>719</v>
      </c>
      <c r="E31">
        <f t="shared" si="4"/>
        <v>520.2120359999999</v>
      </c>
      <c r="F31">
        <f t="shared" si="5"/>
        <v>-3.6804440000000795</v>
      </c>
      <c r="G31">
        <v>290</v>
      </c>
      <c r="H31" t="e">
        <f t="shared" si="6"/>
        <v>#NUM!</v>
      </c>
      <c r="I31">
        <f t="shared" si="7"/>
        <v>7.6030062629948798</v>
      </c>
    </row>
    <row r="32" spans="1:9" x14ac:dyDescent="0.25">
      <c r="A32">
        <v>1000</v>
      </c>
      <c r="B32">
        <v>2004.1861570000001</v>
      </c>
      <c r="C32">
        <v>-9.7478180000000005</v>
      </c>
      <c r="D32" t="s">
        <v>720</v>
      </c>
      <c r="E32">
        <f t="shared" si="4"/>
        <v>520.18615700000009</v>
      </c>
      <c r="F32">
        <f t="shared" si="5"/>
        <v>-3.7063229999998839</v>
      </c>
      <c r="G32">
        <v>300</v>
      </c>
      <c r="H32" t="e">
        <f t="shared" si="6"/>
        <v>#NUM!</v>
      </c>
      <c r="I32">
        <f t="shared" si="7"/>
        <v>7.6029933506050655</v>
      </c>
    </row>
    <row r="33" spans="1:21" x14ac:dyDescent="0.25">
      <c r="A33">
        <v>1000</v>
      </c>
      <c r="B33">
        <v>2003.6577150000001</v>
      </c>
      <c r="C33">
        <v>-9.751493</v>
      </c>
      <c r="D33" t="s">
        <v>721</v>
      </c>
      <c r="E33">
        <f t="shared" si="4"/>
        <v>519.65771500000005</v>
      </c>
      <c r="F33">
        <f t="shared" si="5"/>
        <v>-4.2347649999999248</v>
      </c>
      <c r="G33">
        <v>310</v>
      </c>
      <c r="H33" t="e">
        <f t="shared" si="6"/>
        <v>#NUM!</v>
      </c>
      <c r="I33">
        <f t="shared" si="7"/>
        <v>7.6027296467184176</v>
      </c>
    </row>
    <row r="34" spans="1:21" x14ac:dyDescent="0.25">
      <c r="A34">
        <v>1000</v>
      </c>
      <c r="B34">
        <v>2002.6180420000001</v>
      </c>
      <c r="C34">
        <v>-9.7173960000000008</v>
      </c>
      <c r="D34" t="s">
        <v>722</v>
      </c>
      <c r="E34">
        <f t="shared" si="4"/>
        <v>518.61804200000006</v>
      </c>
      <c r="F34">
        <f t="shared" si="5"/>
        <v>-5.2744379999999182</v>
      </c>
      <c r="G34">
        <v>320</v>
      </c>
      <c r="H34" t="e">
        <f t="shared" si="6"/>
        <v>#NUM!</v>
      </c>
      <c r="I34">
        <f t="shared" si="7"/>
        <v>7.602210624521045</v>
      </c>
    </row>
    <row r="35" spans="1:21" x14ac:dyDescent="0.25">
      <c r="A35">
        <v>1000</v>
      </c>
      <c r="B35">
        <v>2002.145874</v>
      </c>
      <c r="C35">
        <v>-9.6700079999999993</v>
      </c>
      <c r="D35" t="s">
        <v>723</v>
      </c>
      <c r="E35">
        <f t="shared" si="4"/>
        <v>518.14587400000005</v>
      </c>
      <c r="F35">
        <f t="shared" si="5"/>
        <v>-5.7466059999999288</v>
      </c>
      <c r="G35">
        <v>330</v>
      </c>
      <c r="H35" t="e">
        <f t="shared" si="6"/>
        <v>#NUM!</v>
      </c>
      <c r="I35">
        <f t="shared" si="7"/>
        <v>7.6019748213565679</v>
      </c>
    </row>
    <row r="36" spans="1:21" x14ac:dyDescent="0.25">
      <c r="A36">
        <v>1000</v>
      </c>
      <c r="B36">
        <v>2002.0479740000001</v>
      </c>
      <c r="C36">
        <v>-9.6500909999999998</v>
      </c>
      <c r="D36" t="s">
        <v>724</v>
      </c>
      <c r="E36">
        <f t="shared" si="4"/>
        <v>518.04797400000007</v>
      </c>
      <c r="F36">
        <f t="shared" si="5"/>
        <v>-5.8445059999999103</v>
      </c>
      <c r="G36">
        <v>340</v>
      </c>
      <c r="H36" t="e">
        <f t="shared" si="6"/>
        <v>#NUM!</v>
      </c>
      <c r="I36">
        <f t="shared" si="7"/>
        <v>7.6019259226250195</v>
      </c>
    </row>
    <row r="39" spans="1:21" x14ac:dyDescent="0.25">
      <c r="T39">
        <v>-1.49E-2</v>
      </c>
    </row>
    <row r="40" spans="1:21" x14ac:dyDescent="0.25">
      <c r="S40" t="s">
        <v>2</v>
      </c>
      <c r="T40">
        <f>1/ABS(T39)</f>
        <v>67.114093959731548</v>
      </c>
      <c r="U40" s="3" t="s">
        <v>3</v>
      </c>
    </row>
    <row r="41" spans="1:21" x14ac:dyDescent="0.25">
      <c r="T41">
        <f>T40/60</f>
        <v>1.1185682326621924</v>
      </c>
      <c r="U41" s="3" t="s">
        <v>4</v>
      </c>
    </row>
    <row r="42" spans="1:21" x14ac:dyDescent="0.25">
      <c r="T42">
        <f>T41/60</f>
        <v>1.8642803877703208E-2</v>
      </c>
      <c r="U42" s="3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K16" sqref="K16"/>
    </sheetView>
  </sheetViews>
  <sheetFormatPr baseColWidth="10" defaultRowHeight="15" x14ac:dyDescent="0.25"/>
  <cols>
    <col min="2" max="2" width="12.140625" bestFit="1" customWidth="1"/>
    <col min="3" max="3" width="14.28515625" bestFit="1" customWidth="1"/>
    <col min="4" max="4" width="12.85546875" bestFit="1" customWidth="1"/>
    <col min="5" max="5" width="15" bestFit="1" customWidth="1"/>
    <col min="6" max="6" width="12.42578125" bestFit="1" customWidth="1"/>
    <col min="7" max="7" width="14.5703125" bestFit="1" customWidth="1"/>
  </cols>
  <sheetData>
    <row r="1" spans="1:8" x14ac:dyDescent="0.25">
      <c r="A1" t="s">
        <v>20</v>
      </c>
    </row>
    <row r="2" spans="1:8" x14ac:dyDescent="0.25">
      <c r="B2" t="s">
        <v>18</v>
      </c>
      <c r="C2" t="s">
        <v>19</v>
      </c>
      <c r="D2" t="s">
        <v>24</v>
      </c>
      <c r="E2" t="s">
        <v>23</v>
      </c>
      <c r="F2" t="s">
        <v>22</v>
      </c>
      <c r="G2" t="s">
        <v>21</v>
      </c>
    </row>
    <row r="3" spans="1:8" x14ac:dyDescent="0.25">
      <c r="A3" t="s">
        <v>25</v>
      </c>
      <c r="B3" s="5">
        <f>Cu_1stPhase!S41</f>
        <v>-1.6999999999999999E-3</v>
      </c>
      <c r="C3" s="3" t="str">
        <f>PANI_1stPhase!T40</f>
        <v>-</v>
      </c>
      <c r="D3" s="5">
        <f>Cu_2ndPhase!S39</f>
        <v>-2.8999999999999998E-3</v>
      </c>
      <c r="E3" s="3">
        <f>PANI_2ndPhase!T40</f>
        <v>-1.2699999999999999E-2</v>
      </c>
      <c r="F3" s="3">
        <f>Cu_3rdPhase!S39</f>
        <v>-1.32E-2</v>
      </c>
      <c r="G3" s="3">
        <f>PANI_3rdPhase!T39</f>
        <v>-1.49E-2</v>
      </c>
    </row>
    <row r="4" spans="1:8" x14ac:dyDescent="0.25">
      <c r="A4" t="s">
        <v>26</v>
      </c>
      <c r="B4" s="5">
        <f>Cu_1stPhase!S42</f>
        <v>588.23529411764707</v>
      </c>
      <c r="C4" s="3" t="e">
        <f>PANI_1stPhase!T41</f>
        <v>#VALUE!</v>
      </c>
      <c r="D4" s="5">
        <f>Cu_2ndPhase!S40</f>
        <v>344.82758620689657</v>
      </c>
      <c r="E4" s="3">
        <f>PANI_2ndPhase!T41</f>
        <v>78.740157480314963</v>
      </c>
      <c r="F4" s="3">
        <f>Cu_3rdPhase!S40</f>
        <v>75.757575757575765</v>
      </c>
      <c r="G4" s="3">
        <f>PANI_3rdPhase!T40</f>
        <v>67.114093959731548</v>
      </c>
      <c r="H4" s="3" t="s">
        <v>3</v>
      </c>
    </row>
    <row r="5" spans="1:8" x14ac:dyDescent="0.25">
      <c r="B5" s="3"/>
      <c r="C5" s="3"/>
      <c r="D5" s="3"/>
      <c r="E5" s="3"/>
      <c r="F5" s="3"/>
      <c r="G5" s="3"/>
    </row>
    <row r="6" spans="1:8" x14ac:dyDescent="0.25">
      <c r="B6" s="3"/>
      <c r="C6" s="3"/>
      <c r="D6" s="3"/>
      <c r="E6" s="3"/>
      <c r="F6" s="3"/>
      <c r="G6" s="3"/>
    </row>
    <row r="7" spans="1:8" x14ac:dyDescent="0.25">
      <c r="B7" s="3"/>
      <c r="C7" s="3"/>
      <c r="D7" s="3"/>
      <c r="E7" s="3"/>
      <c r="F7" s="3"/>
      <c r="G7" s="3"/>
    </row>
    <row r="8" spans="1:8" x14ac:dyDescent="0.25">
      <c r="B8" s="3"/>
      <c r="C8" s="3"/>
      <c r="D8" s="3"/>
      <c r="E8" s="3"/>
      <c r="F8" s="3"/>
      <c r="G8" s="3"/>
    </row>
    <row r="9" spans="1:8" x14ac:dyDescent="0.25">
      <c r="B9" s="3"/>
      <c r="C9" s="3"/>
      <c r="D9" s="3"/>
      <c r="E9" s="3"/>
      <c r="F9" s="3"/>
      <c r="G9" s="3"/>
    </row>
    <row r="10" spans="1:8" x14ac:dyDescent="0.25">
      <c r="B10" s="3"/>
      <c r="C10" s="3"/>
      <c r="D10" s="3"/>
      <c r="E10" s="3"/>
      <c r="F10" s="3"/>
      <c r="G10" s="3"/>
    </row>
    <row r="11" spans="1:8" x14ac:dyDescent="0.25">
      <c r="B11" s="3"/>
      <c r="C11" s="3"/>
      <c r="D11" s="3"/>
      <c r="E11" s="3"/>
      <c r="F11" s="3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Cu_1stPhase</vt:lpstr>
      <vt:lpstr>PANI_1stPhase</vt:lpstr>
      <vt:lpstr>Cu_2ndPhase</vt:lpstr>
      <vt:lpstr>PANI_2ndPhase</vt:lpstr>
      <vt:lpstr>Cu_3rdPhase</vt:lpstr>
      <vt:lpstr>PANI_3rdPhase</vt:lpstr>
      <vt:lpstr>Summary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2021-11-29T12:26:09Z</dcterms:modified>
</cp:coreProperties>
</file>