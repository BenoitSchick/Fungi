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4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5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6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drea.enrile\switchdrive\Work_Projects\EVAL-AD590ELCZ_Test\python_Code\Measurement\8_batch\"/>
    </mc:Choice>
  </mc:AlternateContent>
  <bookViews>
    <workbookView xWindow="0" yWindow="0" windowWidth="25200" windowHeight="11250" firstSheet="2" activeTab="3"/>
  </bookViews>
  <sheets>
    <sheet name="Cu_1stPhase" sheetId="6" r:id="rId1"/>
    <sheet name="PANI_1stPhase" sheetId="7" r:id="rId2"/>
    <sheet name="Cu_2ndPhase" sheetId="1" r:id="rId3"/>
    <sheet name="PANI_2ndPhase" sheetId="2" r:id="rId4"/>
    <sheet name="Cu_3rdPhase" sheetId="4" r:id="rId5"/>
    <sheet name="PANI_3rdPhase" sheetId="5" r:id="rId6"/>
    <sheet name="Summary" sheetId="8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8" l="1"/>
  <c r="D3" i="8"/>
  <c r="B4" i="8"/>
  <c r="B3" i="8"/>
  <c r="S42" i="6"/>
  <c r="S43" i="6" s="1"/>
  <c r="S44" i="6" s="1"/>
  <c r="S40" i="1"/>
  <c r="S41" i="1" s="1"/>
  <c r="S42" i="1" s="1"/>
  <c r="H130" i="7"/>
  <c r="I130" i="7"/>
  <c r="H131" i="7"/>
  <c r="I131" i="7"/>
  <c r="H132" i="7"/>
  <c r="I132" i="7"/>
  <c r="H133" i="7"/>
  <c r="I133" i="7"/>
  <c r="H134" i="7"/>
  <c r="I134" i="7"/>
  <c r="H135" i="7"/>
  <c r="I135" i="7"/>
  <c r="E130" i="7"/>
  <c r="F130" i="7"/>
  <c r="E131" i="7"/>
  <c r="F131" i="7"/>
  <c r="E132" i="7"/>
  <c r="F132" i="7"/>
  <c r="E133" i="7"/>
  <c r="F133" i="7"/>
  <c r="E134" i="7"/>
  <c r="F134" i="7"/>
  <c r="E135" i="7"/>
  <c r="F135" i="7"/>
  <c r="H188" i="1"/>
  <c r="I188" i="1"/>
  <c r="H189" i="1"/>
  <c r="I189" i="1"/>
  <c r="H190" i="1"/>
  <c r="I190" i="1"/>
  <c r="H191" i="1"/>
  <c r="I191" i="1"/>
  <c r="H192" i="1"/>
  <c r="I192" i="1"/>
  <c r="H193" i="1"/>
  <c r="I193" i="1"/>
  <c r="H194" i="1"/>
  <c r="I194" i="1"/>
  <c r="E188" i="1"/>
  <c r="F188" i="1"/>
  <c r="E189" i="1"/>
  <c r="F189" i="1"/>
  <c r="E190" i="1"/>
  <c r="F190" i="1"/>
  <c r="E191" i="1"/>
  <c r="F191" i="1"/>
  <c r="E192" i="1"/>
  <c r="F192" i="1"/>
  <c r="E193" i="1"/>
  <c r="F193" i="1"/>
  <c r="E194" i="1"/>
  <c r="F194" i="1"/>
  <c r="H22" i="1"/>
  <c r="I22" i="1"/>
  <c r="H23" i="1"/>
  <c r="I23" i="1"/>
  <c r="H24" i="1"/>
  <c r="I24" i="1"/>
  <c r="H25" i="1"/>
  <c r="I25" i="1"/>
  <c r="H26" i="1"/>
  <c r="I26" i="1"/>
  <c r="H27" i="1"/>
  <c r="I27" i="1"/>
  <c r="H28" i="1"/>
  <c r="I28" i="1"/>
  <c r="H29" i="1"/>
  <c r="I29" i="1"/>
  <c r="H30" i="1"/>
  <c r="I30" i="1"/>
  <c r="H31" i="1"/>
  <c r="I31" i="1"/>
  <c r="H32" i="1"/>
  <c r="I32" i="1"/>
  <c r="H33" i="1"/>
  <c r="I33" i="1"/>
  <c r="H34" i="1"/>
  <c r="I34" i="1"/>
  <c r="H35" i="1"/>
  <c r="I35" i="1"/>
  <c r="H36" i="1"/>
  <c r="I36" i="1"/>
  <c r="H37" i="1"/>
  <c r="I37" i="1"/>
  <c r="H38" i="1"/>
  <c r="I38" i="1"/>
  <c r="H39" i="1"/>
  <c r="I39" i="1"/>
  <c r="H40" i="1"/>
  <c r="I40" i="1"/>
  <c r="H41" i="1"/>
  <c r="I41" i="1"/>
  <c r="H42" i="1"/>
  <c r="I42" i="1"/>
  <c r="H43" i="1"/>
  <c r="I43" i="1"/>
  <c r="H44" i="1"/>
  <c r="I44" i="1"/>
  <c r="H45" i="1"/>
  <c r="I45" i="1"/>
  <c r="H46" i="1"/>
  <c r="I46" i="1"/>
  <c r="H47" i="1"/>
  <c r="I47" i="1"/>
  <c r="H48" i="1"/>
  <c r="I48" i="1"/>
  <c r="H49" i="1"/>
  <c r="I49" i="1"/>
  <c r="H50" i="1"/>
  <c r="I50" i="1"/>
  <c r="H51" i="1"/>
  <c r="I51" i="1"/>
  <c r="H52" i="1"/>
  <c r="I52" i="1"/>
  <c r="H53" i="1"/>
  <c r="I53" i="1"/>
  <c r="H54" i="1"/>
  <c r="I54" i="1"/>
  <c r="H55" i="1"/>
  <c r="I55" i="1"/>
  <c r="H56" i="1"/>
  <c r="I56" i="1"/>
  <c r="E22" i="1"/>
  <c r="F22" i="1"/>
  <c r="E23" i="1"/>
  <c r="F23" i="1"/>
  <c r="E24" i="1"/>
  <c r="F24" i="1"/>
  <c r="E25" i="1"/>
  <c r="F25" i="1"/>
  <c r="E26" i="1"/>
  <c r="F26" i="1"/>
  <c r="E27" i="1"/>
  <c r="F27" i="1"/>
  <c r="E28" i="1"/>
  <c r="F28" i="1"/>
  <c r="E29" i="1"/>
  <c r="F29" i="1"/>
  <c r="E30" i="1"/>
  <c r="F30" i="1"/>
  <c r="E31" i="1"/>
  <c r="F31" i="1"/>
  <c r="E32" i="1"/>
  <c r="F32" i="1"/>
  <c r="E33" i="1"/>
  <c r="F33" i="1"/>
  <c r="E34" i="1"/>
  <c r="F34" i="1"/>
  <c r="E35" i="1"/>
  <c r="F35" i="1"/>
  <c r="E36" i="1"/>
  <c r="F36" i="1"/>
  <c r="E37" i="1"/>
  <c r="F37" i="1"/>
  <c r="E38" i="1"/>
  <c r="F38" i="1"/>
  <c r="E39" i="1"/>
  <c r="F39" i="1"/>
  <c r="E40" i="1"/>
  <c r="F40" i="1"/>
  <c r="E41" i="1"/>
  <c r="F41" i="1"/>
  <c r="E42" i="1"/>
  <c r="F42" i="1"/>
  <c r="E43" i="1"/>
  <c r="F43" i="1"/>
  <c r="E44" i="1"/>
  <c r="F44" i="1"/>
  <c r="E45" i="1"/>
  <c r="F45" i="1"/>
  <c r="E46" i="1"/>
  <c r="F46" i="1"/>
  <c r="E47" i="1"/>
  <c r="F47" i="1"/>
  <c r="E48" i="1"/>
  <c r="F48" i="1"/>
  <c r="E49" i="1"/>
  <c r="F49" i="1"/>
  <c r="E50" i="1"/>
  <c r="F50" i="1"/>
  <c r="E51" i="1"/>
  <c r="F51" i="1"/>
  <c r="E52" i="1"/>
  <c r="F52" i="1"/>
  <c r="E53" i="1"/>
  <c r="F53" i="1"/>
  <c r="E54" i="1"/>
  <c r="F54" i="1"/>
  <c r="E55" i="1"/>
  <c r="F55" i="1"/>
  <c r="E56" i="1"/>
  <c r="F56" i="1"/>
  <c r="H192" i="2"/>
  <c r="I192" i="2"/>
  <c r="H193" i="2"/>
  <c r="I193" i="2"/>
  <c r="H194" i="2"/>
  <c r="I194" i="2"/>
  <c r="H195" i="2"/>
  <c r="I195" i="2"/>
  <c r="H196" i="2"/>
  <c r="I196" i="2"/>
  <c r="F192" i="2"/>
  <c r="F193" i="2"/>
  <c r="F194" i="2"/>
  <c r="F195" i="2"/>
  <c r="F196" i="2"/>
  <c r="E192" i="2"/>
  <c r="E193" i="2"/>
  <c r="E194" i="2"/>
  <c r="E195" i="2"/>
  <c r="E196" i="2"/>
  <c r="G3" i="8" l="1"/>
  <c r="F3" i="8"/>
  <c r="E3" i="8"/>
  <c r="C3" i="8"/>
  <c r="T40" i="5"/>
  <c r="T41" i="5" s="1"/>
  <c r="T42" i="5" s="1"/>
  <c r="S40" i="4"/>
  <c r="S41" i="4" s="1"/>
  <c r="S42" i="4" s="1"/>
  <c r="T41" i="7"/>
  <c r="T42" i="7" s="1"/>
  <c r="T43" i="7" s="1"/>
  <c r="T41" i="2"/>
  <c r="T42" i="2" s="1"/>
  <c r="T43" i="2" s="1"/>
  <c r="C4" i="8" l="1"/>
  <c r="E4" i="8"/>
  <c r="F4" i="8"/>
  <c r="G4" i="8"/>
  <c r="E3" i="6"/>
  <c r="F3" i="6" s="1"/>
  <c r="H3" i="6" s="1"/>
  <c r="E4" i="6"/>
  <c r="F4" i="6" s="1"/>
  <c r="H4" i="6" s="1"/>
  <c r="E5" i="6"/>
  <c r="F5" i="6" s="1"/>
  <c r="H5" i="6" s="1"/>
  <c r="E6" i="6"/>
  <c r="F6" i="6" s="1"/>
  <c r="H6" i="6" s="1"/>
  <c r="E7" i="6"/>
  <c r="F7" i="6" s="1"/>
  <c r="H7" i="6" s="1"/>
  <c r="E8" i="6"/>
  <c r="F8" i="6" s="1"/>
  <c r="H8" i="6" s="1"/>
  <c r="E9" i="6"/>
  <c r="F9" i="6" s="1"/>
  <c r="H9" i="6" s="1"/>
  <c r="E10" i="6"/>
  <c r="F10" i="6" s="1"/>
  <c r="H10" i="6" s="1"/>
  <c r="E11" i="6"/>
  <c r="F11" i="6" s="1"/>
  <c r="H11" i="6" s="1"/>
  <c r="E12" i="6"/>
  <c r="F12" i="6" s="1"/>
  <c r="H12" i="6" s="1"/>
  <c r="E13" i="6"/>
  <c r="F13" i="6" s="1"/>
  <c r="H13" i="6" s="1"/>
  <c r="E14" i="6"/>
  <c r="F14" i="6" s="1"/>
  <c r="H14" i="6" s="1"/>
  <c r="E15" i="6"/>
  <c r="F15" i="6" s="1"/>
  <c r="H15" i="6" s="1"/>
  <c r="E16" i="6"/>
  <c r="F16" i="6" s="1"/>
  <c r="H16" i="6" s="1"/>
  <c r="E17" i="6"/>
  <c r="F17" i="6" s="1"/>
  <c r="H17" i="6" s="1"/>
  <c r="E18" i="6"/>
  <c r="F18" i="6" s="1"/>
  <c r="H18" i="6" s="1"/>
  <c r="E19" i="6"/>
  <c r="F19" i="6" s="1"/>
  <c r="H19" i="6" s="1"/>
  <c r="E20" i="6"/>
  <c r="F20" i="6" s="1"/>
  <c r="H20" i="6" s="1"/>
  <c r="E21" i="6"/>
  <c r="F21" i="6" s="1"/>
  <c r="H21" i="6" s="1"/>
  <c r="E22" i="6"/>
  <c r="F22" i="6" s="1"/>
  <c r="H22" i="6" s="1"/>
  <c r="E23" i="6"/>
  <c r="F23" i="6" s="1"/>
  <c r="H23" i="6" s="1"/>
  <c r="E24" i="6"/>
  <c r="F24" i="6" s="1"/>
  <c r="H24" i="6" s="1"/>
  <c r="E25" i="6"/>
  <c r="F25" i="6" s="1"/>
  <c r="H25" i="6" s="1"/>
  <c r="E26" i="6"/>
  <c r="F26" i="6" s="1"/>
  <c r="H26" i="6" s="1"/>
  <c r="E27" i="6"/>
  <c r="F27" i="6" s="1"/>
  <c r="H27" i="6" s="1"/>
  <c r="E28" i="6"/>
  <c r="F28" i="6" s="1"/>
  <c r="H28" i="6" s="1"/>
  <c r="E29" i="6"/>
  <c r="F29" i="6" s="1"/>
  <c r="H29" i="6" s="1"/>
  <c r="E30" i="6"/>
  <c r="F30" i="6" s="1"/>
  <c r="H30" i="6" s="1"/>
  <c r="E31" i="6"/>
  <c r="F31" i="6" s="1"/>
  <c r="H31" i="6" s="1"/>
  <c r="E32" i="6"/>
  <c r="F32" i="6" s="1"/>
  <c r="H32" i="6" s="1"/>
  <c r="E33" i="6"/>
  <c r="F33" i="6" s="1"/>
  <c r="H33" i="6" s="1"/>
  <c r="E34" i="6"/>
  <c r="F34" i="6" s="1"/>
  <c r="H34" i="6" s="1"/>
  <c r="E35" i="6"/>
  <c r="F35" i="6" s="1"/>
  <c r="H35" i="6" s="1"/>
  <c r="E36" i="6"/>
  <c r="F36" i="6" s="1"/>
  <c r="H36" i="6" s="1"/>
  <c r="E37" i="6"/>
  <c r="F37" i="6" s="1"/>
  <c r="H37" i="6" s="1"/>
  <c r="E38" i="6"/>
  <c r="F38" i="6" s="1"/>
  <c r="H38" i="6" s="1"/>
  <c r="E39" i="6"/>
  <c r="F39" i="6" s="1"/>
  <c r="H39" i="6" s="1"/>
  <c r="E40" i="6"/>
  <c r="F40" i="6" s="1"/>
  <c r="H40" i="6" s="1"/>
  <c r="E41" i="6"/>
  <c r="F41" i="6" s="1"/>
  <c r="H41" i="6" s="1"/>
  <c r="E42" i="6"/>
  <c r="F42" i="6" s="1"/>
  <c r="H42" i="6" s="1"/>
  <c r="E43" i="6"/>
  <c r="F43" i="6" s="1"/>
  <c r="H43" i="6" s="1"/>
  <c r="E44" i="6"/>
  <c r="F44" i="6" s="1"/>
  <c r="H44" i="6" s="1"/>
  <c r="E45" i="6"/>
  <c r="F45" i="6" s="1"/>
  <c r="H45" i="6" s="1"/>
  <c r="E46" i="6"/>
  <c r="F46" i="6" s="1"/>
  <c r="H46" i="6" s="1"/>
  <c r="E47" i="6"/>
  <c r="F47" i="6" s="1"/>
  <c r="H47" i="6" s="1"/>
  <c r="E48" i="6"/>
  <c r="F48" i="6" s="1"/>
  <c r="H48" i="6" s="1"/>
  <c r="E49" i="6"/>
  <c r="F49" i="6" s="1"/>
  <c r="H49" i="6" s="1"/>
  <c r="E50" i="6"/>
  <c r="F50" i="6" s="1"/>
  <c r="H50" i="6" s="1"/>
  <c r="E51" i="6"/>
  <c r="F51" i="6" s="1"/>
  <c r="H51" i="6" s="1"/>
  <c r="E52" i="6"/>
  <c r="F52" i="6" s="1"/>
  <c r="H52" i="6" s="1"/>
  <c r="E53" i="6"/>
  <c r="F53" i="6" s="1"/>
  <c r="H53" i="6" s="1"/>
  <c r="E54" i="6"/>
  <c r="F54" i="6" s="1"/>
  <c r="H54" i="6" s="1"/>
  <c r="E55" i="6"/>
  <c r="F55" i="6" s="1"/>
  <c r="H55" i="6" s="1"/>
  <c r="E56" i="6"/>
  <c r="F56" i="6" s="1"/>
  <c r="H56" i="6" s="1"/>
  <c r="E57" i="6"/>
  <c r="F57" i="6" s="1"/>
  <c r="H57" i="6" s="1"/>
  <c r="E58" i="6"/>
  <c r="F58" i="6" s="1"/>
  <c r="H58" i="6" s="1"/>
  <c r="E59" i="6"/>
  <c r="F59" i="6" s="1"/>
  <c r="H59" i="6" s="1"/>
  <c r="E60" i="6"/>
  <c r="F60" i="6" s="1"/>
  <c r="H60" i="6" s="1"/>
  <c r="E61" i="6"/>
  <c r="F61" i="6" s="1"/>
  <c r="H61" i="6" s="1"/>
  <c r="E62" i="6"/>
  <c r="F62" i="6" s="1"/>
  <c r="H62" i="6" s="1"/>
  <c r="E63" i="6"/>
  <c r="F63" i="6" s="1"/>
  <c r="H63" i="6" s="1"/>
  <c r="E64" i="6"/>
  <c r="F64" i="6" s="1"/>
  <c r="H64" i="6" s="1"/>
  <c r="E65" i="6"/>
  <c r="F65" i="6" s="1"/>
  <c r="H65" i="6" s="1"/>
  <c r="E66" i="6"/>
  <c r="F66" i="6" s="1"/>
  <c r="H66" i="6" s="1"/>
  <c r="E67" i="6"/>
  <c r="F67" i="6" s="1"/>
  <c r="H67" i="6" s="1"/>
  <c r="E68" i="6"/>
  <c r="F68" i="6" s="1"/>
  <c r="H68" i="6" s="1"/>
  <c r="E69" i="6"/>
  <c r="F69" i="6" s="1"/>
  <c r="H69" i="6" s="1"/>
  <c r="E70" i="6"/>
  <c r="F70" i="6" s="1"/>
  <c r="H70" i="6" s="1"/>
  <c r="E71" i="6"/>
  <c r="F71" i="6" s="1"/>
  <c r="H71" i="6" s="1"/>
  <c r="E72" i="6"/>
  <c r="F72" i="6" s="1"/>
  <c r="H72" i="6" s="1"/>
  <c r="E73" i="6"/>
  <c r="F73" i="6" s="1"/>
  <c r="H73" i="6" s="1"/>
  <c r="E74" i="6"/>
  <c r="F74" i="6" s="1"/>
  <c r="H74" i="6" s="1"/>
  <c r="E75" i="6"/>
  <c r="F75" i="6" s="1"/>
  <c r="H75" i="6" s="1"/>
  <c r="E76" i="6"/>
  <c r="F76" i="6" s="1"/>
  <c r="H76" i="6" s="1"/>
  <c r="E77" i="6"/>
  <c r="F77" i="6" s="1"/>
  <c r="H77" i="6" s="1"/>
  <c r="E78" i="6"/>
  <c r="F78" i="6" s="1"/>
  <c r="H78" i="6" s="1"/>
  <c r="E79" i="6"/>
  <c r="F79" i="6" s="1"/>
  <c r="H79" i="6" s="1"/>
  <c r="E80" i="6"/>
  <c r="F80" i="6" s="1"/>
  <c r="H80" i="6" s="1"/>
  <c r="E81" i="6"/>
  <c r="F81" i="6" s="1"/>
  <c r="H81" i="6" s="1"/>
  <c r="E82" i="6"/>
  <c r="F82" i="6" s="1"/>
  <c r="H82" i="6" s="1"/>
  <c r="E83" i="6"/>
  <c r="F83" i="6" s="1"/>
  <c r="H83" i="6" s="1"/>
  <c r="E84" i="6"/>
  <c r="F84" i="6" s="1"/>
  <c r="H84" i="6" s="1"/>
  <c r="E85" i="6"/>
  <c r="F85" i="6" s="1"/>
  <c r="H85" i="6" s="1"/>
  <c r="E86" i="6"/>
  <c r="F86" i="6" s="1"/>
  <c r="H86" i="6" s="1"/>
  <c r="E87" i="6"/>
  <c r="F87" i="6" s="1"/>
  <c r="H87" i="6" s="1"/>
  <c r="E88" i="6"/>
  <c r="F88" i="6" s="1"/>
  <c r="H88" i="6" s="1"/>
  <c r="E89" i="6"/>
  <c r="F89" i="6" s="1"/>
  <c r="H89" i="6" s="1"/>
  <c r="E90" i="6"/>
  <c r="F90" i="6" s="1"/>
  <c r="H90" i="6" s="1"/>
  <c r="E91" i="6"/>
  <c r="F91" i="6" s="1"/>
  <c r="H91" i="6" s="1"/>
  <c r="E92" i="6"/>
  <c r="F92" i="6" s="1"/>
  <c r="H92" i="6" s="1"/>
  <c r="E93" i="6"/>
  <c r="F93" i="6" s="1"/>
  <c r="H93" i="6" s="1"/>
  <c r="E94" i="6"/>
  <c r="F94" i="6" s="1"/>
  <c r="H94" i="6" s="1"/>
  <c r="E95" i="6"/>
  <c r="F95" i="6" s="1"/>
  <c r="H95" i="6" s="1"/>
  <c r="E96" i="6"/>
  <c r="F96" i="6" s="1"/>
  <c r="H96" i="6" s="1"/>
  <c r="E97" i="6"/>
  <c r="F97" i="6" s="1"/>
  <c r="H97" i="6" s="1"/>
  <c r="E98" i="6"/>
  <c r="F98" i="6" s="1"/>
  <c r="H98" i="6" s="1"/>
  <c r="E99" i="6"/>
  <c r="F99" i="6" s="1"/>
  <c r="H99" i="6" s="1"/>
  <c r="E100" i="6"/>
  <c r="F100" i="6" s="1"/>
  <c r="H100" i="6" s="1"/>
  <c r="E101" i="6"/>
  <c r="F101" i="6" s="1"/>
  <c r="H101" i="6" s="1"/>
  <c r="E102" i="6"/>
  <c r="F102" i="6" s="1"/>
  <c r="H102" i="6" s="1"/>
  <c r="E103" i="6"/>
  <c r="F103" i="6" s="1"/>
  <c r="H103" i="6" s="1"/>
  <c r="E104" i="6"/>
  <c r="F104" i="6" s="1"/>
  <c r="H104" i="6" s="1"/>
  <c r="E105" i="6"/>
  <c r="F105" i="6" s="1"/>
  <c r="H105" i="6" s="1"/>
  <c r="E106" i="6"/>
  <c r="F106" i="6" s="1"/>
  <c r="H106" i="6" s="1"/>
  <c r="E107" i="6"/>
  <c r="F107" i="6" s="1"/>
  <c r="H107" i="6" s="1"/>
  <c r="E108" i="6"/>
  <c r="F108" i="6" s="1"/>
  <c r="H108" i="6" s="1"/>
  <c r="E109" i="6"/>
  <c r="F109" i="6" s="1"/>
  <c r="H109" i="6" s="1"/>
  <c r="E110" i="6"/>
  <c r="F110" i="6" s="1"/>
  <c r="H110" i="6" s="1"/>
  <c r="E111" i="6"/>
  <c r="F111" i="6" s="1"/>
  <c r="H111" i="6" s="1"/>
  <c r="E112" i="6"/>
  <c r="F112" i="6" s="1"/>
  <c r="H112" i="6" s="1"/>
  <c r="E113" i="6"/>
  <c r="F113" i="6" s="1"/>
  <c r="H113" i="6" s="1"/>
  <c r="E114" i="6"/>
  <c r="F114" i="6" s="1"/>
  <c r="H114" i="6" s="1"/>
  <c r="E115" i="6"/>
  <c r="F115" i="6" s="1"/>
  <c r="H115" i="6" s="1"/>
  <c r="E116" i="6"/>
  <c r="F116" i="6" s="1"/>
  <c r="H116" i="6" s="1"/>
  <c r="E117" i="6"/>
  <c r="F117" i="6" s="1"/>
  <c r="H117" i="6" s="1"/>
  <c r="E118" i="6"/>
  <c r="F118" i="6" s="1"/>
  <c r="H118" i="6" s="1"/>
  <c r="E119" i="6"/>
  <c r="F119" i="6" s="1"/>
  <c r="H119" i="6" s="1"/>
  <c r="E2" i="6"/>
  <c r="F2" i="6" s="1"/>
  <c r="H2" i="6" s="1"/>
  <c r="I120" i="7"/>
  <c r="I121" i="7"/>
  <c r="I122" i="7"/>
  <c r="I123" i="7"/>
  <c r="I124" i="7"/>
  <c r="I125" i="7"/>
  <c r="I126" i="7"/>
  <c r="I127" i="7"/>
  <c r="I128" i="7"/>
  <c r="I129" i="7"/>
  <c r="E3" i="7"/>
  <c r="F3" i="7" s="1"/>
  <c r="H3" i="7" s="1"/>
  <c r="E4" i="7"/>
  <c r="F4" i="7" s="1"/>
  <c r="H4" i="7" s="1"/>
  <c r="E5" i="7"/>
  <c r="F5" i="7" s="1"/>
  <c r="H5" i="7" s="1"/>
  <c r="E6" i="7"/>
  <c r="F6" i="7" s="1"/>
  <c r="H6" i="7" s="1"/>
  <c r="E7" i="7"/>
  <c r="F7" i="7" s="1"/>
  <c r="H7" i="7" s="1"/>
  <c r="E8" i="7"/>
  <c r="F8" i="7" s="1"/>
  <c r="H8" i="7" s="1"/>
  <c r="E9" i="7"/>
  <c r="F9" i="7" s="1"/>
  <c r="H9" i="7" s="1"/>
  <c r="E10" i="7"/>
  <c r="F10" i="7" s="1"/>
  <c r="H10" i="7" s="1"/>
  <c r="E11" i="7"/>
  <c r="F11" i="7" s="1"/>
  <c r="H11" i="7" s="1"/>
  <c r="E12" i="7"/>
  <c r="F12" i="7" s="1"/>
  <c r="H12" i="7" s="1"/>
  <c r="E13" i="7"/>
  <c r="F13" i="7" s="1"/>
  <c r="H13" i="7" s="1"/>
  <c r="E14" i="7"/>
  <c r="F14" i="7" s="1"/>
  <c r="H14" i="7" s="1"/>
  <c r="E15" i="7"/>
  <c r="F15" i="7" s="1"/>
  <c r="H15" i="7" s="1"/>
  <c r="E16" i="7"/>
  <c r="F16" i="7" s="1"/>
  <c r="H16" i="7" s="1"/>
  <c r="E17" i="7"/>
  <c r="F17" i="7" s="1"/>
  <c r="H17" i="7" s="1"/>
  <c r="E18" i="7"/>
  <c r="F18" i="7" s="1"/>
  <c r="H18" i="7" s="1"/>
  <c r="E19" i="7"/>
  <c r="F19" i="7" s="1"/>
  <c r="H19" i="7" s="1"/>
  <c r="E20" i="7"/>
  <c r="F20" i="7" s="1"/>
  <c r="H20" i="7" s="1"/>
  <c r="E21" i="7"/>
  <c r="F21" i="7" s="1"/>
  <c r="H21" i="7" s="1"/>
  <c r="E22" i="7"/>
  <c r="F22" i="7" s="1"/>
  <c r="H22" i="7" s="1"/>
  <c r="E23" i="7"/>
  <c r="F23" i="7" s="1"/>
  <c r="H23" i="7" s="1"/>
  <c r="E24" i="7"/>
  <c r="F24" i="7" s="1"/>
  <c r="H24" i="7" s="1"/>
  <c r="E25" i="7"/>
  <c r="F25" i="7" s="1"/>
  <c r="H25" i="7" s="1"/>
  <c r="E26" i="7"/>
  <c r="F26" i="7" s="1"/>
  <c r="H26" i="7" s="1"/>
  <c r="E27" i="7"/>
  <c r="F27" i="7" s="1"/>
  <c r="H27" i="7" s="1"/>
  <c r="E28" i="7"/>
  <c r="F28" i="7" s="1"/>
  <c r="H28" i="7" s="1"/>
  <c r="E29" i="7"/>
  <c r="F29" i="7" s="1"/>
  <c r="H29" i="7" s="1"/>
  <c r="E30" i="7"/>
  <c r="F30" i="7" s="1"/>
  <c r="H30" i="7" s="1"/>
  <c r="E31" i="7"/>
  <c r="F31" i="7" s="1"/>
  <c r="H31" i="7" s="1"/>
  <c r="E32" i="7"/>
  <c r="F32" i="7" s="1"/>
  <c r="H32" i="7" s="1"/>
  <c r="E33" i="7"/>
  <c r="F33" i="7" s="1"/>
  <c r="H33" i="7" s="1"/>
  <c r="E34" i="7"/>
  <c r="F34" i="7" s="1"/>
  <c r="H34" i="7" s="1"/>
  <c r="E35" i="7"/>
  <c r="F35" i="7" s="1"/>
  <c r="H35" i="7" s="1"/>
  <c r="E36" i="7"/>
  <c r="F36" i="7" s="1"/>
  <c r="H36" i="7" s="1"/>
  <c r="E37" i="7"/>
  <c r="F37" i="7" s="1"/>
  <c r="H37" i="7" s="1"/>
  <c r="E38" i="7"/>
  <c r="F38" i="7" s="1"/>
  <c r="H38" i="7" s="1"/>
  <c r="E39" i="7"/>
  <c r="F39" i="7" s="1"/>
  <c r="H39" i="7" s="1"/>
  <c r="E40" i="7"/>
  <c r="F40" i="7" s="1"/>
  <c r="H40" i="7" s="1"/>
  <c r="E41" i="7"/>
  <c r="F41" i="7" s="1"/>
  <c r="H41" i="7" s="1"/>
  <c r="E42" i="7"/>
  <c r="F42" i="7" s="1"/>
  <c r="H42" i="7" s="1"/>
  <c r="E43" i="7"/>
  <c r="F43" i="7" s="1"/>
  <c r="H43" i="7" s="1"/>
  <c r="E44" i="7"/>
  <c r="F44" i="7" s="1"/>
  <c r="H44" i="7" s="1"/>
  <c r="E45" i="7"/>
  <c r="F45" i="7" s="1"/>
  <c r="H45" i="7" s="1"/>
  <c r="E46" i="7"/>
  <c r="F46" i="7" s="1"/>
  <c r="H46" i="7" s="1"/>
  <c r="E47" i="7"/>
  <c r="F47" i="7" s="1"/>
  <c r="H47" i="7" s="1"/>
  <c r="E48" i="7"/>
  <c r="F48" i="7" s="1"/>
  <c r="H48" i="7" s="1"/>
  <c r="E49" i="7"/>
  <c r="F49" i="7" s="1"/>
  <c r="H49" i="7" s="1"/>
  <c r="E50" i="7"/>
  <c r="F50" i="7" s="1"/>
  <c r="H50" i="7" s="1"/>
  <c r="E51" i="7"/>
  <c r="F51" i="7" s="1"/>
  <c r="H51" i="7" s="1"/>
  <c r="E52" i="7"/>
  <c r="F52" i="7" s="1"/>
  <c r="H52" i="7" s="1"/>
  <c r="E53" i="7"/>
  <c r="F53" i="7" s="1"/>
  <c r="H53" i="7" s="1"/>
  <c r="E54" i="7"/>
  <c r="F54" i="7" s="1"/>
  <c r="H54" i="7" s="1"/>
  <c r="E55" i="7"/>
  <c r="F55" i="7" s="1"/>
  <c r="H55" i="7" s="1"/>
  <c r="E56" i="7"/>
  <c r="F56" i="7" s="1"/>
  <c r="H56" i="7" s="1"/>
  <c r="E57" i="7"/>
  <c r="F57" i="7" s="1"/>
  <c r="H57" i="7" s="1"/>
  <c r="E58" i="7"/>
  <c r="F58" i="7" s="1"/>
  <c r="H58" i="7" s="1"/>
  <c r="E59" i="7"/>
  <c r="F59" i="7" s="1"/>
  <c r="H59" i="7" s="1"/>
  <c r="E60" i="7"/>
  <c r="F60" i="7" s="1"/>
  <c r="H60" i="7" s="1"/>
  <c r="E61" i="7"/>
  <c r="F61" i="7" s="1"/>
  <c r="H61" i="7" s="1"/>
  <c r="E62" i="7"/>
  <c r="F62" i="7" s="1"/>
  <c r="H62" i="7" s="1"/>
  <c r="E63" i="7"/>
  <c r="F63" i="7" s="1"/>
  <c r="H63" i="7" s="1"/>
  <c r="E64" i="7"/>
  <c r="F64" i="7" s="1"/>
  <c r="H64" i="7" s="1"/>
  <c r="E65" i="7"/>
  <c r="F65" i="7" s="1"/>
  <c r="H65" i="7" s="1"/>
  <c r="E66" i="7"/>
  <c r="F66" i="7" s="1"/>
  <c r="H66" i="7" s="1"/>
  <c r="E67" i="7"/>
  <c r="F67" i="7" s="1"/>
  <c r="H67" i="7" s="1"/>
  <c r="E68" i="7"/>
  <c r="F68" i="7" s="1"/>
  <c r="H68" i="7" s="1"/>
  <c r="E69" i="7"/>
  <c r="F69" i="7" s="1"/>
  <c r="H69" i="7" s="1"/>
  <c r="E70" i="7"/>
  <c r="F70" i="7" s="1"/>
  <c r="H70" i="7" s="1"/>
  <c r="E71" i="7"/>
  <c r="F71" i="7" s="1"/>
  <c r="H71" i="7" s="1"/>
  <c r="E72" i="7"/>
  <c r="F72" i="7" s="1"/>
  <c r="H72" i="7" s="1"/>
  <c r="E73" i="7"/>
  <c r="F73" i="7" s="1"/>
  <c r="H73" i="7" s="1"/>
  <c r="E74" i="7"/>
  <c r="F74" i="7" s="1"/>
  <c r="H74" i="7" s="1"/>
  <c r="E75" i="7"/>
  <c r="F75" i="7" s="1"/>
  <c r="H75" i="7" s="1"/>
  <c r="E76" i="7"/>
  <c r="F76" i="7" s="1"/>
  <c r="H76" i="7" s="1"/>
  <c r="E77" i="7"/>
  <c r="F77" i="7" s="1"/>
  <c r="H77" i="7" s="1"/>
  <c r="E78" i="7"/>
  <c r="F78" i="7" s="1"/>
  <c r="H78" i="7" s="1"/>
  <c r="E79" i="7"/>
  <c r="F79" i="7" s="1"/>
  <c r="H79" i="7" s="1"/>
  <c r="E80" i="7"/>
  <c r="F80" i="7" s="1"/>
  <c r="H80" i="7" s="1"/>
  <c r="E81" i="7"/>
  <c r="F81" i="7" s="1"/>
  <c r="H81" i="7" s="1"/>
  <c r="E82" i="7"/>
  <c r="F82" i="7" s="1"/>
  <c r="H82" i="7" s="1"/>
  <c r="E83" i="7"/>
  <c r="F83" i="7" s="1"/>
  <c r="H83" i="7" s="1"/>
  <c r="E84" i="7"/>
  <c r="F84" i="7" s="1"/>
  <c r="H84" i="7" s="1"/>
  <c r="E85" i="7"/>
  <c r="F85" i="7" s="1"/>
  <c r="H85" i="7" s="1"/>
  <c r="E86" i="7"/>
  <c r="F86" i="7" s="1"/>
  <c r="H86" i="7" s="1"/>
  <c r="E87" i="7"/>
  <c r="F87" i="7" s="1"/>
  <c r="H87" i="7" s="1"/>
  <c r="E88" i="7"/>
  <c r="F88" i="7" s="1"/>
  <c r="H88" i="7" s="1"/>
  <c r="E89" i="7"/>
  <c r="F89" i="7" s="1"/>
  <c r="H89" i="7" s="1"/>
  <c r="E90" i="7"/>
  <c r="F90" i="7" s="1"/>
  <c r="H90" i="7" s="1"/>
  <c r="E91" i="7"/>
  <c r="F91" i="7" s="1"/>
  <c r="H91" i="7" s="1"/>
  <c r="E92" i="7"/>
  <c r="F92" i="7" s="1"/>
  <c r="H92" i="7" s="1"/>
  <c r="E93" i="7"/>
  <c r="F93" i="7" s="1"/>
  <c r="H93" i="7" s="1"/>
  <c r="E94" i="7"/>
  <c r="F94" i="7" s="1"/>
  <c r="H94" i="7" s="1"/>
  <c r="E95" i="7"/>
  <c r="F95" i="7" s="1"/>
  <c r="H95" i="7" s="1"/>
  <c r="E96" i="7"/>
  <c r="F96" i="7" s="1"/>
  <c r="H96" i="7" s="1"/>
  <c r="E97" i="7"/>
  <c r="F97" i="7" s="1"/>
  <c r="H97" i="7" s="1"/>
  <c r="E98" i="7"/>
  <c r="F98" i="7" s="1"/>
  <c r="H98" i="7" s="1"/>
  <c r="E99" i="7"/>
  <c r="F99" i="7" s="1"/>
  <c r="H99" i="7" s="1"/>
  <c r="E100" i="7"/>
  <c r="F100" i="7" s="1"/>
  <c r="H100" i="7" s="1"/>
  <c r="E101" i="7"/>
  <c r="F101" i="7" s="1"/>
  <c r="H101" i="7" s="1"/>
  <c r="E102" i="7"/>
  <c r="F102" i="7" s="1"/>
  <c r="H102" i="7" s="1"/>
  <c r="E103" i="7"/>
  <c r="F103" i="7" s="1"/>
  <c r="H103" i="7" s="1"/>
  <c r="E104" i="7"/>
  <c r="F104" i="7" s="1"/>
  <c r="H104" i="7" s="1"/>
  <c r="E105" i="7"/>
  <c r="F105" i="7" s="1"/>
  <c r="H105" i="7" s="1"/>
  <c r="E106" i="7"/>
  <c r="F106" i="7" s="1"/>
  <c r="H106" i="7" s="1"/>
  <c r="E107" i="7"/>
  <c r="F107" i="7" s="1"/>
  <c r="H107" i="7" s="1"/>
  <c r="E108" i="7"/>
  <c r="F108" i="7" s="1"/>
  <c r="H108" i="7" s="1"/>
  <c r="E109" i="7"/>
  <c r="F109" i="7" s="1"/>
  <c r="H109" i="7" s="1"/>
  <c r="E110" i="7"/>
  <c r="F110" i="7" s="1"/>
  <c r="H110" i="7" s="1"/>
  <c r="E111" i="7"/>
  <c r="F111" i="7" s="1"/>
  <c r="H111" i="7" s="1"/>
  <c r="E112" i="7"/>
  <c r="F112" i="7" s="1"/>
  <c r="H112" i="7" s="1"/>
  <c r="E113" i="7"/>
  <c r="F113" i="7" s="1"/>
  <c r="H113" i="7" s="1"/>
  <c r="E114" i="7"/>
  <c r="F114" i="7" s="1"/>
  <c r="H114" i="7" s="1"/>
  <c r="E115" i="7"/>
  <c r="F115" i="7" s="1"/>
  <c r="H115" i="7" s="1"/>
  <c r="E116" i="7"/>
  <c r="F116" i="7" s="1"/>
  <c r="H116" i="7" s="1"/>
  <c r="E117" i="7"/>
  <c r="F117" i="7" s="1"/>
  <c r="H117" i="7" s="1"/>
  <c r="E118" i="7"/>
  <c r="F118" i="7" s="1"/>
  <c r="H118" i="7" s="1"/>
  <c r="E119" i="7"/>
  <c r="F119" i="7" s="1"/>
  <c r="H119" i="7" s="1"/>
  <c r="E120" i="7"/>
  <c r="F120" i="7" s="1"/>
  <c r="H120" i="7" s="1"/>
  <c r="E121" i="7"/>
  <c r="F121" i="7" s="1"/>
  <c r="H121" i="7" s="1"/>
  <c r="E122" i="7"/>
  <c r="F122" i="7" s="1"/>
  <c r="H122" i="7" s="1"/>
  <c r="E123" i="7"/>
  <c r="F123" i="7" s="1"/>
  <c r="H123" i="7" s="1"/>
  <c r="E124" i="7"/>
  <c r="F124" i="7" s="1"/>
  <c r="H124" i="7" s="1"/>
  <c r="E125" i="7"/>
  <c r="F125" i="7" s="1"/>
  <c r="H125" i="7" s="1"/>
  <c r="E126" i="7"/>
  <c r="F126" i="7" s="1"/>
  <c r="H126" i="7" s="1"/>
  <c r="E127" i="7"/>
  <c r="F127" i="7" s="1"/>
  <c r="H127" i="7" s="1"/>
  <c r="E128" i="7"/>
  <c r="F128" i="7" s="1"/>
  <c r="H128" i="7" s="1"/>
  <c r="E129" i="7"/>
  <c r="F129" i="7" s="1"/>
  <c r="H129" i="7" s="1"/>
  <c r="E2" i="7"/>
  <c r="F2" i="7" s="1"/>
  <c r="H2" i="7" s="1"/>
  <c r="E58" i="1"/>
  <c r="F58" i="1" s="1"/>
  <c r="H58" i="1" s="1"/>
  <c r="E59" i="1"/>
  <c r="F59" i="1" s="1"/>
  <c r="H59" i="1" s="1"/>
  <c r="E60" i="1"/>
  <c r="F60" i="1" s="1"/>
  <c r="H60" i="1" s="1"/>
  <c r="E61" i="1"/>
  <c r="F61" i="1" s="1"/>
  <c r="H61" i="1" s="1"/>
  <c r="E62" i="1"/>
  <c r="F62" i="1" s="1"/>
  <c r="H62" i="1" s="1"/>
  <c r="E63" i="1"/>
  <c r="F63" i="1" s="1"/>
  <c r="H63" i="1" s="1"/>
  <c r="E64" i="1"/>
  <c r="F64" i="1" s="1"/>
  <c r="H64" i="1" s="1"/>
  <c r="E65" i="1"/>
  <c r="F65" i="1" s="1"/>
  <c r="H65" i="1" s="1"/>
  <c r="E66" i="1"/>
  <c r="F66" i="1" s="1"/>
  <c r="H66" i="1" s="1"/>
  <c r="E67" i="1"/>
  <c r="F67" i="1" s="1"/>
  <c r="H67" i="1" s="1"/>
  <c r="E68" i="1"/>
  <c r="F68" i="1" s="1"/>
  <c r="H68" i="1" s="1"/>
  <c r="E69" i="1"/>
  <c r="F69" i="1" s="1"/>
  <c r="H69" i="1" s="1"/>
  <c r="E70" i="1"/>
  <c r="F70" i="1" s="1"/>
  <c r="H70" i="1" s="1"/>
  <c r="E71" i="1"/>
  <c r="F71" i="1" s="1"/>
  <c r="H71" i="1" s="1"/>
  <c r="E72" i="1"/>
  <c r="F72" i="1" s="1"/>
  <c r="H72" i="1" s="1"/>
  <c r="E73" i="1"/>
  <c r="F73" i="1" s="1"/>
  <c r="H73" i="1" s="1"/>
  <c r="E74" i="1"/>
  <c r="F74" i="1" s="1"/>
  <c r="H74" i="1" s="1"/>
  <c r="E75" i="1"/>
  <c r="F75" i="1" s="1"/>
  <c r="H75" i="1" s="1"/>
  <c r="E76" i="1"/>
  <c r="F76" i="1" s="1"/>
  <c r="H76" i="1" s="1"/>
  <c r="E77" i="1"/>
  <c r="F77" i="1" s="1"/>
  <c r="H77" i="1" s="1"/>
  <c r="E78" i="1"/>
  <c r="F78" i="1" s="1"/>
  <c r="H78" i="1" s="1"/>
  <c r="E79" i="1"/>
  <c r="F79" i="1" s="1"/>
  <c r="H79" i="1" s="1"/>
  <c r="E80" i="1"/>
  <c r="F80" i="1" s="1"/>
  <c r="H80" i="1" s="1"/>
  <c r="E81" i="1"/>
  <c r="F81" i="1" s="1"/>
  <c r="H81" i="1" s="1"/>
  <c r="E82" i="1"/>
  <c r="F82" i="1" s="1"/>
  <c r="H82" i="1" s="1"/>
  <c r="E83" i="1"/>
  <c r="F83" i="1" s="1"/>
  <c r="H83" i="1" s="1"/>
  <c r="E84" i="1"/>
  <c r="F84" i="1" s="1"/>
  <c r="H84" i="1" s="1"/>
  <c r="E85" i="1"/>
  <c r="F85" i="1" s="1"/>
  <c r="H85" i="1" s="1"/>
  <c r="E86" i="1"/>
  <c r="F86" i="1" s="1"/>
  <c r="H86" i="1" s="1"/>
  <c r="E87" i="1"/>
  <c r="F87" i="1" s="1"/>
  <c r="H87" i="1" s="1"/>
  <c r="E88" i="1"/>
  <c r="F88" i="1" s="1"/>
  <c r="H88" i="1" s="1"/>
  <c r="E89" i="1"/>
  <c r="F89" i="1" s="1"/>
  <c r="H89" i="1" s="1"/>
  <c r="E90" i="1"/>
  <c r="F90" i="1" s="1"/>
  <c r="H90" i="1" s="1"/>
  <c r="E91" i="1"/>
  <c r="F91" i="1" s="1"/>
  <c r="H91" i="1" s="1"/>
  <c r="E92" i="1"/>
  <c r="F92" i="1" s="1"/>
  <c r="H92" i="1" s="1"/>
  <c r="E93" i="1"/>
  <c r="F93" i="1" s="1"/>
  <c r="H93" i="1" s="1"/>
  <c r="E94" i="1"/>
  <c r="F94" i="1" s="1"/>
  <c r="H94" i="1" s="1"/>
  <c r="E95" i="1"/>
  <c r="F95" i="1" s="1"/>
  <c r="H95" i="1" s="1"/>
  <c r="E96" i="1"/>
  <c r="F96" i="1" s="1"/>
  <c r="H96" i="1" s="1"/>
  <c r="E97" i="1"/>
  <c r="F97" i="1" s="1"/>
  <c r="H97" i="1" s="1"/>
  <c r="E98" i="1"/>
  <c r="F98" i="1" s="1"/>
  <c r="H98" i="1" s="1"/>
  <c r="E99" i="1"/>
  <c r="F99" i="1" s="1"/>
  <c r="H99" i="1" s="1"/>
  <c r="E100" i="1"/>
  <c r="F100" i="1" s="1"/>
  <c r="H100" i="1" s="1"/>
  <c r="E101" i="1"/>
  <c r="F101" i="1" s="1"/>
  <c r="H101" i="1" s="1"/>
  <c r="E102" i="1"/>
  <c r="F102" i="1" s="1"/>
  <c r="H102" i="1" s="1"/>
  <c r="E103" i="1"/>
  <c r="F103" i="1" s="1"/>
  <c r="H103" i="1" s="1"/>
  <c r="E104" i="1"/>
  <c r="F104" i="1" s="1"/>
  <c r="H104" i="1" s="1"/>
  <c r="E105" i="1"/>
  <c r="F105" i="1" s="1"/>
  <c r="H105" i="1" s="1"/>
  <c r="E106" i="1"/>
  <c r="F106" i="1" s="1"/>
  <c r="H106" i="1" s="1"/>
  <c r="E107" i="1"/>
  <c r="F107" i="1" s="1"/>
  <c r="H107" i="1" s="1"/>
  <c r="E108" i="1"/>
  <c r="F108" i="1" s="1"/>
  <c r="H108" i="1" s="1"/>
  <c r="E109" i="1"/>
  <c r="F109" i="1" s="1"/>
  <c r="H109" i="1" s="1"/>
  <c r="E110" i="1"/>
  <c r="F110" i="1" s="1"/>
  <c r="H110" i="1" s="1"/>
  <c r="E111" i="1"/>
  <c r="F111" i="1" s="1"/>
  <c r="H111" i="1" s="1"/>
  <c r="E112" i="1"/>
  <c r="F112" i="1" s="1"/>
  <c r="H112" i="1" s="1"/>
  <c r="E113" i="1"/>
  <c r="F113" i="1" s="1"/>
  <c r="H113" i="1" s="1"/>
  <c r="E114" i="1"/>
  <c r="F114" i="1" s="1"/>
  <c r="H114" i="1" s="1"/>
  <c r="E115" i="1"/>
  <c r="F115" i="1" s="1"/>
  <c r="H115" i="1" s="1"/>
  <c r="E116" i="1"/>
  <c r="F116" i="1" s="1"/>
  <c r="H116" i="1" s="1"/>
  <c r="E117" i="1"/>
  <c r="F117" i="1" s="1"/>
  <c r="H117" i="1" s="1"/>
  <c r="E118" i="1"/>
  <c r="F118" i="1" s="1"/>
  <c r="H118" i="1" s="1"/>
  <c r="E119" i="1"/>
  <c r="F119" i="1" s="1"/>
  <c r="H119" i="1" s="1"/>
  <c r="E120" i="1"/>
  <c r="F120" i="1" s="1"/>
  <c r="H120" i="1" s="1"/>
  <c r="E121" i="1"/>
  <c r="F121" i="1" s="1"/>
  <c r="H121" i="1" s="1"/>
  <c r="E122" i="1"/>
  <c r="F122" i="1" s="1"/>
  <c r="H122" i="1" s="1"/>
  <c r="E123" i="1"/>
  <c r="F123" i="1" s="1"/>
  <c r="H123" i="1" s="1"/>
  <c r="E124" i="1"/>
  <c r="F124" i="1" s="1"/>
  <c r="H124" i="1" s="1"/>
  <c r="E125" i="1"/>
  <c r="F125" i="1" s="1"/>
  <c r="H125" i="1" s="1"/>
  <c r="E126" i="1"/>
  <c r="F126" i="1" s="1"/>
  <c r="H126" i="1" s="1"/>
  <c r="E127" i="1"/>
  <c r="F127" i="1" s="1"/>
  <c r="H127" i="1" s="1"/>
  <c r="E128" i="1"/>
  <c r="F128" i="1" s="1"/>
  <c r="H128" i="1" s="1"/>
  <c r="E129" i="1"/>
  <c r="F129" i="1" s="1"/>
  <c r="H129" i="1" s="1"/>
  <c r="E130" i="1"/>
  <c r="F130" i="1" s="1"/>
  <c r="H130" i="1" s="1"/>
  <c r="E131" i="1"/>
  <c r="F131" i="1" s="1"/>
  <c r="H131" i="1" s="1"/>
  <c r="E132" i="1"/>
  <c r="F132" i="1" s="1"/>
  <c r="H132" i="1" s="1"/>
  <c r="E133" i="1"/>
  <c r="F133" i="1" s="1"/>
  <c r="H133" i="1" s="1"/>
  <c r="E134" i="1"/>
  <c r="F134" i="1" s="1"/>
  <c r="H134" i="1" s="1"/>
  <c r="E135" i="1"/>
  <c r="F135" i="1" s="1"/>
  <c r="H135" i="1" s="1"/>
  <c r="E136" i="1"/>
  <c r="F136" i="1" s="1"/>
  <c r="H136" i="1" s="1"/>
  <c r="E137" i="1"/>
  <c r="F137" i="1" s="1"/>
  <c r="H137" i="1" s="1"/>
  <c r="E138" i="1"/>
  <c r="F138" i="1" s="1"/>
  <c r="H138" i="1" s="1"/>
  <c r="E139" i="1"/>
  <c r="F139" i="1" s="1"/>
  <c r="H139" i="1" s="1"/>
  <c r="E140" i="1"/>
  <c r="F140" i="1" s="1"/>
  <c r="H140" i="1" s="1"/>
  <c r="E141" i="1"/>
  <c r="F141" i="1" s="1"/>
  <c r="H141" i="1" s="1"/>
  <c r="E142" i="1"/>
  <c r="F142" i="1" s="1"/>
  <c r="H142" i="1" s="1"/>
  <c r="E143" i="1"/>
  <c r="F143" i="1" s="1"/>
  <c r="H143" i="1" s="1"/>
  <c r="E144" i="1"/>
  <c r="F144" i="1" s="1"/>
  <c r="H144" i="1" s="1"/>
  <c r="E145" i="1"/>
  <c r="F145" i="1" s="1"/>
  <c r="H145" i="1" s="1"/>
  <c r="E146" i="1"/>
  <c r="F146" i="1" s="1"/>
  <c r="H146" i="1" s="1"/>
  <c r="E147" i="1"/>
  <c r="F147" i="1" s="1"/>
  <c r="H147" i="1" s="1"/>
  <c r="E148" i="1"/>
  <c r="F148" i="1" s="1"/>
  <c r="H148" i="1" s="1"/>
  <c r="E149" i="1"/>
  <c r="F149" i="1" s="1"/>
  <c r="H149" i="1" s="1"/>
  <c r="E150" i="1"/>
  <c r="F150" i="1" s="1"/>
  <c r="H150" i="1" s="1"/>
  <c r="E151" i="1"/>
  <c r="F151" i="1" s="1"/>
  <c r="H151" i="1" s="1"/>
  <c r="E152" i="1"/>
  <c r="F152" i="1" s="1"/>
  <c r="H152" i="1" s="1"/>
  <c r="E153" i="1"/>
  <c r="F153" i="1" s="1"/>
  <c r="H153" i="1" s="1"/>
  <c r="E154" i="1"/>
  <c r="F154" i="1" s="1"/>
  <c r="H154" i="1" s="1"/>
  <c r="E155" i="1"/>
  <c r="F155" i="1" s="1"/>
  <c r="H155" i="1" s="1"/>
  <c r="E156" i="1"/>
  <c r="F156" i="1" s="1"/>
  <c r="H156" i="1" s="1"/>
  <c r="E157" i="1"/>
  <c r="F157" i="1" s="1"/>
  <c r="H157" i="1" s="1"/>
  <c r="E158" i="1"/>
  <c r="F158" i="1" s="1"/>
  <c r="H158" i="1" s="1"/>
  <c r="E159" i="1"/>
  <c r="F159" i="1" s="1"/>
  <c r="H159" i="1" s="1"/>
  <c r="E160" i="1"/>
  <c r="F160" i="1" s="1"/>
  <c r="H160" i="1" s="1"/>
  <c r="E161" i="1"/>
  <c r="F161" i="1" s="1"/>
  <c r="H161" i="1" s="1"/>
  <c r="E162" i="1"/>
  <c r="F162" i="1" s="1"/>
  <c r="H162" i="1" s="1"/>
  <c r="E163" i="1"/>
  <c r="F163" i="1" s="1"/>
  <c r="H163" i="1" s="1"/>
  <c r="E164" i="1"/>
  <c r="F164" i="1" s="1"/>
  <c r="H164" i="1" s="1"/>
  <c r="E165" i="1"/>
  <c r="F165" i="1" s="1"/>
  <c r="H165" i="1" s="1"/>
  <c r="E166" i="1"/>
  <c r="F166" i="1" s="1"/>
  <c r="H166" i="1" s="1"/>
  <c r="E167" i="1"/>
  <c r="F167" i="1" s="1"/>
  <c r="H167" i="1" s="1"/>
  <c r="E168" i="1"/>
  <c r="F168" i="1" s="1"/>
  <c r="H168" i="1" s="1"/>
  <c r="E169" i="1"/>
  <c r="F169" i="1" s="1"/>
  <c r="H169" i="1" s="1"/>
  <c r="E170" i="1"/>
  <c r="F170" i="1" s="1"/>
  <c r="H170" i="1" s="1"/>
  <c r="E171" i="1"/>
  <c r="F171" i="1" s="1"/>
  <c r="H171" i="1" s="1"/>
  <c r="E172" i="1"/>
  <c r="F172" i="1" s="1"/>
  <c r="H172" i="1" s="1"/>
  <c r="E173" i="1"/>
  <c r="F173" i="1" s="1"/>
  <c r="H173" i="1" s="1"/>
  <c r="E174" i="1"/>
  <c r="F174" i="1" s="1"/>
  <c r="H174" i="1" s="1"/>
  <c r="E175" i="1"/>
  <c r="F175" i="1" s="1"/>
  <c r="H175" i="1" s="1"/>
  <c r="E176" i="1"/>
  <c r="F176" i="1" s="1"/>
  <c r="H176" i="1" s="1"/>
  <c r="E177" i="1"/>
  <c r="F177" i="1" s="1"/>
  <c r="H177" i="1" s="1"/>
  <c r="E178" i="1"/>
  <c r="F178" i="1" s="1"/>
  <c r="H178" i="1" s="1"/>
  <c r="E179" i="1"/>
  <c r="F179" i="1" s="1"/>
  <c r="H179" i="1" s="1"/>
  <c r="E180" i="1"/>
  <c r="F180" i="1" s="1"/>
  <c r="H180" i="1" s="1"/>
  <c r="E181" i="1"/>
  <c r="F181" i="1" s="1"/>
  <c r="H181" i="1" s="1"/>
  <c r="E182" i="1"/>
  <c r="F182" i="1" s="1"/>
  <c r="H182" i="1" s="1"/>
  <c r="E183" i="1"/>
  <c r="F183" i="1" s="1"/>
  <c r="H183" i="1" s="1"/>
  <c r="E184" i="1"/>
  <c r="F184" i="1" s="1"/>
  <c r="H184" i="1" s="1"/>
  <c r="E185" i="1"/>
  <c r="F185" i="1" s="1"/>
  <c r="H185" i="1" s="1"/>
  <c r="E186" i="1"/>
  <c r="F186" i="1" s="1"/>
  <c r="H186" i="1" s="1"/>
  <c r="E187" i="1"/>
  <c r="F187" i="1" s="1"/>
  <c r="H187" i="1" s="1"/>
  <c r="E57" i="1"/>
  <c r="F57" i="1" s="1"/>
  <c r="H57" i="1" s="1"/>
  <c r="E3" i="1"/>
  <c r="F3" i="1" s="1"/>
  <c r="H3" i="1" s="1"/>
  <c r="E4" i="1"/>
  <c r="F4" i="1" s="1"/>
  <c r="H4" i="1" s="1"/>
  <c r="E5" i="1"/>
  <c r="F5" i="1" s="1"/>
  <c r="H5" i="1" s="1"/>
  <c r="E6" i="1"/>
  <c r="F6" i="1" s="1"/>
  <c r="H6" i="1" s="1"/>
  <c r="E7" i="1"/>
  <c r="F7" i="1" s="1"/>
  <c r="H7" i="1" s="1"/>
  <c r="E8" i="1"/>
  <c r="F8" i="1" s="1"/>
  <c r="H8" i="1" s="1"/>
  <c r="E9" i="1"/>
  <c r="F9" i="1" s="1"/>
  <c r="H9" i="1" s="1"/>
  <c r="E10" i="1"/>
  <c r="F10" i="1" s="1"/>
  <c r="H10" i="1" s="1"/>
  <c r="E11" i="1"/>
  <c r="F11" i="1" s="1"/>
  <c r="H11" i="1" s="1"/>
  <c r="E12" i="1"/>
  <c r="F12" i="1" s="1"/>
  <c r="H12" i="1" s="1"/>
  <c r="E13" i="1"/>
  <c r="F13" i="1" s="1"/>
  <c r="H13" i="1" s="1"/>
  <c r="E14" i="1"/>
  <c r="F14" i="1" s="1"/>
  <c r="H14" i="1" s="1"/>
  <c r="E15" i="1"/>
  <c r="F15" i="1" s="1"/>
  <c r="H15" i="1" s="1"/>
  <c r="E16" i="1"/>
  <c r="F16" i="1" s="1"/>
  <c r="H16" i="1" s="1"/>
  <c r="E17" i="1"/>
  <c r="F17" i="1" s="1"/>
  <c r="H17" i="1" s="1"/>
  <c r="E18" i="1"/>
  <c r="F18" i="1" s="1"/>
  <c r="H18" i="1" s="1"/>
  <c r="E19" i="1"/>
  <c r="F19" i="1" s="1"/>
  <c r="H19" i="1" s="1"/>
  <c r="E20" i="1"/>
  <c r="F20" i="1" s="1"/>
  <c r="H20" i="1" s="1"/>
  <c r="E21" i="1"/>
  <c r="F21" i="1" s="1"/>
  <c r="H21" i="1" s="1"/>
  <c r="E2" i="1"/>
  <c r="F2" i="1" s="1"/>
  <c r="H2" i="1" s="1"/>
  <c r="E3" i="2"/>
  <c r="F3" i="2" s="1"/>
  <c r="H3" i="2" s="1"/>
  <c r="E4" i="2"/>
  <c r="F4" i="2" s="1"/>
  <c r="H4" i="2" s="1"/>
  <c r="E5" i="2"/>
  <c r="F5" i="2" s="1"/>
  <c r="H5" i="2" s="1"/>
  <c r="E6" i="2"/>
  <c r="F6" i="2" s="1"/>
  <c r="H6" i="2" s="1"/>
  <c r="E7" i="2"/>
  <c r="F7" i="2" s="1"/>
  <c r="H7" i="2" s="1"/>
  <c r="E8" i="2"/>
  <c r="F8" i="2" s="1"/>
  <c r="H8" i="2" s="1"/>
  <c r="E9" i="2"/>
  <c r="F9" i="2" s="1"/>
  <c r="H9" i="2" s="1"/>
  <c r="E10" i="2"/>
  <c r="F10" i="2" s="1"/>
  <c r="H10" i="2" s="1"/>
  <c r="E11" i="2"/>
  <c r="F11" i="2" s="1"/>
  <c r="H11" i="2" s="1"/>
  <c r="E12" i="2"/>
  <c r="F12" i="2" s="1"/>
  <c r="H12" i="2" s="1"/>
  <c r="E13" i="2"/>
  <c r="F13" i="2" s="1"/>
  <c r="H13" i="2" s="1"/>
  <c r="E14" i="2"/>
  <c r="F14" i="2" s="1"/>
  <c r="H14" i="2" s="1"/>
  <c r="E15" i="2"/>
  <c r="F15" i="2" s="1"/>
  <c r="H15" i="2" s="1"/>
  <c r="E16" i="2"/>
  <c r="F16" i="2" s="1"/>
  <c r="H16" i="2" s="1"/>
  <c r="E17" i="2"/>
  <c r="F17" i="2" s="1"/>
  <c r="H17" i="2" s="1"/>
  <c r="E18" i="2"/>
  <c r="F18" i="2" s="1"/>
  <c r="H18" i="2" s="1"/>
  <c r="E19" i="2"/>
  <c r="F19" i="2" s="1"/>
  <c r="H19" i="2" s="1"/>
  <c r="E20" i="2"/>
  <c r="F20" i="2" s="1"/>
  <c r="H20" i="2" s="1"/>
  <c r="E21" i="2"/>
  <c r="F21" i="2" s="1"/>
  <c r="H21" i="2" s="1"/>
  <c r="E22" i="2"/>
  <c r="F22" i="2" s="1"/>
  <c r="H22" i="2" s="1"/>
  <c r="E23" i="2"/>
  <c r="F23" i="2" s="1"/>
  <c r="H23" i="2" s="1"/>
  <c r="E24" i="2"/>
  <c r="F24" i="2" s="1"/>
  <c r="H24" i="2" s="1"/>
  <c r="E25" i="2"/>
  <c r="F25" i="2" s="1"/>
  <c r="H25" i="2" s="1"/>
  <c r="E26" i="2"/>
  <c r="F26" i="2" s="1"/>
  <c r="H26" i="2" s="1"/>
  <c r="E27" i="2"/>
  <c r="F27" i="2" s="1"/>
  <c r="H27" i="2" s="1"/>
  <c r="E28" i="2"/>
  <c r="F28" i="2" s="1"/>
  <c r="H28" i="2" s="1"/>
  <c r="E29" i="2"/>
  <c r="F29" i="2" s="1"/>
  <c r="H29" i="2" s="1"/>
  <c r="E30" i="2"/>
  <c r="F30" i="2" s="1"/>
  <c r="H30" i="2" s="1"/>
  <c r="E31" i="2"/>
  <c r="F31" i="2" s="1"/>
  <c r="H31" i="2" s="1"/>
  <c r="E32" i="2"/>
  <c r="F32" i="2" s="1"/>
  <c r="H32" i="2" s="1"/>
  <c r="E33" i="2"/>
  <c r="F33" i="2" s="1"/>
  <c r="H33" i="2" s="1"/>
  <c r="E34" i="2"/>
  <c r="F34" i="2" s="1"/>
  <c r="H34" i="2" s="1"/>
  <c r="E35" i="2"/>
  <c r="F35" i="2" s="1"/>
  <c r="H35" i="2" s="1"/>
  <c r="E36" i="2"/>
  <c r="F36" i="2" s="1"/>
  <c r="H36" i="2" s="1"/>
  <c r="E37" i="2"/>
  <c r="F37" i="2" s="1"/>
  <c r="H37" i="2" s="1"/>
  <c r="E38" i="2"/>
  <c r="F38" i="2" s="1"/>
  <c r="H38" i="2" s="1"/>
  <c r="E39" i="2"/>
  <c r="F39" i="2" s="1"/>
  <c r="H39" i="2" s="1"/>
  <c r="E40" i="2"/>
  <c r="F40" i="2" s="1"/>
  <c r="H40" i="2" s="1"/>
  <c r="E41" i="2"/>
  <c r="F41" i="2" s="1"/>
  <c r="H41" i="2" s="1"/>
  <c r="E42" i="2"/>
  <c r="F42" i="2" s="1"/>
  <c r="H42" i="2" s="1"/>
  <c r="E43" i="2"/>
  <c r="F43" i="2" s="1"/>
  <c r="H43" i="2" s="1"/>
  <c r="E44" i="2"/>
  <c r="F44" i="2" s="1"/>
  <c r="H44" i="2" s="1"/>
  <c r="E45" i="2"/>
  <c r="F45" i="2" s="1"/>
  <c r="H45" i="2" s="1"/>
  <c r="E46" i="2"/>
  <c r="F46" i="2" s="1"/>
  <c r="H46" i="2" s="1"/>
  <c r="E47" i="2"/>
  <c r="F47" i="2" s="1"/>
  <c r="H47" i="2" s="1"/>
  <c r="E48" i="2"/>
  <c r="F48" i="2" s="1"/>
  <c r="H48" i="2" s="1"/>
  <c r="E49" i="2"/>
  <c r="F49" i="2" s="1"/>
  <c r="H49" i="2" s="1"/>
  <c r="E50" i="2"/>
  <c r="F50" i="2" s="1"/>
  <c r="H50" i="2" s="1"/>
  <c r="E51" i="2"/>
  <c r="F51" i="2" s="1"/>
  <c r="H51" i="2" s="1"/>
  <c r="E52" i="2"/>
  <c r="F52" i="2" s="1"/>
  <c r="H52" i="2" s="1"/>
  <c r="E53" i="2"/>
  <c r="F53" i="2" s="1"/>
  <c r="H53" i="2" s="1"/>
  <c r="E54" i="2"/>
  <c r="F54" i="2" s="1"/>
  <c r="H54" i="2" s="1"/>
  <c r="E55" i="2"/>
  <c r="F55" i="2" s="1"/>
  <c r="H55" i="2" s="1"/>
  <c r="E56" i="2"/>
  <c r="F56" i="2" s="1"/>
  <c r="H56" i="2" s="1"/>
  <c r="E57" i="2"/>
  <c r="F57" i="2" s="1"/>
  <c r="H57" i="2" s="1"/>
  <c r="E58" i="2"/>
  <c r="F58" i="2" s="1"/>
  <c r="H58" i="2" s="1"/>
  <c r="E59" i="2"/>
  <c r="F59" i="2" s="1"/>
  <c r="H59" i="2" s="1"/>
  <c r="E60" i="2"/>
  <c r="F60" i="2" s="1"/>
  <c r="H60" i="2" s="1"/>
  <c r="E61" i="2"/>
  <c r="F61" i="2" s="1"/>
  <c r="H61" i="2" s="1"/>
  <c r="E62" i="2"/>
  <c r="F62" i="2" s="1"/>
  <c r="H62" i="2" s="1"/>
  <c r="E63" i="2"/>
  <c r="F63" i="2" s="1"/>
  <c r="H63" i="2" s="1"/>
  <c r="E64" i="2"/>
  <c r="F64" i="2" s="1"/>
  <c r="H64" i="2" s="1"/>
  <c r="E65" i="2"/>
  <c r="F65" i="2" s="1"/>
  <c r="H65" i="2" s="1"/>
  <c r="E66" i="2"/>
  <c r="F66" i="2" s="1"/>
  <c r="H66" i="2" s="1"/>
  <c r="E67" i="2"/>
  <c r="F67" i="2" s="1"/>
  <c r="H67" i="2" s="1"/>
  <c r="E68" i="2"/>
  <c r="F68" i="2" s="1"/>
  <c r="H68" i="2" s="1"/>
  <c r="E69" i="2"/>
  <c r="F69" i="2" s="1"/>
  <c r="H69" i="2" s="1"/>
  <c r="E70" i="2"/>
  <c r="F70" i="2" s="1"/>
  <c r="H70" i="2" s="1"/>
  <c r="E71" i="2"/>
  <c r="F71" i="2" s="1"/>
  <c r="H71" i="2" s="1"/>
  <c r="E72" i="2"/>
  <c r="F72" i="2" s="1"/>
  <c r="H72" i="2" s="1"/>
  <c r="E73" i="2"/>
  <c r="F73" i="2" s="1"/>
  <c r="H73" i="2" s="1"/>
  <c r="E74" i="2"/>
  <c r="F74" i="2" s="1"/>
  <c r="H74" i="2" s="1"/>
  <c r="E75" i="2"/>
  <c r="F75" i="2" s="1"/>
  <c r="H75" i="2" s="1"/>
  <c r="E76" i="2"/>
  <c r="F76" i="2" s="1"/>
  <c r="H76" i="2" s="1"/>
  <c r="E77" i="2"/>
  <c r="F77" i="2" s="1"/>
  <c r="H77" i="2" s="1"/>
  <c r="E78" i="2"/>
  <c r="F78" i="2" s="1"/>
  <c r="H78" i="2" s="1"/>
  <c r="E79" i="2"/>
  <c r="F79" i="2" s="1"/>
  <c r="H79" i="2" s="1"/>
  <c r="E80" i="2"/>
  <c r="F80" i="2" s="1"/>
  <c r="H80" i="2" s="1"/>
  <c r="E81" i="2"/>
  <c r="F81" i="2" s="1"/>
  <c r="H81" i="2" s="1"/>
  <c r="E82" i="2"/>
  <c r="F82" i="2" s="1"/>
  <c r="H82" i="2" s="1"/>
  <c r="E83" i="2"/>
  <c r="F83" i="2" s="1"/>
  <c r="H83" i="2" s="1"/>
  <c r="E84" i="2"/>
  <c r="F84" i="2" s="1"/>
  <c r="H84" i="2" s="1"/>
  <c r="E85" i="2"/>
  <c r="F85" i="2" s="1"/>
  <c r="H85" i="2" s="1"/>
  <c r="E86" i="2"/>
  <c r="F86" i="2" s="1"/>
  <c r="H86" i="2" s="1"/>
  <c r="E87" i="2"/>
  <c r="F87" i="2" s="1"/>
  <c r="H87" i="2" s="1"/>
  <c r="E88" i="2"/>
  <c r="F88" i="2" s="1"/>
  <c r="H88" i="2" s="1"/>
  <c r="E89" i="2"/>
  <c r="F89" i="2" s="1"/>
  <c r="H89" i="2" s="1"/>
  <c r="E90" i="2"/>
  <c r="F90" i="2" s="1"/>
  <c r="H90" i="2" s="1"/>
  <c r="E91" i="2"/>
  <c r="F91" i="2" s="1"/>
  <c r="H91" i="2" s="1"/>
  <c r="E92" i="2"/>
  <c r="F92" i="2" s="1"/>
  <c r="H92" i="2" s="1"/>
  <c r="E93" i="2"/>
  <c r="F93" i="2" s="1"/>
  <c r="H93" i="2" s="1"/>
  <c r="E94" i="2"/>
  <c r="F94" i="2" s="1"/>
  <c r="H94" i="2" s="1"/>
  <c r="E95" i="2"/>
  <c r="F95" i="2" s="1"/>
  <c r="H95" i="2" s="1"/>
  <c r="E96" i="2"/>
  <c r="F96" i="2" s="1"/>
  <c r="H96" i="2" s="1"/>
  <c r="E97" i="2"/>
  <c r="F97" i="2" s="1"/>
  <c r="H97" i="2" s="1"/>
  <c r="E98" i="2"/>
  <c r="F98" i="2" s="1"/>
  <c r="H98" i="2" s="1"/>
  <c r="E99" i="2"/>
  <c r="F99" i="2" s="1"/>
  <c r="H99" i="2" s="1"/>
  <c r="E100" i="2"/>
  <c r="F100" i="2" s="1"/>
  <c r="H100" i="2" s="1"/>
  <c r="E101" i="2"/>
  <c r="F101" i="2" s="1"/>
  <c r="H101" i="2" s="1"/>
  <c r="E102" i="2"/>
  <c r="F102" i="2" s="1"/>
  <c r="H102" i="2" s="1"/>
  <c r="E103" i="2"/>
  <c r="F103" i="2" s="1"/>
  <c r="H103" i="2" s="1"/>
  <c r="E104" i="2"/>
  <c r="F104" i="2" s="1"/>
  <c r="H104" i="2" s="1"/>
  <c r="E105" i="2"/>
  <c r="F105" i="2" s="1"/>
  <c r="H105" i="2" s="1"/>
  <c r="E106" i="2"/>
  <c r="F106" i="2" s="1"/>
  <c r="H106" i="2" s="1"/>
  <c r="E107" i="2"/>
  <c r="F107" i="2" s="1"/>
  <c r="H107" i="2" s="1"/>
  <c r="E108" i="2"/>
  <c r="F108" i="2" s="1"/>
  <c r="H108" i="2" s="1"/>
  <c r="E109" i="2"/>
  <c r="F109" i="2" s="1"/>
  <c r="H109" i="2" s="1"/>
  <c r="E110" i="2"/>
  <c r="F110" i="2" s="1"/>
  <c r="H110" i="2" s="1"/>
  <c r="E111" i="2"/>
  <c r="F111" i="2" s="1"/>
  <c r="H111" i="2" s="1"/>
  <c r="E112" i="2"/>
  <c r="F112" i="2" s="1"/>
  <c r="H112" i="2" s="1"/>
  <c r="E113" i="2"/>
  <c r="F113" i="2" s="1"/>
  <c r="H113" i="2" s="1"/>
  <c r="E114" i="2"/>
  <c r="F114" i="2" s="1"/>
  <c r="H114" i="2" s="1"/>
  <c r="E115" i="2"/>
  <c r="F115" i="2" s="1"/>
  <c r="H115" i="2" s="1"/>
  <c r="E116" i="2"/>
  <c r="F116" i="2" s="1"/>
  <c r="H116" i="2" s="1"/>
  <c r="E117" i="2"/>
  <c r="F117" i="2" s="1"/>
  <c r="H117" i="2" s="1"/>
  <c r="E118" i="2"/>
  <c r="F118" i="2" s="1"/>
  <c r="H118" i="2" s="1"/>
  <c r="E119" i="2"/>
  <c r="F119" i="2" s="1"/>
  <c r="H119" i="2" s="1"/>
  <c r="E120" i="2"/>
  <c r="F120" i="2" s="1"/>
  <c r="H120" i="2" s="1"/>
  <c r="E121" i="2"/>
  <c r="F121" i="2" s="1"/>
  <c r="H121" i="2" s="1"/>
  <c r="E122" i="2"/>
  <c r="F122" i="2" s="1"/>
  <c r="H122" i="2" s="1"/>
  <c r="E123" i="2"/>
  <c r="F123" i="2" s="1"/>
  <c r="H123" i="2" s="1"/>
  <c r="E124" i="2"/>
  <c r="F124" i="2" s="1"/>
  <c r="H124" i="2" s="1"/>
  <c r="E125" i="2"/>
  <c r="F125" i="2" s="1"/>
  <c r="H125" i="2" s="1"/>
  <c r="E126" i="2"/>
  <c r="F126" i="2" s="1"/>
  <c r="H126" i="2" s="1"/>
  <c r="E127" i="2"/>
  <c r="F127" i="2" s="1"/>
  <c r="H127" i="2" s="1"/>
  <c r="E128" i="2"/>
  <c r="F128" i="2" s="1"/>
  <c r="H128" i="2" s="1"/>
  <c r="E129" i="2"/>
  <c r="F129" i="2" s="1"/>
  <c r="H129" i="2" s="1"/>
  <c r="E130" i="2"/>
  <c r="F130" i="2" s="1"/>
  <c r="H130" i="2" s="1"/>
  <c r="E131" i="2"/>
  <c r="F131" i="2" s="1"/>
  <c r="H131" i="2" s="1"/>
  <c r="E132" i="2"/>
  <c r="F132" i="2" s="1"/>
  <c r="H132" i="2" s="1"/>
  <c r="E133" i="2"/>
  <c r="F133" i="2" s="1"/>
  <c r="H133" i="2" s="1"/>
  <c r="E134" i="2"/>
  <c r="F134" i="2" s="1"/>
  <c r="H134" i="2" s="1"/>
  <c r="E135" i="2"/>
  <c r="F135" i="2" s="1"/>
  <c r="H135" i="2" s="1"/>
  <c r="E136" i="2"/>
  <c r="F136" i="2" s="1"/>
  <c r="H136" i="2" s="1"/>
  <c r="E137" i="2"/>
  <c r="F137" i="2" s="1"/>
  <c r="H137" i="2" s="1"/>
  <c r="E138" i="2"/>
  <c r="F138" i="2" s="1"/>
  <c r="H138" i="2" s="1"/>
  <c r="E139" i="2"/>
  <c r="F139" i="2" s="1"/>
  <c r="H139" i="2" s="1"/>
  <c r="E140" i="2"/>
  <c r="F140" i="2" s="1"/>
  <c r="H140" i="2" s="1"/>
  <c r="E141" i="2"/>
  <c r="F141" i="2" s="1"/>
  <c r="H141" i="2" s="1"/>
  <c r="E142" i="2"/>
  <c r="F142" i="2" s="1"/>
  <c r="H142" i="2" s="1"/>
  <c r="E143" i="2"/>
  <c r="F143" i="2" s="1"/>
  <c r="H143" i="2" s="1"/>
  <c r="E144" i="2"/>
  <c r="F144" i="2" s="1"/>
  <c r="H144" i="2" s="1"/>
  <c r="E145" i="2"/>
  <c r="F145" i="2" s="1"/>
  <c r="H145" i="2" s="1"/>
  <c r="E146" i="2"/>
  <c r="F146" i="2" s="1"/>
  <c r="H146" i="2" s="1"/>
  <c r="E147" i="2"/>
  <c r="F147" i="2" s="1"/>
  <c r="H147" i="2" s="1"/>
  <c r="E148" i="2"/>
  <c r="F148" i="2" s="1"/>
  <c r="H148" i="2" s="1"/>
  <c r="E149" i="2"/>
  <c r="F149" i="2" s="1"/>
  <c r="H149" i="2" s="1"/>
  <c r="E150" i="2"/>
  <c r="F150" i="2" s="1"/>
  <c r="H150" i="2" s="1"/>
  <c r="E151" i="2"/>
  <c r="F151" i="2" s="1"/>
  <c r="H151" i="2" s="1"/>
  <c r="E152" i="2"/>
  <c r="F152" i="2" s="1"/>
  <c r="H152" i="2" s="1"/>
  <c r="E153" i="2"/>
  <c r="F153" i="2" s="1"/>
  <c r="H153" i="2" s="1"/>
  <c r="E154" i="2"/>
  <c r="F154" i="2" s="1"/>
  <c r="H154" i="2" s="1"/>
  <c r="E155" i="2"/>
  <c r="F155" i="2" s="1"/>
  <c r="H155" i="2" s="1"/>
  <c r="E156" i="2"/>
  <c r="F156" i="2" s="1"/>
  <c r="H156" i="2" s="1"/>
  <c r="E157" i="2"/>
  <c r="F157" i="2" s="1"/>
  <c r="H157" i="2" s="1"/>
  <c r="E158" i="2"/>
  <c r="F158" i="2" s="1"/>
  <c r="H158" i="2" s="1"/>
  <c r="E159" i="2"/>
  <c r="F159" i="2" s="1"/>
  <c r="H159" i="2" s="1"/>
  <c r="E160" i="2"/>
  <c r="F160" i="2" s="1"/>
  <c r="H160" i="2" s="1"/>
  <c r="E161" i="2"/>
  <c r="F161" i="2" s="1"/>
  <c r="H161" i="2" s="1"/>
  <c r="E162" i="2"/>
  <c r="F162" i="2" s="1"/>
  <c r="H162" i="2" s="1"/>
  <c r="E163" i="2"/>
  <c r="F163" i="2" s="1"/>
  <c r="H163" i="2" s="1"/>
  <c r="E164" i="2"/>
  <c r="F164" i="2" s="1"/>
  <c r="H164" i="2" s="1"/>
  <c r="E165" i="2"/>
  <c r="F165" i="2" s="1"/>
  <c r="H165" i="2" s="1"/>
  <c r="E166" i="2"/>
  <c r="F166" i="2" s="1"/>
  <c r="H166" i="2" s="1"/>
  <c r="E167" i="2"/>
  <c r="F167" i="2" s="1"/>
  <c r="H167" i="2" s="1"/>
  <c r="E168" i="2"/>
  <c r="F168" i="2" s="1"/>
  <c r="H168" i="2" s="1"/>
  <c r="E169" i="2"/>
  <c r="F169" i="2" s="1"/>
  <c r="H169" i="2" s="1"/>
  <c r="E170" i="2"/>
  <c r="F170" i="2" s="1"/>
  <c r="H170" i="2" s="1"/>
  <c r="E171" i="2"/>
  <c r="F171" i="2" s="1"/>
  <c r="H171" i="2" s="1"/>
  <c r="E172" i="2"/>
  <c r="F172" i="2" s="1"/>
  <c r="H172" i="2" s="1"/>
  <c r="E173" i="2"/>
  <c r="F173" i="2" s="1"/>
  <c r="H173" i="2" s="1"/>
  <c r="E174" i="2"/>
  <c r="F174" i="2" s="1"/>
  <c r="H174" i="2" s="1"/>
  <c r="E175" i="2"/>
  <c r="F175" i="2" s="1"/>
  <c r="H175" i="2" s="1"/>
  <c r="E176" i="2"/>
  <c r="F176" i="2" s="1"/>
  <c r="H176" i="2" s="1"/>
  <c r="E177" i="2"/>
  <c r="F177" i="2" s="1"/>
  <c r="H177" i="2" s="1"/>
  <c r="E178" i="2"/>
  <c r="F178" i="2" s="1"/>
  <c r="H178" i="2" s="1"/>
  <c r="E179" i="2"/>
  <c r="F179" i="2" s="1"/>
  <c r="H179" i="2" s="1"/>
  <c r="E180" i="2"/>
  <c r="F180" i="2" s="1"/>
  <c r="H180" i="2" s="1"/>
  <c r="E181" i="2"/>
  <c r="F181" i="2" s="1"/>
  <c r="H181" i="2" s="1"/>
  <c r="E182" i="2"/>
  <c r="F182" i="2" s="1"/>
  <c r="H182" i="2" s="1"/>
  <c r="E183" i="2"/>
  <c r="F183" i="2" s="1"/>
  <c r="H183" i="2" s="1"/>
  <c r="E184" i="2"/>
  <c r="F184" i="2" s="1"/>
  <c r="H184" i="2" s="1"/>
  <c r="E185" i="2"/>
  <c r="F185" i="2" s="1"/>
  <c r="H185" i="2" s="1"/>
  <c r="E186" i="2"/>
  <c r="F186" i="2" s="1"/>
  <c r="H186" i="2" s="1"/>
  <c r="E187" i="2"/>
  <c r="F187" i="2" s="1"/>
  <c r="H187" i="2" s="1"/>
  <c r="E188" i="2"/>
  <c r="F188" i="2" s="1"/>
  <c r="H188" i="2" s="1"/>
  <c r="E189" i="2"/>
  <c r="F189" i="2" s="1"/>
  <c r="H189" i="2" s="1"/>
  <c r="E190" i="2"/>
  <c r="F190" i="2" s="1"/>
  <c r="H190" i="2" s="1"/>
  <c r="E191" i="2"/>
  <c r="F191" i="2" s="1"/>
  <c r="H191" i="2" s="1"/>
  <c r="E2" i="2"/>
  <c r="F2" i="2" s="1"/>
  <c r="H2" i="2" s="1"/>
  <c r="E17" i="4"/>
  <c r="F17" i="4" s="1"/>
  <c r="H17" i="4" s="1"/>
  <c r="E18" i="4"/>
  <c r="F18" i="4" s="1"/>
  <c r="H18" i="4" s="1"/>
  <c r="E19" i="4"/>
  <c r="F19" i="4" s="1"/>
  <c r="H19" i="4" s="1"/>
  <c r="E20" i="4"/>
  <c r="F20" i="4" s="1"/>
  <c r="H20" i="4" s="1"/>
  <c r="E21" i="4"/>
  <c r="F21" i="4" s="1"/>
  <c r="H21" i="4" s="1"/>
  <c r="E22" i="4"/>
  <c r="F22" i="4" s="1"/>
  <c r="H22" i="4" s="1"/>
  <c r="E23" i="4"/>
  <c r="F23" i="4" s="1"/>
  <c r="H23" i="4" s="1"/>
  <c r="E24" i="4"/>
  <c r="F24" i="4" s="1"/>
  <c r="H24" i="4" s="1"/>
  <c r="E25" i="4"/>
  <c r="F25" i="4" s="1"/>
  <c r="H25" i="4" s="1"/>
  <c r="E26" i="4"/>
  <c r="F26" i="4" s="1"/>
  <c r="H26" i="4" s="1"/>
  <c r="E27" i="4"/>
  <c r="F27" i="4" s="1"/>
  <c r="H27" i="4" s="1"/>
  <c r="E3" i="4"/>
  <c r="F3" i="4" s="1"/>
  <c r="H3" i="4" s="1"/>
  <c r="E4" i="4"/>
  <c r="F4" i="4" s="1"/>
  <c r="H4" i="4" s="1"/>
  <c r="E5" i="4"/>
  <c r="F5" i="4" s="1"/>
  <c r="H5" i="4" s="1"/>
  <c r="E6" i="4"/>
  <c r="F6" i="4" s="1"/>
  <c r="H6" i="4" s="1"/>
  <c r="E7" i="4"/>
  <c r="F7" i="4" s="1"/>
  <c r="H7" i="4" s="1"/>
  <c r="E8" i="4"/>
  <c r="F8" i="4" s="1"/>
  <c r="H8" i="4" s="1"/>
  <c r="E9" i="4"/>
  <c r="F9" i="4" s="1"/>
  <c r="H9" i="4" s="1"/>
  <c r="E10" i="4"/>
  <c r="F10" i="4" s="1"/>
  <c r="H10" i="4" s="1"/>
  <c r="E11" i="4"/>
  <c r="F11" i="4" s="1"/>
  <c r="H11" i="4" s="1"/>
  <c r="E12" i="4"/>
  <c r="F12" i="4" s="1"/>
  <c r="H12" i="4" s="1"/>
  <c r="E13" i="4"/>
  <c r="F13" i="4" s="1"/>
  <c r="H13" i="4" s="1"/>
  <c r="E14" i="4"/>
  <c r="F14" i="4" s="1"/>
  <c r="H14" i="4" s="1"/>
  <c r="E15" i="4"/>
  <c r="F15" i="4" s="1"/>
  <c r="H15" i="4" s="1"/>
  <c r="E16" i="4"/>
  <c r="F16" i="4" s="1"/>
  <c r="H16" i="4" s="1"/>
  <c r="E2" i="4"/>
  <c r="F2" i="4" s="1"/>
  <c r="H2" i="4" s="1"/>
  <c r="E3" i="5"/>
  <c r="F3" i="5" s="1"/>
  <c r="H3" i="5" s="1"/>
  <c r="E4" i="5"/>
  <c r="F4" i="5" s="1"/>
  <c r="H4" i="5" s="1"/>
  <c r="E5" i="5"/>
  <c r="F5" i="5" s="1"/>
  <c r="H5" i="5" s="1"/>
  <c r="E6" i="5"/>
  <c r="F6" i="5" s="1"/>
  <c r="H6" i="5" s="1"/>
  <c r="E7" i="5"/>
  <c r="F7" i="5" s="1"/>
  <c r="H7" i="5" s="1"/>
  <c r="E8" i="5"/>
  <c r="F8" i="5" s="1"/>
  <c r="H8" i="5" s="1"/>
  <c r="E9" i="5"/>
  <c r="F9" i="5" s="1"/>
  <c r="H9" i="5" s="1"/>
  <c r="E10" i="5"/>
  <c r="F10" i="5" s="1"/>
  <c r="H10" i="5" s="1"/>
  <c r="E11" i="5"/>
  <c r="F11" i="5" s="1"/>
  <c r="H11" i="5" s="1"/>
  <c r="E12" i="5"/>
  <c r="F12" i="5" s="1"/>
  <c r="H12" i="5" s="1"/>
  <c r="E13" i="5"/>
  <c r="F13" i="5" s="1"/>
  <c r="H13" i="5" s="1"/>
  <c r="E14" i="5"/>
  <c r="F14" i="5" s="1"/>
  <c r="H14" i="5" s="1"/>
  <c r="E15" i="5"/>
  <c r="F15" i="5" s="1"/>
  <c r="H15" i="5" s="1"/>
  <c r="E16" i="5"/>
  <c r="F16" i="5" s="1"/>
  <c r="H16" i="5" s="1"/>
  <c r="E17" i="5"/>
  <c r="F17" i="5" s="1"/>
  <c r="H17" i="5" s="1"/>
  <c r="E18" i="5"/>
  <c r="F18" i="5" s="1"/>
  <c r="H18" i="5" s="1"/>
  <c r="E19" i="5"/>
  <c r="F19" i="5" s="1"/>
  <c r="H19" i="5" s="1"/>
  <c r="E20" i="5"/>
  <c r="F20" i="5" s="1"/>
  <c r="H20" i="5" s="1"/>
  <c r="E21" i="5"/>
  <c r="F21" i="5" s="1"/>
  <c r="H21" i="5" s="1"/>
  <c r="E22" i="5"/>
  <c r="F22" i="5" s="1"/>
  <c r="H22" i="5" s="1"/>
  <c r="E23" i="5"/>
  <c r="F23" i="5" s="1"/>
  <c r="H23" i="5" s="1"/>
  <c r="E24" i="5"/>
  <c r="F24" i="5" s="1"/>
  <c r="H24" i="5" s="1"/>
  <c r="E25" i="5"/>
  <c r="F25" i="5" s="1"/>
  <c r="H25" i="5" s="1"/>
  <c r="E26" i="5"/>
  <c r="F26" i="5" s="1"/>
  <c r="H26" i="5" s="1"/>
  <c r="E27" i="5"/>
  <c r="F27" i="5" s="1"/>
  <c r="H27" i="5" s="1"/>
  <c r="E28" i="5"/>
  <c r="F28" i="5" s="1"/>
  <c r="H28" i="5" s="1"/>
  <c r="E2" i="5"/>
  <c r="F2" i="5" s="1"/>
  <c r="H2" i="5" s="1"/>
  <c r="L3" i="5" l="1"/>
  <c r="L3" i="4"/>
  <c r="M3" i="2"/>
  <c r="L3" i="2"/>
  <c r="I188" i="2"/>
  <c r="I189" i="2"/>
  <c r="I190" i="2"/>
  <c r="I191" i="2"/>
  <c r="M3" i="1"/>
  <c r="L3" i="1"/>
  <c r="M3" i="7"/>
  <c r="L3" i="7"/>
  <c r="M3" i="6"/>
  <c r="L3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2" i="6"/>
  <c r="I2" i="7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L4" i="5" l="1"/>
  <c r="L5" i="5" s="1"/>
  <c r="L4" i="4"/>
  <c r="L5" i="4" s="1"/>
  <c r="M4" i="2"/>
  <c r="M5" i="2" s="1"/>
  <c r="L4" i="2"/>
  <c r="L5" i="2" s="1"/>
  <c r="M4" i="1"/>
  <c r="M5" i="1" s="1"/>
  <c r="L4" i="1"/>
  <c r="L5" i="1" s="1"/>
  <c r="M4" i="7"/>
  <c r="M5" i="7" s="1"/>
  <c r="L4" i="7"/>
  <c r="L5" i="7" s="1"/>
  <c r="M4" i="6"/>
  <c r="M5" i="6" s="1"/>
  <c r="L4" i="6"/>
  <c r="L5" i="6" s="1"/>
  <c r="I119" i="7"/>
  <c r="I118" i="7"/>
  <c r="I117" i="7"/>
  <c r="I116" i="7"/>
  <c r="I115" i="7"/>
  <c r="I114" i="7"/>
  <c r="I113" i="7"/>
  <c r="I112" i="7"/>
  <c r="I111" i="7"/>
  <c r="I110" i="7"/>
  <c r="I109" i="7"/>
  <c r="I108" i="7"/>
  <c r="I107" i="7"/>
  <c r="I106" i="7"/>
  <c r="I105" i="7"/>
  <c r="I104" i="7"/>
  <c r="I103" i="7"/>
  <c r="I102" i="7"/>
  <c r="I101" i="7"/>
  <c r="I100" i="7"/>
  <c r="I99" i="7"/>
  <c r="I98" i="7"/>
  <c r="I97" i="7"/>
  <c r="I96" i="7"/>
  <c r="I95" i="7"/>
  <c r="I94" i="7"/>
  <c r="I93" i="7"/>
  <c r="I92" i="7"/>
  <c r="I91" i="7"/>
  <c r="I90" i="7"/>
  <c r="I89" i="7"/>
  <c r="I88" i="7"/>
  <c r="I87" i="7"/>
  <c r="I86" i="7"/>
  <c r="I85" i="7"/>
  <c r="I84" i="7"/>
  <c r="I83" i="7"/>
  <c r="I82" i="7"/>
  <c r="I81" i="7"/>
  <c r="I80" i="7"/>
  <c r="I79" i="7"/>
  <c r="I78" i="7"/>
  <c r="I77" i="7"/>
  <c r="I76" i="7"/>
  <c r="I75" i="7"/>
  <c r="I74" i="7"/>
  <c r="I73" i="7"/>
  <c r="I72" i="7"/>
  <c r="I71" i="7"/>
  <c r="I70" i="7"/>
  <c r="I69" i="7"/>
  <c r="I68" i="7"/>
  <c r="I67" i="7"/>
  <c r="I66" i="7"/>
  <c r="I65" i="7"/>
  <c r="I64" i="7"/>
  <c r="I63" i="7"/>
  <c r="I62" i="7"/>
  <c r="I61" i="7"/>
  <c r="I60" i="7"/>
  <c r="I59" i="7"/>
  <c r="I58" i="7"/>
  <c r="I57" i="7"/>
  <c r="I56" i="7"/>
  <c r="I55" i="7"/>
  <c r="I54" i="7"/>
  <c r="I53" i="7"/>
  <c r="I52" i="7"/>
  <c r="I51" i="7"/>
  <c r="I50" i="7"/>
  <c r="I49" i="7"/>
  <c r="I48" i="7"/>
  <c r="I47" i="7"/>
  <c r="I46" i="7"/>
  <c r="I45" i="7"/>
  <c r="I44" i="7"/>
  <c r="I43" i="7"/>
  <c r="I42" i="7"/>
  <c r="I41" i="7"/>
  <c r="I40" i="7"/>
  <c r="I39" i="7"/>
  <c r="I38" i="7"/>
  <c r="I37" i="7"/>
  <c r="I36" i="7"/>
  <c r="I35" i="7"/>
  <c r="I34" i="7"/>
  <c r="I33" i="7"/>
  <c r="I32" i="7"/>
  <c r="I31" i="7"/>
  <c r="I30" i="7"/>
  <c r="I29" i="7"/>
  <c r="I28" i="7"/>
  <c r="I27" i="7"/>
  <c r="I26" i="7"/>
  <c r="I25" i="7"/>
  <c r="I24" i="7"/>
  <c r="I23" i="7"/>
  <c r="I22" i="7"/>
  <c r="I21" i="7"/>
  <c r="I20" i="7"/>
  <c r="I19" i="7"/>
  <c r="I18" i="7"/>
  <c r="I17" i="7"/>
  <c r="I16" i="7"/>
  <c r="I15" i="7"/>
  <c r="I14" i="7"/>
  <c r="I13" i="7"/>
  <c r="I12" i="7"/>
  <c r="I11" i="7"/>
  <c r="I10" i="7"/>
  <c r="I9" i="7"/>
  <c r="I8" i="7"/>
  <c r="I7" i="7"/>
  <c r="I6" i="7"/>
  <c r="I5" i="7"/>
  <c r="I4" i="7"/>
  <c r="I3" i="7"/>
  <c r="I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  <c r="I2" i="4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I187" i="1" l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<sst xmlns="http://schemas.openxmlformats.org/spreadsheetml/2006/main" count="827" uniqueCount="488">
  <si>
    <t>All values</t>
  </si>
  <si>
    <t>0-500 s</t>
  </si>
  <si>
    <t>Tau:</t>
  </si>
  <si>
    <t>s</t>
  </si>
  <si>
    <t>min</t>
  </si>
  <si>
    <t>h</t>
  </si>
  <si>
    <t>0-1000 s</t>
  </si>
  <si>
    <t>Freq</t>
  </si>
  <si>
    <t>Magnitude</t>
  </si>
  <si>
    <t>Phase</t>
  </si>
  <si>
    <t>Time (date)</t>
  </si>
  <si>
    <t>Magnitude - R</t>
  </si>
  <si>
    <t>Time[s]</t>
  </si>
  <si>
    <t>ln(Magnitude)</t>
  </si>
  <si>
    <t>Serie Resistor</t>
  </si>
  <si>
    <t>Baseline</t>
  </si>
  <si>
    <t>Bread Magnitude - Baseline</t>
  </si>
  <si>
    <t>ln with baseline</t>
  </si>
  <si>
    <t>Cu_1stPhase</t>
  </si>
  <si>
    <t>PANI_1stPhase</t>
  </si>
  <si>
    <t>Summary</t>
  </si>
  <si>
    <t>PANI_3rdPhase</t>
  </si>
  <si>
    <t>Cu_3rdPhase</t>
  </si>
  <si>
    <t>PANI_2ndPhase</t>
  </si>
  <si>
    <t>Cu_2ndPhase</t>
  </si>
  <si>
    <t>Slope</t>
  </si>
  <si>
    <t>Tau</t>
  </si>
  <si>
    <t>Tue Nov 23 14:44:34 2021</t>
  </si>
  <si>
    <t>Tue Nov 23 14:44:44 2021</t>
  </si>
  <si>
    <t>Tue Nov 23 14:44:54 2021</t>
  </si>
  <si>
    <t>Tue Nov 23 14:45:04 2021</t>
  </si>
  <si>
    <t>Tue Nov 23 14:45:14 2021</t>
  </si>
  <si>
    <t>Tue Nov 23 14:45:24 2021</t>
  </si>
  <si>
    <t>Tue Nov 23 14:45:34 2021</t>
  </si>
  <si>
    <t>Tue Nov 23 14:45:44 2021</t>
  </si>
  <si>
    <t>Tue Nov 23 14:45:54 2021</t>
  </si>
  <si>
    <t>Tue Nov 23 14:46:04 2021</t>
  </si>
  <si>
    <t>Tue Nov 23 14:46:14 2021</t>
  </si>
  <si>
    <t>Tue Nov 23 14:46:25 2021</t>
  </si>
  <si>
    <t>Tue Nov 23 14:46:35 2021</t>
  </si>
  <si>
    <t>Tue Nov 23 14:46:44 2021</t>
  </si>
  <si>
    <t>Tue Nov 23 14:46:54 2021</t>
  </si>
  <si>
    <t>Tue Nov 23 14:47:04 2021</t>
  </si>
  <si>
    <t>Tue Nov 23 14:47:15 2021</t>
  </si>
  <si>
    <t>Tue Nov 23 14:47:25 2021</t>
  </si>
  <si>
    <t>Tue Nov 23 14:47:35 2021</t>
  </si>
  <si>
    <t>Tue Nov 23 14:47:45 2021</t>
  </si>
  <si>
    <t>Tue Nov 23 14:47:55 2021</t>
  </si>
  <si>
    <t>Tue Nov 23 14:48:05 2021</t>
  </si>
  <si>
    <t>Tue Nov 23 14:48:15 2021</t>
  </si>
  <si>
    <t>Tue Nov 23 14:48:25 2021</t>
  </si>
  <si>
    <t>Tue Nov 23 14:48:34 2021</t>
  </si>
  <si>
    <t>Tue Nov 23 14:48:45 2021</t>
  </si>
  <si>
    <t>Tue Nov 23 14:48:55 2021</t>
  </si>
  <si>
    <t>Tue Nov 23 14:49:05 2021</t>
  </si>
  <si>
    <t>Tue Nov 23 14:49:15 2021</t>
  </si>
  <si>
    <t>Tue Nov 23 14:49:25 2021</t>
  </si>
  <si>
    <t>Tue Nov 23 14:49:34 2021</t>
  </si>
  <si>
    <t>Tue Nov 23 14:49:45 2021</t>
  </si>
  <si>
    <t>Tue Nov 23 14:49:55 2021</t>
  </si>
  <si>
    <t>Tue Nov 23 14:50:05 2021</t>
  </si>
  <si>
    <t>Tue Nov 23 14:50:15 2021</t>
  </si>
  <si>
    <t>Tue Nov 23 14:50:25 2021</t>
  </si>
  <si>
    <t>Tue Nov 23 14:50:35 2021</t>
  </si>
  <si>
    <t>Tue Nov 23 14:50:45 2021</t>
  </si>
  <si>
    <t>Tue Nov 23 14:50:55 2021</t>
  </si>
  <si>
    <t>Tue Nov 23 14:51:05 2021</t>
  </si>
  <si>
    <t>Tue Nov 23 14:51:15 2021</t>
  </si>
  <si>
    <t>Tue Nov 23 14:51:26 2021</t>
  </si>
  <si>
    <t>Tue Nov 23 14:51:35 2021</t>
  </si>
  <si>
    <t>Tue Nov 23 14:51:45 2021</t>
  </si>
  <si>
    <t>Tue Nov 23 14:51:55 2021</t>
  </si>
  <si>
    <t>Tue Nov 23 14:52:05 2021</t>
  </si>
  <si>
    <t>Tue Nov 23 14:52:15 2021</t>
  </si>
  <si>
    <t>Tue Nov 23 14:52:25 2021</t>
  </si>
  <si>
    <t>Tue Nov 23 14:52:35 2021</t>
  </si>
  <si>
    <t>Tue Nov 23 14:52:45 2021</t>
  </si>
  <si>
    <t>Tue Nov 23 14:52:55 2021</t>
  </si>
  <si>
    <t>Tue Nov 23 14:53:05 2021</t>
  </si>
  <si>
    <t>Tue Nov 23 14:53:15 2021</t>
  </si>
  <si>
    <t>Tue Nov 23 14:53:25 2021</t>
  </si>
  <si>
    <t>Tue Nov 23 14:53:36 2021</t>
  </si>
  <si>
    <t>Tue Nov 23 14:53:46 2021</t>
  </si>
  <si>
    <t>Tue Nov 23 14:53:55 2021</t>
  </si>
  <si>
    <t>Tue Nov 23 14:54:05 2021</t>
  </si>
  <si>
    <t>Tue Nov 23 14:54:16 2021</t>
  </si>
  <si>
    <t>Tue Nov 23 14:54:26 2021</t>
  </si>
  <si>
    <t>Tue Nov 23 14:54:35 2021</t>
  </si>
  <si>
    <t>Tue Nov 23 14:54:45 2021</t>
  </si>
  <si>
    <t>Tue Nov 23 14:54:56 2021</t>
  </si>
  <si>
    <t>Tue Nov 23 14:55:05 2021</t>
  </si>
  <si>
    <t>Tue Nov 23 14:55:15 2021</t>
  </si>
  <si>
    <t>Tue Nov 23 14:55:26 2021</t>
  </si>
  <si>
    <t>Tue Nov 23 14:55:35 2021</t>
  </si>
  <si>
    <t>Tue Nov 23 14:55:46 2021</t>
  </si>
  <si>
    <t>Tue Nov 23 14:55:56 2021</t>
  </si>
  <si>
    <t>Tue Nov 23 14:56:06 2021</t>
  </si>
  <si>
    <t>Tue Nov 23 14:56:16 2021</t>
  </si>
  <si>
    <t>Tue Nov 23 14:56:26 2021</t>
  </si>
  <si>
    <t>Tue Nov 23 14:56:36 2021</t>
  </si>
  <si>
    <t>Tue Nov 23 14:56:46 2021</t>
  </si>
  <si>
    <t>Tue Nov 23 14:56:56 2021</t>
  </si>
  <si>
    <t>Tue Nov 23 14:57:06 2021</t>
  </si>
  <si>
    <t>Tue Nov 23 14:57:16 2021</t>
  </si>
  <si>
    <t>Tue Nov 23 14:57:27 2021</t>
  </si>
  <si>
    <t>Tue Nov 23 14:57:36 2021</t>
  </si>
  <si>
    <t>Tue Nov 23 14:57:46 2021</t>
  </si>
  <si>
    <t>Tue Nov 23 14:57:56 2021</t>
  </si>
  <si>
    <t>Tue Nov 23 14:58:06 2021</t>
  </si>
  <si>
    <t>Tue Nov 23 14:58:16 2021</t>
  </si>
  <si>
    <t>Tue Nov 23 14:58:26 2021</t>
  </si>
  <si>
    <t>Tue Nov 23 14:58:36 2021</t>
  </si>
  <si>
    <t>Tue Nov 23 14:58:46 2021</t>
  </si>
  <si>
    <t>Tue Nov 23 14:58:56 2021</t>
  </si>
  <si>
    <t>Tue Nov 23 14:59:06 2021</t>
  </si>
  <si>
    <t>Tue Nov 23 14:59:16 2021</t>
  </si>
  <si>
    <t>Tue Nov 23 14:59:26 2021</t>
  </si>
  <si>
    <t>Tue Nov 23 14:59:36 2021</t>
  </si>
  <si>
    <t>Tue Nov 23 14:59:46 2021</t>
  </si>
  <si>
    <t>Tue Nov 23 14:59:56 2021</t>
  </si>
  <si>
    <t>Tue Nov 23 15:00:06 2021</t>
  </si>
  <si>
    <t>Tue Nov 23 15:00:17 2021</t>
  </si>
  <si>
    <t>Tue Nov 23 15:00:27 2021</t>
  </si>
  <si>
    <t>Tue Nov 23 15:00:37 2021</t>
  </si>
  <si>
    <t>Tue Nov 23 15:00:46 2021</t>
  </si>
  <si>
    <t>Tue Nov 23 15:00:57 2021</t>
  </si>
  <si>
    <t>Tue Nov 23 15:01:06 2021</t>
  </si>
  <si>
    <t>Tue Nov 23 15:01:16 2021</t>
  </si>
  <si>
    <t>Tue Nov 23 15:01:27 2021</t>
  </si>
  <si>
    <t>Tue Nov 23 15:01:36 2021</t>
  </si>
  <si>
    <t>Tue Nov 23 15:01:47 2021</t>
  </si>
  <si>
    <t>Tue Nov 23 15:01:57 2021</t>
  </si>
  <si>
    <t>Tue Nov 23 15:02:06 2021</t>
  </si>
  <si>
    <t>Tue Nov 23 15:02:17 2021</t>
  </si>
  <si>
    <t>Tue Nov 23 15:02:27 2021</t>
  </si>
  <si>
    <t>Tue Nov 23 15:02:37 2021</t>
  </si>
  <si>
    <t>Tue Nov 23 15:02:47 2021</t>
  </si>
  <si>
    <t>Tue Nov 23 15:02:56 2021</t>
  </si>
  <si>
    <t>Tue Nov 23 15:03:07 2021</t>
  </si>
  <si>
    <t>Tue Nov 23 15:03:17 2021</t>
  </si>
  <si>
    <t>Tue Nov 23 15:03:27 2021</t>
  </si>
  <si>
    <t>Tue Nov 23 15:03:37 2021</t>
  </si>
  <si>
    <t>Tue Nov 23 15:03:47 2021</t>
  </si>
  <si>
    <t>Tue Nov 23 15:03:57 2021</t>
  </si>
  <si>
    <t>Tue Nov 23 16:10:44 2021</t>
  </si>
  <si>
    <t>Tue Nov 23 14:41:34 2021</t>
  </si>
  <si>
    <t>Tue Nov 23 14:41:44 2021</t>
  </si>
  <si>
    <t>Tue Nov 23 14:41:54 2021</t>
  </si>
  <si>
    <t>Tue Nov 23 14:42:03 2021</t>
  </si>
  <si>
    <t>Tue Nov 23 14:42:14 2021</t>
  </si>
  <si>
    <t>Tue Nov 23 14:42:24 2021</t>
  </si>
  <si>
    <t>Tue Nov 23 14:42:34 2021</t>
  </si>
  <si>
    <t>Tue Nov 23 14:42:44 2021</t>
  </si>
  <si>
    <t>Tue Nov 23 14:42:54 2021</t>
  </si>
  <si>
    <t>Tue Nov 23 14:43:04 2021</t>
  </si>
  <si>
    <t>Tue Nov 23 14:43:14 2021</t>
  </si>
  <si>
    <t>Tue Nov 23 14:43:24 2021</t>
  </si>
  <si>
    <t>Tue Nov 23 14:43:34 2021</t>
  </si>
  <si>
    <t>Tue Nov 23 14:43:44 2021</t>
  </si>
  <si>
    <t>Tue Nov 23 14:43:54 2021</t>
  </si>
  <si>
    <t>Tue Nov 23 14:44:04 2021</t>
  </si>
  <si>
    <t>Tue Nov 23 14:44:14 2021</t>
  </si>
  <si>
    <t>Tue Nov 23 14:44:24 2021</t>
  </si>
  <si>
    <t>Tue Nov 23 14:45:15 2021</t>
  </si>
  <si>
    <t>Tue Nov 23 14:45:55 2021</t>
  </si>
  <si>
    <t>Tue Nov 23 14:46:24 2021</t>
  </si>
  <si>
    <t>Tue Nov 23 14:47:24 2021</t>
  </si>
  <si>
    <t>Tue Nov 23 14:48:44 2021</t>
  </si>
  <si>
    <t>Tue Nov 23 14:48:54 2021</t>
  </si>
  <si>
    <t>Tue Nov 23 14:49:04 2021</t>
  </si>
  <si>
    <t>Tue Nov 23 14:51:25 2021</t>
  </si>
  <si>
    <t>Tue Nov 23 14:52:26 2021</t>
  </si>
  <si>
    <t>Tue Nov 23 14:53:35 2021</t>
  </si>
  <si>
    <t>Tue Nov 23 14:54:25 2021</t>
  </si>
  <si>
    <t>Tue Nov 23 14:54:36 2021</t>
  </si>
  <si>
    <t>Tue Nov 23 14:55:45 2021</t>
  </si>
  <si>
    <t>Tue Nov 23 14:57:05 2021</t>
  </si>
  <si>
    <t>Tue Nov 23 14:57:26 2021</t>
  </si>
  <si>
    <t>Tue Nov 23 14:57:55 2021</t>
  </si>
  <si>
    <t>Tue Nov 23 14:59:07 2021</t>
  </si>
  <si>
    <t>Tue Nov 23 15:00:16 2021</t>
  </si>
  <si>
    <t>Tue Nov 23 15:00:26 2021</t>
  </si>
  <si>
    <t>Tue Nov 23 15:00:36 2021</t>
  </si>
  <si>
    <t>Tue Nov 23 15:00:47 2021</t>
  </si>
  <si>
    <t>Tue Nov 23 15:00:56 2021</t>
  </si>
  <si>
    <t>Tue Nov 23 15:01:46 2021</t>
  </si>
  <si>
    <t>Tue Nov 23 15:02:07 2021</t>
  </si>
  <si>
    <t>Tue Nov 23 15:02:16 2021</t>
  </si>
  <si>
    <t>Tue Nov 23 15:02:57 2021</t>
  </si>
  <si>
    <t>Tue Nov 23 15:03:16 2021</t>
  </si>
  <si>
    <t>Tue Nov 23 15:04:07 2021</t>
  </si>
  <si>
    <t>Tue Nov 23 15:04:17 2021</t>
  </si>
  <si>
    <t>Tue Nov 23 15:04:27 2021</t>
  </si>
  <si>
    <t>Tue Nov 23 15:04:37 2021</t>
  </si>
  <si>
    <t>Tue Nov 23 15:04:47 2021</t>
  </si>
  <si>
    <t>Tue Nov 23 15:04:57 2021</t>
  </si>
  <si>
    <t>Tue Nov 23 15:05:07 2021</t>
  </si>
  <si>
    <t>Tue Nov 23 15:05:17 2021</t>
  </si>
  <si>
    <t>Tue Nov 23 15:05:27 2021</t>
  </si>
  <si>
    <t>Tue Nov 23 15:05:37 2021</t>
  </si>
  <si>
    <t>Tue Nov 23 15:05:47 2021</t>
  </si>
  <si>
    <t>Tue Nov 23 15:05:57 2021</t>
  </si>
  <si>
    <t>Tue Nov 23 15:06:07 2021</t>
  </si>
  <si>
    <t>Tue Nov 23 15:06:18 2021</t>
  </si>
  <si>
    <t>Tue Nov 23 15:06:27 2021</t>
  </si>
  <si>
    <t>Tue Nov 23 15:06:38 2021</t>
  </si>
  <si>
    <t>Tue Nov 23 15:06:48 2021</t>
  </si>
  <si>
    <t>Tue Nov 23 15:06:57 2021</t>
  </si>
  <si>
    <t>Tue Nov 23 15:07:07 2021</t>
  </si>
  <si>
    <t>Tue Nov 23 15:07:17 2021</t>
  </si>
  <si>
    <t>Tue Nov 23 15:07:28 2021</t>
  </si>
  <si>
    <t>Tue Nov 23 15:07:37 2021</t>
  </si>
  <si>
    <t>Tue Nov 23 15:07:48 2021</t>
  </si>
  <si>
    <t>Tue Nov 23 15:07:57 2021</t>
  </si>
  <si>
    <t>Tue Nov 23 15:08:08 2021</t>
  </si>
  <si>
    <t>Tue Nov 23 15:08:18 2021</t>
  </si>
  <si>
    <t>Tue Nov 23 15:08:28 2021</t>
  </si>
  <si>
    <t>Tue Nov 23 15:08:38 2021</t>
  </si>
  <si>
    <t>Tue Nov 23 15:08:48 2021</t>
  </si>
  <si>
    <t>Tue Nov 23 15:08:57 2021</t>
  </si>
  <si>
    <t>Tue Nov 23 15:09:08 2021</t>
  </si>
  <si>
    <t>Tue Nov 23 15:09:18 2021</t>
  </si>
  <si>
    <t>Tue Nov 23 15:09:27 2021</t>
  </si>
  <si>
    <t>Tue Nov 23 15:09:37 2021</t>
  </si>
  <si>
    <t>Tue Nov 23 15:09:48 2021</t>
  </si>
  <si>
    <t>Tue Nov 23 15:09:57 2021</t>
  </si>
  <si>
    <t>Tue Nov 23 15:10:08 2021</t>
  </si>
  <si>
    <t>Tue Nov 23 15:10:18 2021</t>
  </si>
  <si>
    <t>Tue Nov 23 15:10:28 2021</t>
  </si>
  <si>
    <t>Tue Nov 23 15:10:38 2021</t>
  </si>
  <si>
    <t>Tue Nov 23 15:10:48 2021</t>
  </si>
  <si>
    <t>Tue Nov 23 15:10:58 2021</t>
  </si>
  <si>
    <t>Tue Nov 23 15:11:08 2021</t>
  </si>
  <si>
    <t>Tue Nov 23 15:11:18 2021</t>
  </si>
  <si>
    <t>Tue Nov 23 15:11:28 2021</t>
  </si>
  <si>
    <t>Tue Nov 23 15:11:38 2021</t>
  </si>
  <si>
    <t>Tue Nov 23 15:11:48 2021</t>
  </si>
  <si>
    <t>Tue Nov 23 15:11:58 2021</t>
  </si>
  <si>
    <t>Tue Nov 23 15:12:08 2021</t>
  </si>
  <si>
    <t>Tue Nov 23 15:12:19 2021</t>
  </si>
  <si>
    <t>Tue Nov 23 15:12:28 2021</t>
  </si>
  <si>
    <t>Tue Nov 23 15:12:38 2021</t>
  </si>
  <si>
    <t>Tue Nov 23 15:12:48 2021</t>
  </si>
  <si>
    <t>Tue Nov 23 15:12:58 2021</t>
  </si>
  <si>
    <t>Tue Nov 23 15:13:09 2021</t>
  </si>
  <si>
    <t>Tue Nov 23 15:13:18 2021</t>
  </si>
  <si>
    <t>Tue Nov 23 15:13:28 2021</t>
  </si>
  <si>
    <t>Tue Nov 23 15:13:38 2021</t>
  </si>
  <si>
    <t>Tue Nov 23 15:13:48 2021</t>
  </si>
  <si>
    <t>Tue Nov 23 15:13:59 2021</t>
  </si>
  <si>
    <t>Tue Nov 23 15:14:08 2021</t>
  </si>
  <si>
    <t>Tue Nov 23 15:14:18 2021</t>
  </si>
  <si>
    <t>Tue Nov 23 15:14:28 2021</t>
  </si>
  <si>
    <t>Tue Nov 23 15:14:38 2021</t>
  </si>
  <si>
    <t>Tue Nov 23 15:14:49 2021</t>
  </si>
  <si>
    <t>Tue Nov 23 15:14:59 2021</t>
  </si>
  <si>
    <t>Tue Nov 23 15:15:08 2021</t>
  </si>
  <si>
    <t>Tue Nov 23 15:15:18 2021</t>
  </si>
  <si>
    <t>Tue Nov 23 15:15:28 2021</t>
  </si>
  <si>
    <t>Tue Nov 23 15:15:39 2021</t>
  </si>
  <si>
    <t>Tue Nov 23 15:15:49 2021</t>
  </si>
  <si>
    <t>Tue Nov 23 15:15:58 2021</t>
  </si>
  <si>
    <t>Tue Nov 23 15:16:09 2021</t>
  </si>
  <si>
    <t>Tue Nov 23 15:16:18 2021</t>
  </si>
  <si>
    <t>Tue Nov 23 15:16:29 2021</t>
  </si>
  <si>
    <t>Tue Nov 23 15:16:38 2021</t>
  </si>
  <si>
    <t>Tue Nov 23 15:16:49 2021</t>
  </si>
  <si>
    <t>Tue Nov 23 15:16:58 2021</t>
  </si>
  <si>
    <t>Tue Nov 23 15:17:08 2021</t>
  </si>
  <si>
    <t>Tue Nov 23 15:17:18 2021</t>
  </si>
  <si>
    <t>Tue Nov 23 15:17:29 2021</t>
  </si>
  <si>
    <t>Tue Nov 23 15:17:39 2021</t>
  </si>
  <si>
    <t>Tue Nov 23 15:17:49 2021</t>
  </si>
  <si>
    <t>Tue Nov 23 15:17:59 2021</t>
  </si>
  <si>
    <t>Tue Nov 23 15:18:09 2021</t>
  </si>
  <si>
    <t>Tue Nov 23 15:18:19 2021</t>
  </si>
  <si>
    <t>Tue Nov 23 15:18:29 2021</t>
  </si>
  <si>
    <t>Tue Nov 23 15:18:39 2021</t>
  </si>
  <si>
    <t>Tue Nov 23 15:18:49 2021</t>
  </si>
  <si>
    <t>Tue Nov 23 15:18:59 2021</t>
  </si>
  <si>
    <t>Tue Nov 23 15:19:09 2021</t>
  </si>
  <si>
    <t>Tue Nov 23 15:19:19 2021</t>
  </si>
  <si>
    <t>Tue Nov 23 15:19:29 2021</t>
  </si>
  <si>
    <t>Tue Nov 23 15:19:39 2021</t>
  </si>
  <si>
    <t>Tue Nov 23 15:19:49 2021</t>
  </si>
  <si>
    <t>Tue Nov 23 15:19:59 2021</t>
  </si>
  <si>
    <t>Tue Nov 23 15:20:09 2021</t>
  </si>
  <si>
    <t>Tue Nov 23 15:20:19 2021</t>
  </si>
  <si>
    <t>Tue Nov 23 15:20:29 2021</t>
  </si>
  <si>
    <t>Tue Nov 23 15:20:39 2021</t>
  </si>
  <si>
    <t>Tue Nov 23 15:20:49 2021</t>
  </si>
  <si>
    <t>Tue Nov 23 15:21:00 2021</t>
  </si>
  <si>
    <t>Tue Nov 23 15:21:10 2021</t>
  </si>
  <si>
    <t>Tue Nov 23 15:21:19 2021</t>
  </si>
  <si>
    <t>Tue Nov 23 15:21:29 2021</t>
  </si>
  <si>
    <t>Tue Nov 23 15:21:40 2021</t>
  </si>
  <si>
    <t>Tue Nov 23 15:21:49 2021</t>
  </si>
  <si>
    <t>Tue Nov 23 15:22:00 2021</t>
  </si>
  <si>
    <t>Tue Nov 23 15:22:10 2021</t>
  </si>
  <si>
    <t>Tue Nov 23 15:22:20 2021</t>
  </si>
  <si>
    <t>Tue Nov 23 15:22:29 2021</t>
  </si>
  <si>
    <t>Tue Nov 23 15:22:40 2021</t>
  </si>
  <si>
    <t>Tue Nov 23 15:22:50 2021</t>
  </si>
  <si>
    <t>Tue Nov 23 15:23:00 2021</t>
  </si>
  <si>
    <t>Tue Nov 23 15:23:10 2021</t>
  </si>
  <si>
    <t>Tue Nov 23 15:23:19 2021</t>
  </si>
  <si>
    <t>Tue Nov 23 15:23:29 2021</t>
  </si>
  <si>
    <t>Tue Nov 23 15:23:40 2021</t>
  </si>
  <si>
    <t>Tue Nov 23 15:23:49 2021</t>
  </si>
  <si>
    <t>Tue Nov 23 15:23:59 2021</t>
  </si>
  <si>
    <t>Tue Nov 23 15:24:09 2021</t>
  </si>
  <si>
    <t>Tue Nov 23 15:24:19 2021</t>
  </si>
  <si>
    <t>Tue Nov 23 15:24:30 2021</t>
  </si>
  <si>
    <t>Tue Nov 23 15:24:39 2021</t>
  </si>
  <si>
    <t>Tue Nov 23 15:24:49 2021</t>
  </si>
  <si>
    <t>Tue Nov 23 15:25:00 2021</t>
  </si>
  <si>
    <t>Tue Nov 23 15:25:09 2021</t>
  </si>
  <si>
    <t>Tue Nov 23 15:25:20 2021</t>
  </si>
  <si>
    <t>Tue Nov 23 15:25:30 2021</t>
  </si>
  <si>
    <t>Tue Nov 23 15:25:41 2021</t>
  </si>
  <si>
    <t>Tue Nov 23 15:25:50 2021</t>
  </si>
  <si>
    <t>Tue Nov 23 15:26:01 2021</t>
  </si>
  <si>
    <t>Tue Nov 23 15:26:10 2021</t>
  </si>
  <si>
    <t>Tue Nov 23 15:26:20 2021</t>
  </si>
  <si>
    <t>Tue Nov 23 15:26:30 2021</t>
  </si>
  <si>
    <t>Tue Nov 23 15:26:40 2021</t>
  </si>
  <si>
    <t>Tue Nov 23 15:26:51 2021</t>
  </si>
  <si>
    <t>Tue Nov 23 15:27:00 2021</t>
  </si>
  <si>
    <t>Tue Nov 23 15:27:10 2021</t>
  </si>
  <si>
    <t>Tue Nov 23 15:27:20 2021</t>
  </si>
  <si>
    <t>Tue Nov 23 15:27:30 2021</t>
  </si>
  <si>
    <t>Tue Nov 23 15:27:40 2021</t>
  </si>
  <si>
    <t>Tue Nov 23 15:27:50 2021</t>
  </si>
  <si>
    <t>Tue Nov 23 15:28:00 2021</t>
  </si>
  <si>
    <t>Tue Nov 23 15:28:10 2021</t>
  </si>
  <si>
    <t>Tue Nov 23 15:28:20 2021</t>
  </si>
  <si>
    <t>Tue Nov 23 15:28:30 2021</t>
  </si>
  <si>
    <t>Tue Nov 23 15:28:40 2021</t>
  </si>
  <si>
    <t>Tue Nov 23 15:28:51 2021</t>
  </si>
  <si>
    <t>Tue Nov 23 15:29:00 2021</t>
  </si>
  <si>
    <t>Tue Nov 23 15:29:10 2021</t>
  </si>
  <si>
    <t>Tue Nov 23 15:29:20 2021</t>
  </si>
  <si>
    <t>Tue Nov 23 15:29:30 2021</t>
  </si>
  <si>
    <t>Tue Nov 23 15:29:40 2021</t>
  </si>
  <si>
    <t>Tue Nov 23 15:29:50 2021</t>
  </si>
  <si>
    <t>Tue Nov 23 15:30:01 2021</t>
  </si>
  <si>
    <t>Tue Nov 23 15:30:11 2021</t>
  </si>
  <si>
    <t>Tue Nov 23 15:30:21 2021</t>
  </si>
  <si>
    <t>Tue Nov 23 15:30:30 2021</t>
  </si>
  <si>
    <t>Tue Nov 23 15:30:40 2021</t>
  </si>
  <si>
    <t>Tue Nov 23 15:30:51 2021</t>
  </si>
  <si>
    <t>Tue Nov 23 15:31:01 2021</t>
  </si>
  <si>
    <t>Tue Nov 23 15:31:11 2021</t>
  </si>
  <si>
    <t>Tue Nov 23 15:31:21 2021</t>
  </si>
  <si>
    <t>Tue Nov 23 15:31:31 2021</t>
  </si>
  <si>
    <t>Tue Nov 23 15:31:41 2021</t>
  </si>
  <si>
    <t>Tue Nov 23 15:31:51 2021</t>
  </si>
  <si>
    <t>Tue Nov 23 15:32:00 2021</t>
  </si>
  <si>
    <t>Tue Nov 23 15:32:11 2021</t>
  </si>
  <si>
    <t>Tue Nov 23 15:32:21 2021</t>
  </si>
  <si>
    <t>Tue Nov 23 15:32:31 2021</t>
  </si>
  <si>
    <t>Tue Nov 23 15:32:41 2021</t>
  </si>
  <si>
    <t>Tue Nov 23 15:32:51 2021</t>
  </si>
  <si>
    <t>Tue Nov 23 15:33:01 2021</t>
  </si>
  <si>
    <t>Tue Nov 23 15:33:11 2021</t>
  </si>
  <si>
    <t>Tue Nov 23 15:33:21 2021</t>
  </si>
  <si>
    <t>Tue Nov 23 15:33:32 2021</t>
  </si>
  <si>
    <t>Tue Nov 23 15:33:41 2021</t>
  </si>
  <si>
    <t>Tue Nov 23 15:33:51 2021</t>
  </si>
  <si>
    <t>Tue Nov 23 15:34:01 2021</t>
  </si>
  <si>
    <t>Tue Nov 23 15:34:10 2021</t>
  </si>
  <si>
    <t>Tue Nov 23 15:34:21 2021</t>
  </si>
  <si>
    <t>Tue Nov 23 15:34:31 2021</t>
  </si>
  <si>
    <t>Tue Nov 23 15:34:41 2021</t>
  </si>
  <si>
    <t>Tue Nov 23 15:34:51 2021</t>
  </si>
  <si>
    <t>Tue Nov 23 15:35:01 2021</t>
  </si>
  <si>
    <t>Tue Nov 23 15:35:11 2021</t>
  </si>
  <si>
    <t>Tue Nov 23 15:35:21 2021</t>
  </si>
  <si>
    <t>Tue Nov 23 15:35:31 2021</t>
  </si>
  <si>
    <t>Tue Nov 23 15:35:41 2021</t>
  </si>
  <si>
    <t>Tue Nov 23 15:35:51 2021</t>
  </si>
  <si>
    <t>Tue Nov 23 15:36:01 2021</t>
  </si>
  <si>
    <t>Tue Nov 23 15:36:12 2021</t>
  </si>
  <si>
    <t>Tue Nov 23 15:36:22 2021</t>
  </si>
  <si>
    <t>Tue Nov 23 15:36:32 2021</t>
  </si>
  <si>
    <t>Tue Nov 23 15:37:02 2021</t>
  </si>
  <si>
    <t>Tue Nov 23 15:37:11 2021</t>
  </si>
  <si>
    <t>Tue Nov 23 15:37:21 2021</t>
  </si>
  <si>
    <t>Tue Nov 23 15:37:32 2021</t>
  </si>
  <si>
    <t>Tue Nov 23 15:37:41 2021</t>
  </si>
  <si>
    <t>Tue Nov 23 15:37:52 2021</t>
  </si>
  <si>
    <t>Tue Nov 23 15:38:01 2021</t>
  </si>
  <si>
    <t>Tue Nov 23 15:38:11 2021</t>
  </si>
  <si>
    <t>Tue Nov 23 15:38:21 2021</t>
  </si>
  <si>
    <t>Tue Nov 23 15:38:32 2021</t>
  </si>
  <si>
    <t>Tue Nov 23 15:38:42 2021</t>
  </si>
  <si>
    <t>Tue Nov 23 15:38:52 2021</t>
  </si>
  <si>
    <t>Tue Nov 23 15:39:01 2021</t>
  </si>
  <si>
    <t>Tue Nov 23 15:39:12 2021</t>
  </si>
  <si>
    <t>Tue Nov 23 15:39:22 2021</t>
  </si>
  <si>
    <t>Tue Nov 23 15:39:32 2021</t>
  </si>
  <si>
    <t>Tue Nov 23 15:39:42 2021</t>
  </si>
  <si>
    <t>Tue Nov 23 15:39:52 2021</t>
  </si>
  <si>
    <t>Tue Nov 23 15:40:02 2021</t>
  </si>
  <si>
    <t>Tue Nov 23 15:40:12 2021</t>
  </si>
  <si>
    <t>Tue Nov 23 15:40:22 2021</t>
  </si>
  <si>
    <t>Tue Nov 23 15:40:32 2021</t>
  </si>
  <si>
    <t>Tue Nov 23 15:40:42 2021</t>
  </si>
  <si>
    <t>Tue Nov 23 15:40:52 2021</t>
  </si>
  <si>
    <t>Tue Nov 23 15:41:02 2021</t>
  </si>
  <si>
    <t>Tue Nov 23 15:41:12 2021</t>
  </si>
  <si>
    <t>Tue Nov 23 15:41:22 2021</t>
  </si>
  <si>
    <t>Tue Nov 23 15:04:58 2021</t>
  </si>
  <si>
    <t>Tue Nov 23 15:06:17 2021</t>
  </si>
  <si>
    <t>Tue Nov 23 15:06:28 2021</t>
  </si>
  <si>
    <t>Tue Nov 23 15:06:37 2021</t>
  </si>
  <si>
    <t>Tue Nov 23 15:06:47 2021</t>
  </si>
  <si>
    <t>Tue Nov 23 15:07:47 2021</t>
  </si>
  <si>
    <t>Tue Nov 23 15:07:58 2021</t>
  </si>
  <si>
    <t>Tue Nov 23 15:08:07 2021</t>
  </si>
  <si>
    <t>Tue Nov 23 15:08:29 2021</t>
  </si>
  <si>
    <t>Tue Nov 23 15:09:07 2021</t>
  </si>
  <si>
    <t>Tue Nov 23 15:09:17 2021</t>
  </si>
  <si>
    <t>Tue Nov 23 15:09:38 2021</t>
  </si>
  <si>
    <t>Tue Nov 23 15:12:09 2021</t>
  </si>
  <si>
    <t>Tue Nov 23 15:12:18 2021</t>
  </si>
  <si>
    <t>Tue Nov 23 15:12:59 2021</t>
  </si>
  <si>
    <t>Tue Nov 23 15:13:08 2021</t>
  </si>
  <si>
    <t>Tue Nov 23 15:13:29 2021</t>
  </si>
  <si>
    <t>Tue Nov 23 15:13:49 2021</t>
  </si>
  <si>
    <t>Tue Nov 23 15:14:19 2021</t>
  </si>
  <si>
    <t>Tue Nov 23 15:14:29 2021</t>
  </si>
  <si>
    <t>Tue Nov 23 15:14:39 2021</t>
  </si>
  <si>
    <t>Tue Nov 23 15:14:48 2021</t>
  </si>
  <si>
    <t>Tue Nov 23 15:15:29 2021</t>
  </si>
  <si>
    <t>Tue Nov 23 15:15:48 2021</t>
  </si>
  <si>
    <t>Tue Nov 23 15:16:19 2021</t>
  </si>
  <si>
    <t>Tue Nov 23 15:16:39 2021</t>
  </si>
  <si>
    <t>Tue Nov 23 15:16:59 2021</t>
  </si>
  <si>
    <t>Tue Nov 23 15:17:09 2021</t>
  </si>
  <si>
    <t>Tue Nov 23 15:19:00 2021</t>
  </si>
  <si>
    <t>Tue Nov 23 15:19:10 2021</t>
  </si>
  <si>
    <t>Tue Nov 23 15:20:10 2021</t>
  </si>
  <si>
    <t>Tue Nov 23 15:21:20 2021</t>
  </si>
  <si>
    <t>Tue Nov 23 15:21:30 2021</t>
  </si>
  <si>
    <t>Tue Nov 23 15:22:30 2021</t>
  </si>
  <si>
    <t>Tue Nov 23 15:22:49 2021</t>
  </si>
  <si>
    <t>Tue Nov 23 15:23:20 2021</t>
  </si>
  <si>
    <t>Tue Nov 23 15:23:30 2021</t>
  </si>
  <si>
    <t>Tue Nov 23 15:23:50 2021</t>
  </si>
  <si>
    <t>Tue Nov 23 15:24:00 2021</t>
  </si>
  <si>
    <t>Tue Nov 23 15:24:10 2021</t>
  </si>
  <si>
    <t>Tue Nov 23 15:24:20 2021</t>
  </si>
  <si>
    <t>Tue Nov 23 15:24:40 2021</t>
  </si>
  <si>
    <t>Tue Nov 23 15:24:50 2021</t>
  </si>
  <si>
    <t>Tue Nov 23 15:25:10 2021</t>
  </si>
  <si>
    <t>Tue Nov 23 15:25:31 2021</t>
  </si>
  <si>
    <t>Tue Nov 23 15:25:40 2021</t>
  </si>
  <si>
    <t>Tue Nov 23 15:26:00 2021</t>
  </si>
  <si>
    <t>Tue Nov 23 15:26:50 2021</t>
  </si>
  <si>
    <t>Tue Nov 23 15:27:01 2021</t>
  </si>
  <si>
    <t>Tue Nov 23 15:27:11 2021</t>
  </si>
  <si>
    <t>Tue Nov 23 15:27:21 2021</t>
  </si>
  <si>
    <t>Tue Nov 23 15:28:01 2021</t>
  </si>
  <si>
    <t>Tue Nov 23 15:28:21 2021</t>
  </si>
  <si>
    <t>Tue Nov 23 15:29:11 2021</t>
  </si>
  <si>
    <t>Tue Nov 23 15:29:21 2021</t>
  </si>
  <si>
    <t>Tue Nov 23 15:29:31 2021</t>
  </si>
  <si>
    <t>Tue Nov 23 15:29:41 2021</t>
  </si>
  <si>
    <t>Tue Nov 23 15:30:31 2021</t>
  </si>
  <si>
    <t>Tue Nov 23 15:30:50 2021</t>
  </si>
  <si>
    <t>Tue Nov 23 15:31:52 2021</t>
  </si>
  <si>
    <t>Tue Nov 23 15:32:01 2021</t>
  </si>
  <si>
    <t>Tue Nov 23 15:32:32 2021</t>
  </si>
  <si>
    <t>Tue Nov 23 15:33:31 2021</t>
  </si>
  <si>
    <t>Tue Nov 23 15:34:11 2021</t>
  </si>
  <si>
    <t>Tue Nov 23 15:34:42 2021</t>
  </si>
  <si>
    <t>Tue Nov 23 15:35:22 2021</t>
  </si>
  <si>
    <t>Tue Nov 23 15:35:52 2021</t>
  </si>
  <si>
    <t>Tue Nov 23 15:36:11 2021</t>
  </si>
  <si>
    <t>Tue Nov 23 15:36:42 2021</t>
  </si>
  <si>
    <t>Tue Nov 23 15:37:12 2021</t>
  </si>
  <si>
    <t>Tue Nov 23 15:38:02 2021</t>
  </si>
  <si>
    <t>Tue Nov 23 15:38:12 2021</t>
  </si>
  <si>
    <t>Tue Nov 23 15:38:22 2021</t>
  </si>
  <si>
    <t>Tue Nov 23 15:39:02 2021</t>
  </si>
  <si>
    <t>Tue Nov 23 15:40:33 2021</t>
  </si>
  <si>
    <t>Tue Nov 23 15:41:23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</si>
</sst>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quotePrefix="1"/>
    <xf numFmtId="0" fontId="0" fillId="0" borderId="0" xfId="0" quotePrefix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ln(f(x)) -&gt;</a:t>
            </a:r>
            <a:r>
              <a:rPr lang="fr-CH" baseline="0"/>
              <a:t> All Values</a:t>
            </a:r>
            <a:endParaRPr lang="fr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9372265966754152E-2"/>
                  <c:y val="-0.4211154855643044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Cu_1stPhase!$G$2:$G$194</c:f>
              <c:numCache>
                <c:formatCode>General</c:formatCode>
                <c:ptCount val="193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  <c:pt idx="6">
                  <c:v>110</c:v>
                </c:pt>
                <c:pt idx="7">
                  <c:v>120</c:v>
                </c:pt>
                <c:pt idx="8">
                  <c:v>130</c:v>
                </c:pt>
                <c:pt idx="9">
                  <c:v>140</c:v>
                </c:pt>
                <c:pt idx="10">
                  <c:v>150</c:v>
                </c:pt>
                <c:pt idx="11">
                  <c:v>160</c:v>
                </c:pt>
                <c:pt idx="12">
                  <c:v>170</c:v>
                </c:pt>
                <c:pt idx="13">
                  <c:v>180</c:v>
                </c:pt>
                <c:pt idx="14">
                  <c:v>190</c:v>
                </c:pt>
                <c:pt idx="15">
                  <c:v>200</c:v>
                </c:pt>
                <c:pt idx="16">
                  <c:v>210</c:v>
                </c:pt>
                <c:pt idx="17">
                  <c:v>220</c:v>
                </c:pt>
                <c:pt idx="18">
                  <c:v>230</c:v>
                </c:pt>
                <c:pt idx="19">
                  <c:v>240</c:v>
                </c:pt>
                <c:pt idx="20">
                  <c:v>250</c:v>
                </c:pt>
                <c:pt idx="21">
                  <c:v>260</c:v>
                </c:pt>
                <c:pt idx="22">
                  <c:v>270</c:v>
                </c:pt>
                <c:pt idx="23">
                  <c:v>280</c:v>
                </c:pt>
                <c:pt idx="24">
                  <c:v>290</c:v>
                </c:pt>
                <c:pt idx="25">
                  <c:v>300</c:v>
                </c:pt>
                <c:pt idx="26">
                  <c:v>310</c:v>
                </c:pt>
                <c:pt idx="27">
                  <c:v>320</c:v>
                </c:pt>
                <c:pt idx="28">
                  <c:v>330</c:v>
                </c:pt>
                <c:pt idx="29">
                  <c:v>340</c:v>
                </c:pt>
                <c:pt idx="30">
                  <c:v>350</c:v>
                </c:pt>
                <c:pt idx="31">
                  <c:v>360</c:v>
                </c:pt>
                <c:pt idx="32">
                  <c:v>370</c:v>
                </c:pt>
                <c:pt idx="33">
                  <c:v>380</c:v>
                </c:pt>
                <c:pt idx="34">
                  <c:v>390</c:v>
                </c:pt>
                <c:pt idx="35">
                  <c:v>400</c:v>
                </c:pt>
                <c:pt idx="36">
                  <c:v>410</c:v>
                </c:pt>
                <c:pt idx="37">
                  <c:v>420</c:v>
                </c:pt>
                <c:pt idx="38">
                  <c:v>430</c:v>
                </c:pt>
                <c:pt idx="39">
                  <c:v>440</c:v>
                </c:pt>
                <c:pt idx="40">
                  <c:v>450</c:v>
                </c:pt>
                <c:pt idx="41">
                  <c:v>460</c:v>
                </c:pt>
                <c:pt idx="42">
                  <c:v>470</c:v>
                </c:pt>
                <c:pt idx="43">
                  <c:v>480</c:v>
                </c:pt>
                <c:pt idx="44">
                  <c:v>490</c:v>
                </c:pt>
                <c:pt idx="45">
                  <c:v>500</c:v>
                </c:pt>
                <c:pt idx="46">
                  <c:v>510</c:v>
                </c:pt>
                <c:pt idx="47">
                  <c:v>520</c:v>
                </c:pt>
                <c:pt idx="48">
                  <c:v>530</c:v>
                </c:pt>
                <c:pt idx="49">
                  <c:v>540</c:v>
                </c:pt>
                <c:pt idx="50">
                  <c:v>550</c:v>
                </c:pt>
                <c:pt idx="51">
                  <c:v>560</c:v>
                </c:pt>
                <c:pt idx="52">
                  <c:v>570</c:v>
                </c:pt>
                <c:pt idx="53">
                  <c:v>580</c:v>
                </c:pt>
                <c:pt idx="54">
                  <c:v>590</c:v>
                </c:pt>
                <c:pt idx="55">
                  <c:v>600</c:v>
                </c:pt>
                <c:pt idx="56">
                  <c:v>610</c:v>
                </c:pt>
                <c:pt idx="57">
                  <c:v>620</c:v>
                </c:pt>
                <c:pt idx="58">
                  <c:v>630</c:v>
                </c:pt>
                <c:pt idx="59">
                  <c:v>640</c:v>
                </c:pt>
                <c:pt idx="60">
                  <c:v>650</c:v>
                </c:pt>
                <c:pt idx="61">
                  <c:v>660</c:v>
                </c:pt>
                <c:pt idx="62">
                  <c:v>670</c:v>
                </c:pt>
                <c:pt idx="63">
                  <c:v>680</c:v>
                </c:pt>
                <c:pt idx="64">
                  <c:v>690</c:v>
                </c:pt>
                <c:pt idx="65">
                  <c:v>700</c:v>
                </c:pt>
                <c:pt idx="66">
                  <c:v>710</c:v>
                </c:pt>
                <c:pt idx="67">
                  <c:v>720</c:v>
                </c:pt>
                <c:pt idx="68">
                  <c:v>730</c:v>
                </c:pt>
                <c:pt idx="69">
                  <c:v>740</c:v>
                </c:pt>
                <c:pt idx="70">
                  <c:v>750</c:v>
                </c:pt>
                <c:pt idx="71">
                  <c:v>760</c:v>
                </c:pt>
                <c:pt idx="72">
                  <c:v>770</c:v>
                </c:pt>
                <c:pt idx="73">
                  <c:v>780</c:v>
                </c:pt>
                <c:pt idx="74">
                  <c:v>790</c:v>
                </c:pt>
                <c:pt idx="75">
                  <c:v>800</c:v>
                </c:pt>
                <c:pt idx="76">
                  <c:v>810</c:v>
                </c:pt>
                <c:pt idx="77">
                  <c:v>820</c:v>
                </c:pt>
                <c:pt idx="78">
                  <c:v>830</c:v>
                </c:pt>
                <c:pt idx="79">
                  <c:v>840</c:v>
                </c:pt>
                <c:pt idx="80">
                  <c:v>850</c:v>
                </c:pt>
                <c:pt idx="81">
                  <c:v>860</c:v>
                </c:pt>
                <c:pt idx="82">
                  <c:v>870</c:v>
                </c:pt>
                <c:pt idx="83">
                  <c:v>880</c:v>
                </c:pt>
                <c:pt idx="84">
                  <c:v>890</c:v>
                </c:pt>
                <c:pt idx="85">
                  <c:v>900</c:v>
                </c:pt>
                <c:pt idx="86">
                  <c:v>910</c:v>
                </c:pt>
                <c:pt idx="87">
                  <c:v>920</c:v>
                </c:pt>
                <c:pt idx="88">
                  <c:v>930</c:v>
                </c:pt>
                <c:pt idx="89">
                  <c:v>940</c:v>
                </c:pt>
                <c:pt idx="90">
                  <c:v>950</c:v>
                </c:pt>
                <c:pt idx="91">
                  <c:v>960</c:v>
                </c:pt>
                <c:pt idx="92">
                  <c:v>970</c:v>
                </c:pt>
                <c:pt idx="93">
                  <c:v>980</c:v>
                </c:pt>
                <c:pt idx="94">
                  <c:v>990</c:v>
                </c:pt>
                <c:pt idx="95">
                  <c:v>1000</c:v>
                </c:pt>
                <c:pt idx="96">
                  <c:v>1010</c:v>
                </c:pt>
                <c:pt idx="97">
                  <c:v>1020</c:v>
                </c:pt>
                <c:pt idx="98">
                  <c:v>1030</c:v>
                </c:pt>
                <c:pt idx="99">
                  <c:v>1040</c:v>
                </c:pt>
                <c:pt idx="100">
                  <c:v>1050</c:v>
                </c:pt>
                <c:pt idx="101">
                  <c:v>1060</c:v>
                </c:pt>
                <c:pt idx="102">
                  <c:v>1070</c:v>
                </c:pt>
                <c:pt idx="103">
                  <c:v>1080</c:v>
                </c:pt>
                <c:pt idx="104">
                  <c:v>1090</c:v>
                </c:pt>
                <c:pt idx="105">
                  <c:v>1100</c:v>
                </c:pt>
                <c:pt idx="106">
                  <c:v>1110</c:v>
                </c:pt>
                <c:pt idx="107">
                  <c:v>1120</c:v>
                </c:pt>
                <c:pt idx="108">
                  <c:v>1130</c:v>
                </c:pt>
                <c:pt idx="109">
                  <c:v>1140</c:v>
                </c:pt>
                <c:pt idx="110">
                  <c:v>1150</c:v>
                </c:pt>
                <c:pt idx="111">
                  <c:v>1160</c:v>
                </c:pt>
                <c:pt idx="112">
                  <c:v>1170</c:v>
                </c:pt>
                <c:pt idx="113">
                  <c:v>1180</c:v>
                </c:pt>
                <c:pt idx="114">
                  <c:v>1190</c:v>
                </c:pt>
                <c:pt idx="115">
                  <c:v>1200</c:v>
                </c:pt>
                <c:pt idx="116">
                  <c:v>1210</c:v>
                </c:pt>
                <c:pt idx="117">
                  <c:v>1220</c:v>
                </c:pt>
              </c:numCache>
            </c:numRef>
          </c:xVal>
          <c:yVal>
            <c:numRef>
              <c:f>Cu_1stPhase!$I$2:$I$194</c:f>
              <c:numCache>
                <c:formatCode>General</c:formatCode>
                <c:ptCount val="193"/>
                <c:pt idx="0">
                  <c:v>7.5510965452981651</c:v>
                </c:pt>
                <c:pt idx="1">
                  <c:v>7.5509779852611123</c:v>
                </c:pt>
                <c:pt idx="2">
                  <c:v>7.5511365754377362</c:v>
                </c:pt>
                <c:pt idx="3">
                  <c:v>7.5504355609638552</c:v>
                </c:pt>
                <c:pt idx="4">
                  <c:v>7.5505814644236269</c:v>
                </c:pt>
                <c:pt idx="5">
                  <c:v>7.5507553906186402</c:v>
                </c:pt>
                <c:pt idx="6">
                  <c:v>7.5503913297103837</c:v>
                </c:pt>
                <c:pt idx="7">
                  <c:v>7.5498257843224845</c:v>
                </c:pt>
                <c:pt idx="8">
                  <c:v>7.5499724833570063</c:v>
                </c:pt>
                <c:pt idx="9">
                  <c:v>7.5492356885787322</c:v>
                </c:pt>
                <c:pt idx="10">
                  <c:v>7.5488846401180654</c:v>
                </c:pt>
                <c:pt idx="11">
                  <c:v>7.5481275481018573</c:v>
                </c:pt>
                <c:pt idx="12">
                  <c:v>7.547542887134834</c:v>
                </c:pt>
                <c:pt idx="13">
                  <c:v>7.5469701238410059</c:v>
                </c:pt>
                <c:pt idx="14">
                  <c:v>7.5459415592818919</c:v>
                </c:pt>
                <c:pt idx="15">
                  <c:v>7.5447176210355957</c:v>
                </c:pt>
                <c:pt idx="16">
                  <c:v>7.5423265951818612</c:v>
                </c:pt>
                <c:pt idx="17">
                  <c:v>7.5399750536724319</c:v>
                </c:pt>
                <c:pt idx="18">
                  <c:v>7.5384303565577957</c:v>
                </c:pt>
                <c:pt idx="19">
                  <c:v>7.5365011684547039</c:v>
                </c:pt>
                <c:pt idx="20">
                  <c:v>7.5349205142355542</c:v>
                </c:pt>
                <c:pt idx="21">
                  <c:v>7.5339616413314658</c:v>
                </c:pt>
                <c:pt idx="22">
                  <c:v>7.5331528641527221</c:v>
                </c:pt>
                <c:pt idx="23">
                  <c:v>7.5324684049236108</c:v>
                </c:pt>
                <c:pt idx="24">
                  <c:v>7.5323309469495738</c:v>
                </c:pt>
                <c:pt idx="25">
                  <c:v>7.5317580349643984</c:v>
                </c:pt>
                <c:pt idx="26">
                  <c:v>7.5314092361142588</c:v>
                </c:pt>
                <c:pt idx="27">
                  <c:v>7.5314883348761823</c:v>
                </c:pt>
                <c:pt idx="28">
                  <c:v>7.5313775033088604</c:v>
                </c:pt>
                <c:pt idx="29">
                  <c:v>7.5310203245632437</c:v>
                </c:pt>
                <c:pt idx="30">
                  <c:v>7.5305907299940467</c:v>
                </c:pt>
                <c:pt idx="31">
                  <c:v>7.5306180350738243</c:v>
                </c:pt>
                <c:pt idx="32">
                  <c:v>7.5308644690727826</c:v>
                </c:pt>
                <c:pt idx="33">
                  <c:v>7.5302910433823822</c:v>
                </c:pt>
                <c:pt idx="34">
                  <c:v>7.5299467125176358</c:v>
                </c:pt>
                <c:pt idx="35">
                  <c:v>7.5304523585975538</c:v>
                </c:pt>
                <c:pt idx="36">
                  <c:v>7.5299158500940786</c:v>
                </c:pt>
                <c:pt idx="37">
                  <c:v>7.5297374744735315</c:v>
                </c:pt>
                <c:pt idx="38">
                  <c:v>7.5291759269703586</c:v>
                </c:pt>
                <c:pt idx="39">
                  <c:v>7.5288697155352136</c:v>
                </c:pt>
                <c:pt idx="40">
                  <c:v>7.5285600648387936</c:v>
                </c:pt>
                <c:pt idx="41">
                  <c:v>7.5287812259003832</c:v>
                </c:pt>
                <c:pt idx="42">
                  <c:v>7.5292190079385506</c:v>
                </c:pt>
                <c:pt idx="43">
                  <c:v>7.5292330400083136</c:v>
                </c:pt>
                <c:pt idx="44">
                  <c:v>7.5281949858477955</c:v>
                </c:pt>
                <c:pt idx="45">
                  <c:v>7.5274809817740822</c:v>
                </c:pt>
                <c:pt idx="46">
                  <c:v>7.5270716144466485</c:v>
                </c:pt>
                <c:pt idx="47">
                  <c:v>7.5268977255206595</c:v>
                </c:pt>
                <c:pt idx="48">
                  <c:v>7.5267166410507205</c:v>
                </c:pt>
                <c:pt idx="49">
                  <c:v>7.526585095929037</c:v>
                </c:pt>
                <c:pt idx="50">
                  <c:v>7.5253414339866325</c:v>
                </c:pt>
                <c:pt idx="51">
                  <c:v>7.5243237113027117</c:v>
                </c:pt>
                <c:pt idx="52">
                  <c:v>7.5233585092474158</c:v>
                </c:pt>
                <c:pt idx="53">
                  <c:v>7.5227548921219674</c:v>
                </c:pt>
                <c:pt idx="54">
                  <c:v>7.5224319204469463</c:v>
                </c:pt>
                <c:pt idx="55">
                  <c:v>7.5220546248900346</c:v>
                </c:pt>
                <c:pt idx="56">
                  <c:v>7.5221821448713753</c:v>
                </c:pt>
                <c:pt idx="57">
                  <c:v>7.5217811057500068</c:v>
                </c:pt>
                <c:pt idx="58">
                  <c:v>7.5220791922987473</c:v>
                </c:pt>
                <c:pt idx="59">
                  <c:v>7.5216423688356473</c:v>
                </c:pt>
                <c:pt idx="60">
                  <c:v>7.5216427655666251</c:v>
                </c:pt>
                <c:pt idx="61">
                  <c:v>7.5216071533278113</c:v>
                </c:pt>
                <c:pt idx="62">
                  <c:v>7.5213580308319621</c:v>
                </c:pt>
                <c:pt idx="63">
                  <c:v>7.5212625282016008</c:v>
                </c:pt>
                <c:pt idx="64">
                  <c:v>7.5209898500304133</c:v>
                </c:pt>
                <c:pt idx="65">
                  <c:v>7.5209126273456137</c:v>
                </c:pt>
                <c:pt idx="66">
                  <c:v>7.5200952080126937</c:v>
                </c:pt>
                <c:pt idx="67">
                  <c:v>7.5191778422512021</c:v>
                </c:pt>
                <c:pt idx="68">
                  <c:v>7.5187561818323339</c:v>
                </c:pt>
                <c:pt idx="69">
                  <c:v>7.5186208681878695</c:v>
                </c:pt>
                <c:pt idx="70">
                  <c:v>7.5189011497256626</c:v>
                </c:pt>
                <c:pt idx="71">
                  <c:v>7.5184608146766152</c:v>
                </c:pt>
                <c:pt idx="72">
                  <c:v>7.5183358683857904</c:v>
                </c:pt>
                <c:pt idx="73">
                  <c:v>7.5183565502218537</c:v>
                </c:pt>
                <c:pt idx="74">
                  <c:v>7.5182046748940712</c:v>
                </c:pt>
                <c:pt idx="75">
                  <c:v>7.5182305302425929</c:v>
                </c:pt>
                <c:pt idx="76">
                  <c:v>7.5171497279411872</c:v>
                </c:pt>
                <c:pt idx="77">
                  <c:v>7.5177067914671314</c:v>
                </c:pt>
                <c:pt idx="78">
                  <c:v>7.5177109705725629</c:v>
                </c:pt>
                <c:pt idx="79">
                  <c:v>7.5174400419033134</c:v>
                </c:pt>
                <c:pt idx="80">
                  <c:v>7.5175476524177727</c:v>
                </c:pt>
                <c:pt idx="81">
                  <c:v>7.5173506013288369</c:v>
                </c:pt>
                <c:pt idx="82">
                  <c:v>7.5172092574977238</c:v>
                </c:pt>
                <c:pt idx="83">
                  <c:v>7.5173786682129853</c:v>
                </c:pt>
                <c:pt idx="84">
                  <c:v>7.5173407142707607</c:v>
                </c:pt>
                <c:pt idx="85">
                  <c:v>7.5172217335893885</c:v>
                </c:pt>
                <c:pt idx="86">
                  <c:v>7.517341112712014</c:v>
                </c:pt>
                <c:pt idx="87">
                  <c:v>7.5174380515231078</c:v>
                </c:pt>
                <c:pt idx="88">
                  <c:v>7.5170783804449384</c:v>
                </c:pt>
                <c:pt idx="89">
                  <c:v>7.5176292485321117</c:v>
                </c:pt>
                <c:pt idx="90">
                  <c:v>7.516891393297211</c:v>
                </c:pt>
                <c:pt idx="91">
                  <c:v>7.5172711721533521</c:v>
                </c:pt>
                <c:pt idx="92">
                  <c:v>7.5173345435750418</c:v>
                </c:pt>
                <c:pt idx="93">
                  <c:v>7.5169115073824582</c:v>
                </c:pt>
                <c:pt idx="94">
                  <c:v>7.5171558997774488</c:v>
                </c:pt>
                <c:pt idx="95">
                  <c:v>7.5170268084756184</c:v>
                </c:pt>
                <c:pt idx="96">
                  <c:v>7.5164987855376486</c:v>
                </c:pt>
                <c:pt idx="97">
                  <c:v>7.5170310562168199</c:v>
                </c:pt>
                <c:pt idx="98">
                  <c:v>7.5172505347231597</c:v>
                </c:pt>
                <c:pt idx="99">
                  <c:v>7.5169180129546627</c:v>
                </c:pt>
                <c:pt idx="100">
                  <c:v>7.5173137742729033</c:v>
                </c:pt>
                <c:pt idx="101">
                  <c:v>7.5171719604000957</c:v>
                </c:pt>
                <c:pt idx="102">
                  <c:v>7.5172166902205166</c:v>
                </c:pt>
                <c:pt idx="103">
                  <c:v>7.517434070750812</c:v>
                </c:pt>
                <c:pt idx="104">
                  <c:v>7.5172530560536197</c:v>
                </c:pt>
                <c:pt idx="105">
                  <c:v>7.517284178576678</c:v>
                </c:pt>
                <c:pt idx="106">
                  <c:v>7.5171136231319613</c:v>
                </c:pt>
                <c:pt idx="107">
                  <c:v>7.5170241533563313</c:v>
                </c:pt>
                <c:pt idx="108">
                  <c:v>7.5176181040259378</c:v>
                </c:pt>
                <c:pt idx="109">
                  <c:v>7.5174973650011596</c:v>
                </c:pt>
                <c:pt idx="110">
                  <c:v>7.5171056589881378</c:v>
                </c:pt>
                <c:pt idx="111">
                  <c:v>7.5174750729248148</c:v>
                </c:pt>
                <c:pt idx="112">
                  <c:v>7.5170375610113407</c:v>
                </c:pt>
                <c:pt idx="113">
                  <c:v>7.5173932658340057</c:v>
                </c:pt>
                <c:pt idx="114">
                  <c:v>7.5176665943297243</c:v>
                </c:pt>
                <c:pt idx="115">
                  <c:v>7.517814505851673</c:v>
                </c:pt>
                <c:pt idx="116">
                  <c:v>7.5185062817540533</c:v>
                </c:pt>
                <c:pt idx="117">
                  <c:v>7.5635481093294619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FA-4A37-82E0-B1E8F2032B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709055"/>
        <c:axId val="1502709471"/>
      </c:scatterChart>
      <c:valAx>
        <c:axId val="1502709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471"/>
        <c:crosses val="autoZero"/>
        <c:crossBetween val="midCat"/>
      </c:valAx>
      <c:valAx>
        <c:axId val="150270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f(x) -&gt; All Values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3.6471128608923882E-2"/>
                  <c:y val="-0.4293598716827063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Cu_1stPhase!$G$2:$G$197</c:f>
              <c:numCache>
                <c:formatCode>General</c:formatCode>
                <c:ptCount val="196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  <c:pt idx="6">
                  <c:v>110</c:v>
                </c:pt>
                <c:pt idx="7">
                  <c:v>120</c:v>
                </c:pt>
                <c:pt idx="8">
                  <c:v>130</c:v>
                </c:pt>
                <c:pt idx="9">
                  <c:v>140</c:v>
                </c:pt>
                <c:pt idx="10">
                  <c:v>150</c:v>
                </c:pt>
                <c:pt idx="11">
                  <c:v>160</c:v>
                </c:pt>
                <c:pt idx="12">
                  <c:v>170</c:v>
                </c:pt>
                <c:pt idx="13">
                  <c:v>180</c:v>
                </c:pt>
                <c:pt idx="14">
                  <c:v>190</c:v>
                </c:pt>
                <c:pt idx="15">
                  <c:v>200</c:v>
                </c:pt>
                <c:pt idx="16">
                  <c:v>210</c:v>
                </c:pt>
                <c:pt idx="17">
                  <c:v>220</c:v>
                </c:pt>
                <c:pt idx="18">
                  <c:v>230</c:v>
                </c:pt>
                <c:pt idx="19">
                  <c:v>240</c:v>
                </c:pt>
                <c:pt idx="20">
                  <c:v>250</c:v>
                </c:pt>
                <c:pt idx="21">
                  <c:v>260</c:v>
                </c:pt>
                <c:pt idx="22">
                  <c:v>270</c:v>
                </c:pt>
                <c:pt idx="23">
                  <c:v>280</c:v>
                </c:pt>
                <c:pt idx="24">
                  <c:v>290</c:v>
                </c:pt>
                <c:pt idx="25">
                  <c:v>300</c:v>
                </c:pt>
                <c:pt idx="26">
                  <c:v>310</c:v>
                </c:pt>
                <c:pt idx="27">
                  <c:v>320</c:v>
                </c:pt>
                <c:pt idx="28">
                  <c:v>330</c:v>
                </c:pt>
                <c:pt idx="29">
                  <c:v>340</c:v>
                </c:pt>
                <c:pt idx="30">
                  <c:v>350</c:v>
                </c:pt>
                <c:pt idx="31">
                  <c:v>360</c:v>
                </c:pt>
                <c:pt idx="32">
                  <c:v>370</c:v>
                </c:pt>
                <c:pt idx="33">
                  <c:v>380</c:v>
                </c:pt>
                <c:pt idx="34">
                  <c:v>390</c:v>
                </c:pt>
                <c:pt idx="35">
                  <c:v>400</c:v>
                </c:pt>
                <c:pt idx="36">
                  <c:v>410</c:v>
                </c:pt>
                <c:pt idx="37">
                  <c:v>420</c:v>
                </c:pt>
                <c:pt idx="38">
                  <c:v>430</c:v>
                </c:pt>
                <c:pt idx="39">
                  <c:v>440</c:v>
                </c:pt>
                <c:pt idx="40">
                  <c:v>450</c:v>
                </c:pt>
                <c:pt idx="41">
                  <c:v>460</c:v>
                </c:pt>
                <c:pt idx="42">
                  <c:v>470</c:v>
                </c:pt>
                <c:pt idx="43">
                  <c:v>480</c:v>
                </c:pt>
                <c:pt idx="44">
                  <c:v>490</c:v>
                </c:pt>
                <c:pt idx="45">
                  <c:v>500</c:v>
                </c:pt>
                <c:pt idx="46">
                  <c:v>510</c:v>
                </c:pt>
                <c:pt idx="47">
                  <c:v>520</c:v>
                </c:pt>
                <c:pt idx="48">
                  <c:v>530</c:v>
                </c:pt>
                <c:pt idx="49">
                  <c:v>540</c:v>
                </c:pt>
                <c:pt idx="50">
                  <c:v>550</c:v>
                </c:pt>
                <c:pt idx="51">
                  <c:v>560</c:v>
                </c:pt>
                <c:pt idx="52">
                  <c:v>570</c:v>
                </c:pt>
                <c:pt idx="53">
                  <c:v>580</c:v>
                </c:pt>
                <c:pt idx="54">
                  <c:v>590</c:v>
                </c:pt>
                <c:pt idx="55">
                  <c:v>600</c:v>
                </c:pt>
                <c:pt idx="56">
                  <c:v>610</c:v>
                </c:pt>
                <c:pt idx="57">
                  <c:v>620</c:v>
                </c:pt>
                <c:pt idx="58">
                  <c:v>630</c:v>
                </c:pt>
                <c:pt idx="59">
                  <c:v>640</c:v>
                </c:pt>
                <c:pt idx="60">
                  <c:v>650</c:v>
                </c:pt>
                <c:pt idx="61">
                  <c:v>660</c:v>
                </c:pt>
                <c:pt idx="62">
                  <c:v>670</c:v>
                </c:pt>
                <c:pt idx="63">
                  <c:v>680</c:v>
                </c:pt>
                <c:pt idx="64">
                  <c:v>690</c:v>
                </c:pt>
                <c:pt idx="65">
                  <c:v>700</c:v>
                </c:pt>
                <c:pt idx="66">
                  <c:v>710</c:v>
                </c:pt>
                <c:pt idx="67">
                  <c:v>720</c:v>
                </c:pt>
                <c:pt idx="68">
                  <c:v>730</c:v>
                </c:pt>
                <c:pt idx="69">
                  <c:v>740</c:v>
                </c:pt>
                <c:pt idx="70">
                  <c:v>750</c:v>
                </c:pt>
                <c:pt idx="71">
                  <c:v>760</c:v>
                </c:pt>
                <c:pt idx="72">
                  <c:v>770</c:v>
                </c:pt>
                <c:pt idx="73">
                  <c:v>780</c:v>
                </c:pt>
                <c:pt idx="74">
                  <c:v>790</c:v>
                </c:pt>
                <c:pt idx="75">
                  <c:v>800</c:v>
                </c:pt>
                <c:pt idx="76">
                  <c:v>810</c:v>
                </c:pt>
                <c:pt idx="77">
                  <c:v>820</c:v>
                </c:pt>
                <c:pt idx="78">
                  <c:v>830</c:v>
                </c:pt>
                <c:pt idx="79">
                  <c:v>840</c:v>
                </c:pt>
                <c:pt idx="80">
                  <c:v>850</c:v>
                </c:pt>
                <c:pt idx="81">
                  <c:v>860</c:v>
                </c:pt>
                <c:pt idx="82">
                  <c:v>870</c:v>
                </c:pt>
                <c:pt idx="83">
                  <c:v>880</c:v>
                </c:pt>
                <c:pt idx="84">
                  <c:v>890</c:v>
                </c:pt>
                <c:pt idx="85">
                  <c:v>900</c:v>
                </c:pt>
                <c:pt idx="86">
                  <c:v>910</c:v>
                </c:pt>
                <c:pt idx="87">
                  <c:v>920</c:v>
                </c:pt>
                <c:pt idx="88">
                  <c:v>930</c:v>
                </c:pt>
                <c:pt idx="89">
                  <c:v>940</c:v>
                </c:pt>
                <c:pt idx="90">
                  <c:v>950</c:v>
                </c:pt>
                <c:pt idx="91">
                  <c:v>960</c:v>
                </c:pt>
                <c:pt idx="92">
                  <c:v>970</c:v>
                </c:pt>
                <c:pt idx="93">
                  <c:v>980</c:v>
                </c:pt>
                <c:pt idx="94">
                  <c:v>990</c:v>
                </c:pt>
                <c:pt idx="95">
                  <c:v>1000</c:v>
                </c:pt>
                <c:pt idx="96">
                  <c:v>1010</c:v>
                </c:pt>
                <c:pt idx="97">
                  <c:v>1020</c:v>
                </c:pt>
                <c:pt idx="98">
                  <c:v>1030</c:v>
                </c:pt>
                <c:pt idx="99">
                  <c:v>1040</c:v>
                </c:pt>
                <c:pt idx="100">
                  <c:v>1050</c:v>
                </c:pt>
                <c:pt idx="101">
                  <c:v>1060</c:v>
                </c:pt>
                <c:pt idx="102">
                  <c:v>1070</c:v>
                </c:pt>
                <c:pt idx="103">
                  <c:v>1080</c:v>
                </c:pt>
                <c:pt idx="104">
                  <c:v>1090</c:v>
                </c:pt>
                <c:pt idx="105">
                  <c:v>1100</c:v>
                </c:pt>
                <c:pt idx="106">
                  <c:v>1110</c:v>
                </c:pt>
                <c:pt idx="107">
                  <c:v>1120</c:v>
                </c:pt>
                <c:pt idx="108">
                  <c:v>1130</c:v>
                </c:pt>
                <c:pt idx="109">
                  <c:v>1140</c:v>
                </c:pt>
                <c:pt idx="110">
                  <c:v>1150</c:v>
                </c:pt>
                <c:pt idx="111">
                  <c:v>1160</c:v>
                </c:pt>
                <c:pt idx="112">
                  <c:v>1170</c:v>
                </c:pt>
                <c:pt idx="113">
                  <c:v>1180</c:v>
                </c:pt>
                <c:pt idx="114">
                  <c:v>1190</c:v>
                </c:pt>
                <c:pt idx="115">
                  <c:v>1200</c:v>
                </c:pt>
                <c:pt idx="116">
                  <c:v>1210</c:v>
                </c:pt>
                <c:pt idx="117">
                  <c:v>1220</c:v>
                </c:pt>
              </c:numCache>
            </c:numRef>
          </c:xVal>
          <c:yVal>
            <c:numRef>
              <c:f>Cu_1stPhase!$B$2:$B$197</c:f>
              <c:numCache>
                <c:formatCode>General</c:formatCode>
                <c:ptCount val="196"/>
                <c:pt idx="0">
                  <c:v>1902.828125</c:v>
                </c:pt>
                <c:pt idx="1">
                  <c:v>1902.602539</c:v>
                </c:pt>
                <c:pt idx="2">
                  <c:v>1902.904297</c:v>
                </c:pt>
                <c:pt idx="3">
                  <c:v>1901.5708010000001</c:v>
                </c:pt>
                <c:pt idx="4">
                  <c:v>1901.8482670000001</c:v>
                </c:pt>
                <c:pt idx="5">
                  <c:v>1902.179077</c:v>
                </c:pt>
                <c:pt idx="6">
                  <c:v>1901.4866939999999</c:v>
                </c:pt>
                <c:pt idx="7">
                  <c:v>1900.411621</c:v>
                </c:pt>
                <c:pt idx="8">
                  <c:v>1900.6904300000001</c:v>
                </c:pt>
                <c:pt idx="9">
                  <c:v>1899.2905270000001</c:v>
                </c:pt>
                <c:pt idx="10">
                  <c:v>1898.6239009999999</c:v>
                </c:pt>
                <c:pt idx="11">
                  <c:v>1897.1870120000001</c:v>
                </c:pt>
                <c:pt idx="12">
                  <c:v>1896.078125</c:v>
                </c:pt>
                <c:pt idx="13">
                  <c:v>1894.992432</c:v>
                </c:pt>
                <c:pt idx="14">
                  <c:v>1893.044312</c:v>
                </c:pt>
                <c:pt idx="15">
                  <c:v>1890.72876</c:v>
                </c:pt>
                <c:pt idx="16">
                  <c:v>1886.213379</c:v>
                </c:pt>
                <c:pt idx="17">
                  <c:v>1881.783081</c:v>
                </c:pt>
                <c:pt idx="18">
                  <c:v>1878.8785399999999</c:v>
                </c:pt>
                <c:pt idx="19">
                  <c:v>1875.2573239999999</c:v>
                </c:pt>
                <c:pt idx="20">
                  <c:v>1872.2955320000001</c:v>
                </c:pt>
                <c:pt idx="21">
                  <c:v>1870.5010990000001</c:v>
                </c:pt>
                <c:pt idx="22">
                  <c:v>1868.9888920000001</c:v>
                </c:pt>
                <c:pt idx="23">
                  <c:v>1867.7100829999999</c:v>
                </c:pt>
                <c:pt idx="24">
                  <c:v>1867.4533690000001</c:v>
                </c:pt>
                <c:pt idx="25">
                  <c:v>1866.383789</c:v>
                </c:pt>
                <c:pt idx="26">
                  <c:v>1865.7329099999999</c:v>
                </c:pt>
                <c:pt idx="27">
                  <c:v>1865.8804929999999</c:v>
                </c:pt>
                <c:pt idx="28">
                  <c:v>1865.673706</c:v>
                </c:pt>
                <c:pt idx="29">
                  <c:v>1865.0074460000001</c:v>
                </c:pt>
                <c:pt idx="30">
                  <c:v>1864.2064210000001</c:v>
                </c:pt>
                <c:pt idx="31">
                  <c:v>1864.2573239999999</c:v>
                </c:pt>
                <c:pt idx="32">
                  <c:v>1864.716797</c:v>
                </c:pt>
                <c:pt idx="33">
                  <c:v>1863.647827</c:v>
                </c:pt>
                <c:pt idx="34">
                  <c:v>1863.006226</c:v>
                </c:pt>
                <c:pt idx="35">
                  <c:v>1863.948486</c:v>
                </c:pt>
                <c:pt idx="36">
                  <c:v>1862.9487300000001</c:v>
                </c:pt>
                <c:pt idx="37">
                  <c:v>1862.6164550000001</c:v>
                </c:pt>
                <c:pt idx="38">
                  <c:v>1861.5708010000001</c:v>
                </c:pt>
                <c:pt idx="39">
                  <c:v>1861.0008539999999</c:v>
                </c:pt>
                <c:pt idx="40">
                  <c:v>1860.424683</c:v>
                </c:pt>
                <c:pt idx="41">
                  <c:v>1860.836182</c:v>
                </c:pt>
                <c:pt idx="42">
                  <c:v>1861.651001</c:v>
                </c:pt>
                <c:pt idx="43">
                  <c:v>1861.677124</c:v>
                </c:pt>
                <c:pt idx="44">
                  <c:v>1859.7456050000001</c:v>
                </c:pt>
                <c:pt idx="45">
                  <c:v>1858.4182129999999</c:v>
                </c:pt>
                <c:pt idx="46">
                  <c:v>1857.6575929999999</c:v>
                </c:pt>
                <c:pt idx="47">
                  <c:v>1857.334595</c:v>
                </c:pt>
                <c:pt idx="48">
                  <c:v>1856.9982910000001</c:v>
                </c:pt>
                <c:pt idx="49">
                  <c:v>1856.7540280000001</c:v>
                </c:pt>
                <c:pt idx="50">
                  <c:v>1854.446289</c:v>
                </c:pt>
                <c:pt idx="51">
                  <c:v>1852.559937</c:v>
                </c:pt>
                <c:pt idx="52">
                  <c:v>1850.7727050000001</c:v>
                </c:pt>
                <c:pt idx="53">
                  <c:v>1849.655884</c:v>
                </c:pt>
                <c:pt idx="54">
                  <c:v>1849.0585940000001</c:v>
                </c:pt>
                <c:pt idx="55">
                  <c:v>1848.3610839999999</c:v>
                </c:pt>
                <c:pt idx="56">
                  <c:v>1848.596802</c:v>
                </c:pt>
                <c:pt idx="57">
                  <c:v>1847.855591</c:v>
                </c:pt>
                <c:pt idx="58">
                  <c:v>1848.4064940000001</c:v>
                </c:pt>
                <c:pt idx="59">
                  <c:v>1847.5992429999999</c:v>
                </c:pt>
                <c:pt idx="60">
                  <c:v>1847.599976</c:v>
                </c:pt>
                <c:pt idx="61">
                  <c:v>1847.5341800000001</c:v>
                </c:pt>
                <c:pt idx="62">
                  <c:v>1847.073975</c:v>
                </c:pt>
                <c:pt idx="63">
                  <c:v>1846.8975829999999</c:v>
                </c:pt>
                <c:pt idx="64">
                  <c:v>1846.394043</c:v>
                </c:pt>
                <c:pt idx="65">
                  <c:v>1846.2514650000001</c:v>
                </c:pt>
                <c:pt idx="66">
                  <c:v>1844.7429199999999</c:v>
                </c:pt>
                <c:pt idx="67">
                  <c:v>1843.0513920000001</c:v>
                </c:pt>
                <c:pt idx="68">
                  <c:v>1842.274414</c:v>
                </c:pt>
                <c:pt idx="69">
                  <c:v>1842.0251459999999</c:v>
                </c:pt>
                <c:pt idx="70">
                  <c:v>1842.541504</c:v>
                </c:pt>
                <c:pt idx="71">
                  <c:v>1841.7303469999999</c:v>
                </c:pt>
                <c:pt idx="72">
                  <c:v>1841.5002440000001</c:v>
                </c:pt>
                <c:pt idx="73">
                  <c:v>1841.5383300000001</c:v>
                </c:pt>
                <c:pt idx="74">
                  <c:v>1841.2586670000001</c:v>
                </c:pt>
                <c:pt idx="75">
                  <c:v>1841.306274</c:v>
                </c:pt>
                <c:pt idx="76">
                  <c:v>1839.3172609999999</c:v>
                </c:pt>
                <c:pt idx="77">
                  <c:v>1840.342163</c:v>
                </c:pt>
                <c:pt idx="78">
                  <c:v>1840.3498540000001</c:v>
                </c:pt>
                <c:pt idx="79">
                  <c:v>1839.851318</c:v>
                </c:pt>
                <c:pt idx="80">
                  <c:v>1840.0493160000001</c:v>
                </c:pt>
                <c:pt idx="81">
                  <c:v>1839.686768</c:v>
                </c:pt>
                <c:pt idx="82">
                  <c:v>1839.4267580000001</c:v>
                </c:pt>
                <c:pt idx="83">
                  <c:v>1839.7384030000001</c:v>
                </c:pt>
                <c:pt idx="84">
                  <c:v>1839.6685789999999</c:v>
                </c:pt>
                <c:pt idx="85">
                  <c:v>1839.449707</c:v>
                </c:pt>
                <c:pt idx="86">
                  <c:v>1839.669312</c:v>
                </c:pt>
                <c:pt idx="87">
                  <c:v>1839.8476559999999</c:v>
                </c:pt>
                <c:pt idx="88">
                  <c:v>1839.1860349999999</c:v>
                </c:pt>
                <c:pt idx="89">
                  <c:v>1840.1994629999999</c:v>
                </c:pt>
                <c:pt idx="90">
                  <c:v>1838.842163</c:v>
                </c:pt>
                <c:pt idx="91">
                  <c:v>1839.540649</c:v>
                </c:pt>
                <c:pt idx="92">
                  <c:v>1839.6572269999999</c:v>
                </c:pt>
                <c:pt idx="93">
                  <c:v>1838.87915</c:v>
                </c:pt>
                <c:pt idx="94">
                  <c:v>1839.3286129999999</c:v>
                </c:pt>
                <c:pt idx="95">
                  <c:v>1839.091187</c:v>
                </c:pt>
                <c:pt idx="96">
                  <c:v>1838.120361</c:v>
                </c:pt>
                <c:pt idx="97">
                  <c:v>1839.098999</c:v>
                </c:pt>
                <c:pt idx="98">
                  <c:v>1839.502686</c:v>
                </c:pt>
                <c:pt idx="99">
                  <c:v>1838.8911129999999</c:v>
                </c:pt>
                <c:pt idx="100">
                  <c:v>1839.619019</c:v>
                </c:pt>
                <c:pt idx="101">
                  <c:v>1839.358154</c:v>
                </c:pt>
                <c:pt idx="102">
                  <c:v>1839.4404300000001</c:v>
                </c:pt>
                <c:pt idx="103">
                  <c:v>1839.840332</c:v>
                </c:pt>
                <c:pt idx="104">
                  <c:v>1839.5073239999999</c:v>
                </c:pt>
                <c:pt idx="105">
                  <c:v>1839.5645750000001</c:v>
                </c:pt>
                <c:pt idx="106">
                  <c:v>1839.2508539999999</c:v>
                </c:pt>
                <c:pt idx="107">
                  <c:v>1839.0863039999999</c:v>
                </c:pt>
                <c:pt idx="108">
                  <c:v>1840.1789550000001</c:v>
                </c:pt>
                <c:pt idx="109">
                  <c:v>1839.9567870000001</c:v>
                </c:pt>
                <c:pt idx="110">
                  <c:v>1839.236206</c:v>
                </c:pt>
                <c:pt idx="111">
                  <c:v>1839.9157709999999</c:v>
                </c:pt>
                <c:pt idx="112">
                  <c:v>1839.110962</c:v>
                </c:pt>
                <c:pt idx="113">
                  <c:v>1839.765259</c:v>
                </c:pt>
                <c:pt idx="114">
                  <c:v>1840.268188</c:v>
                </c:pt>
                <c:pt idx="115">
                  <c:v>1840.540405</c:v>
                </c:pt>
                <c:pt idx="116">
                  <c:v>1841.814087</c:v>
                </c:pt>
                <c:pt idx="117">
                  <c:v>1926.6694339999999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92-41C8-9A4A-DC98FCF676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1622239"/>
        <c:axId val="1481622655"/>
      </c:scatterChart>
      <c:valAx>
        <c:axId val="1481622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655"/>
        <c:crosses val="autoZero"/>
        <c:crossBetween val="midCat"/>
      </c:valAx>
      <c:valAx>
        <c:axId val="148162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ln(f(x)) -&gt; 0 - 1000 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4779009716389706E-2"/>
                  <c:y val="-0.4357050160396617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Cu_1stPhase!$G$2:$G$102</c:f>
              <c:numCache>
                <c:formatCode>General</c:formatCode>
                <c:ptCount val="101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  <c:pt idx="6">
                  <c:v>110</c:v>
                </c:pt>
                <c:pt idx="7">
                  <c:v>120</c:v>
                </c:pt>
                <c:pt idx="8">
                  <c:v>130</c:v>
                </c:pt>
                <c:pt idx="9">
                  <c:v>140</c:v>
                </c:pt>
                <c:pt idx="10">
                  <c:v>150</c:v>
                </c:pt>
                <c:pt idx="11">
                  <c:v>160</c:v>
                </c:pt>
                <c:pt idx="12">
                  <c:v>170</c:v>
                </c:pt>
                <c:pt idx="13">
                  <c:v>180</c:v>
                </c:pt>
                <c:pt idx="14">
                  <c:v>190</c:v>
                </c:pt>
                <c:pt idx="15">
                  <c:v>200</c:v>
                </c:pt>
                <c:pt idx="16">
                  <c:v>210</c:v>
                </c:pt>
                <c:pt idx="17">
                  <c:v>220</c:v>
                </c:pt>
                <c:pt idx="18">
                  <c:v>230</c:v>
                </c:pt>
                <c:pt idx="19">
                  <c:v>240</c:v>
                </c:pt>
                <c:pt idx="20">
                  <c:v>250</c:v>
                </c:pt>
                <c:pt idx="21">
                  <c:v>260</c:v>
                </c:pt>
                <c:pt idx="22">
                  <c:v>270</c:v>
                </c:pt>
                <c:pt idx="23">
                  <c:v>280</c:v>
                </c:pt>
                <c:pt idx="24">
                  <c:v>290</c:v>
                </c:pt>
                <c:pt idx="25">
                  <c:v>300</c:v>
                </c:pt>
                <c:pt idx="26">
                  <c:v>310</c:v>
                </c:pt>
                <c:pt idx="27">
                  <c:v>320</c:v>
                </c:pt>
                <c:pt idx="28">
                  <c:v>330</c:v>
                </c:pt>
                <c:pt idx="29">
                  <c:v>340</c:v>
                </c:pt>
                <c:pt idx="30">
                  <c:v>350</c:v>
                </c:pt>
                <c:pt idx="31">
                  <c:v>360</c:v>
                </c:pt>
                <c:pt idx="32">
                  <c:v>370</c:v>
                </c:pt>
                <c:pt idx="33">
                  <c:v>380</c:v>
                </c:pt>
                <c:pt idx="34">
                  <c:v>390</c:v>
                </c:pt>
                <c:pt idx="35">
                  <c:v>400</c:v>
                </c:pt>
                <c:pt idx="36">
                  <c:v>410</c:v>
                </c:pt>
                <c:pt idx="37">
                  <c:v>420</c:v>
                </c:pt>
                <c:pt idx="38">
                  <c:v>430</c:v>
                </c:pt>
                <c:pt idx="39">
                  <c:v>440</c:v>
                </c:pt>
                <c:pt idx="40">
                  <c:v>450</c:v>
                </c:pt>
                <c:pt idx="41">
                  <c:v>460</c:v>
                </c:pt>
                <c:pt idx="42">
                  <c:v>470</c:v>
                </c:pt>
                <c:pt idx="43">
                  <c:v>480</c:v>
                </c:pt>
                <c:pt idx="44">
                  <c:v>490</c:v>
                </c:pt>
                <c:pt idx="45">
                  <c:v>500</c:v>
                </c:pt>
                <c:pt idx="46">
                  <c:v>510</c:v>
                </c:pt>
                <c:pt idx="47">
                  <c:v>520</c:v>
                </c:pt>
                <c:pt idx="48">
                  <c:v>530</c:v>
                </c:pt>
                <c:pt idx="49">
                  <c:v>540</c:v>
                </c:pt>
                <c:pt idx="50">
                  <c:v>550</c:v>
                </c:pt>
                <c:pt idx="51">
                  <c:v>560</c:v>
                </c:pt>
                <c:pt idx="52">
                  <c:v>570</c:v>
                </c:pt>
                <c:pt idx="53">
                  <c:v>580</c:v>
                </c:pt>
                <c:pt idx="54">
                  <c:v>590</c:v>
                </c:pt>
                <c:pt idx="55">
                  <c:v>600</c:v>
                </c:pt>
                <c:pt idx="56">
                  <c:v>610</c:v>
                </c:pt>
                <c:pt idx="57">
                  <c:v>620</c:v>
                </c:pt>
                <c:pt idx="58">
                  <c:v>630</c:v>
                </c:pt>
                <c:pt idx="59">
                  <c:v>640</c:v>
                </c:pt>
                <c:pt idx="60">
                  <c:v>650</c:v>
                </c:pt>
                <c:pt idx="61">
                  <c:v>660</c:v>
                </c:pt>
                <c:pt idx="62">
                  <c:v>670</c:v>
                </c:pt>
                <c:pt idx="63">
                  <c:v>680</c:v>
                </c:pt>
                <c:pt idx="64">
                  <c:v>690</c:v>
                </c:pt>
                <c:pt idx="65">
                  <c:v>700</c:v>
                </c:pt>
                <c:pt idx="66">
                  <c:v>710</c:v>
                </c:pt>
                <c:pt idx="67">
                  <c:v>720</c:v>
                </c:pt>
                <c:pt idx="68">
                  <c:v>730</c:v>
                </c:pt>
                <c:pt idx="69">
                  <c:v>740</c:v>
                </c:pt>
                <c:pt idx="70">
                  <c:v>750</c:v>
                </c:pt>
                <c:pt idx="71">
                  <c:v>760</c:v>
                </c:pt>
                <c:pt idx="72">
                  <c:v>770</c:v>
                </c:pt>
                <c:pt idx="73">
                  <c:v>780</c:v>
                </c:pt>
                <c:pt idx="74">
                  <c:v>790</c:v>
                </c:pt>
                <c:pt idx="75">
                  <c:v>800</c:v>
                </c:pt>
                <c:pt idx="76">
                  <c:v>810</c:v>
                </c:pt>
                <c:pt idx="77">
                  <c:v>820</c:v>
                </c:pt>
                <c:pt idx="78">
                  <c:v>830</c:v>
                </c:pt>
                <c:pt idx="79">
                  <c:v>840</c:v>
                </c:pt>
                <c:pt idx="80">
                  <c:v>850</c:v>
                </c:pt>
                <c:pt idx="81">
                  <c:v>860</c:v>
                </c:pt>
                <c:pt idx="82">
                  <c:v>870</c:v>
                </c:pt>
                <c:pt idx="83">
                  <c:v>880</c:v>
                </c:pt>
                <c:pt idx="84">
                  <c:v>890</c:v>
                </c:pt>
                <c:pt idx="85">
                  <c:v>900</c:v>
                </c:pt>
                <c:pt idx="86">
                  <c:v>910</c:v>
                </c:pt>
                <c:pt idx="87">
                  <c:v>920</c:v>
                </c:pt>
                <c:pt idx="88">
                  <c:v>930</c:v>
                </c:pt>
                <c:pt idx="89">
                  <c:v>940</c:v>
                </c:pt>
                <c:pt idx="90">
                  <c:v>950</c:v>
                </c:pt>
                <c:pt idx="91">
                  <c:v>960</c:v>
                </c:pt>
                <c:pt idx="92">
                  <c:v>970</c:v>
                </c:pt>
                <c:pt idx="93">
                  <c:v>980</c:v>
                </c:pt>
                <c:pt idx="94">
                  <c:v>990</c:v>
                </c:pt>
                <c:pt idx="95">
                  <c:v>1000</c:v>
                </c:pt>
                <c:pt idx="96">
                  <c:v>1010</c:v>
                </c:pt>
                <c:pt idx="97">
                  <c:v>1020</c:v>
                </c:pt>
                <c:pt idx="98">
                  <c:v>1030</c:v>
                </c:pt>
                <c:pt idx="99">
                  <c:v>1040</c:v>
                </c:pt>
                <c:pt idx="100">
                  <c:v>1050</c:v>
                </c:pt>
              </c:numCache>
            </c:numRef>
          </c:xVal>
          <c:yVal>
            <c:numRef>
              <c:f>Cu_1stPhase!$I$2:$I$102</c:f>
              <c:numCache>
                <c:formatCode>General</c:formatCode>
                <c:ptCount val="101"/>
                <c:pt idx="0">
                  <c:v>7.5510965452981651</c:v>
                </c:pt>
                <c:pt idx="1">
                  <c:v>7.5509779852611123</c:v>
                </c:pt>
                <c:pt idx="2">
                  <c:v>7.5511365754377362</c:v>
                </c:pt>
                <c:pt idx="3">
                  <c:v>7.5504355609638552</c:v>
                </c:pt>
                <c:pt idx="4">
                  <c:v>7.5505814644236269</c:v>
                </c:pt>
                <c:pt idx="5">
                  <c:v>7.5507553906186402</c:v>
                </c:pt>
                <c:pt idx="6">
                  <c:v>7.5503913297103837</c:v>
                </c:pt>
                <c:pt idx="7">
                  <c:v>7.5498257843224845</c:v>
                </c:pt>
                <c:pt idx="8">
                  <c:v>7.5499724833570063</c:v>
                </c:pt>
                <c:pt idx="9">
                  <c:v>7.5492356885787322</c:v>
                </c:pt>
                <c:pt idx="10">
                  <c:v>7.5488846401180654</c:v>
                </c:pt>
                <c:pt idx="11">
                  <c:v>7.5481275481018573</c:v>
                </c:pt>
                <c:pt idx="12">
                  <c:v>7.547542887134834</c:v>
                </c:pt>
                <c:pt idx="13">
                  <c:v>7.5469701238410059</c:v>
                </c:pt>
                <c:pt idx="14">
                  <c:v>7.5459415592818919</c:v>
                </c:pt>
                <c:pt idx="15">
                  <c:v>7.5447176210355957</c:v>
                </c:pt>
                <c:pt idx="16">
                  <c:v>7.5423265951818612</c:v>
                </c:pt>
                <c:pt idx="17">
                  <c:v>7.5399750536724319</c:v>
                </c:pt>
                <c:pt idx="18">
                  <c:v>7.5384303565577957</c:v>
                </c:pt>
                <c:pt idx="19">
                  <c:v>7.5365011684547039</c:v>
                </c:pt>
                <c:pt idx="20">
                  <c:v>7.5349205142355542</c:v>
                </c:pt>
                <c:pt idx="21">
                  <c:v>7.5339616413314658</c:v>
                </c:pt>
                <c:pt idx="22">
                  <c:v>7.5331528641527221</c:v>
                </c:pt>
                <c:pt idx="23">
                  <c:v>7.5324684049236108</c:v>
                </c:pt>
                <c:pt idx="24">
                  <c:v>7.5323309469495738</c:v>
                </c:pt>
                <c:pt idx="25">
                  <c:v>7.5317580349643984</c:v>
                </c:pt>
                <c:pt idx="26">
                  <c:v>7.5314092361142588</c:v>
                </c:pt>
                <c:pt idx="27">
                  <c:v>7.5314883348761823</c:v>
                </c:pt>
                <c:pt idx="28">
                  <c:v>7.5313775033088604</c:v>
                </c:pt>
                <c:pt idx="29">
                  <c:v>7.5310203245632437</c:v>
                </c:pt>
                <c:pt idx="30">
                  <c:v>7.5305907299940467</c:v>
                </c:pt>
                <c:pt idx="31">
                  <c:v>7.5306180350738243</c:v>
                </c:pt>
                <c:pt idx="32">
                  <c:v>7.5308644690727826</c:v>
                </c:pt>
                <c:pt idx="33">
                  <c:v>7.5302910433823822</c:v>
                </c:pt>
                <c:pt idx="34">
                  <c:v>7.5299467125176358</c:v>
                </c:pt>
                <c:pt idx="35">
                  <c:v>7.5304523585975538</c:v>
                </c:pt>
                <c:pt idx="36">
                  <c:v>7.5299158500940786</c:v>
                </c:pt>
                <c:pt idx="37">
                  <c:v>7.5297374744735315</c:v>
                </c:pt>
                <c:pt idx="38">
                  <c:v>7.5291759269703586</c:v>
                </c:pt>
                <c:pt idx="39">
                  <c:v>7.5288697155352136</c:v>
                </c:pt>
                <c:pt idx="40">
                  <c:v>7.5285600648387936</c:v>
                </c:pt>
                <c:pt idx="41">
                  <c:v>7.5287812259003832</c:v>
                </c:pt>
                <c:pt idx="42">
                  <c:v>7.5292190079385506</c:v>
                </c:pt>
                <c:pt idx="43">
                  <c:v>7.5292330400083136</c:v>
                </c:pt>
                <c:pt idx="44">
                  <c:v>7.5281949858477955</c:v>
                </c:pt>
                <c:pt idx="45">
                  <c:v>7.5274809817740822</c:v>
                </c:pt>
                <c:pt idx="46">
                  <c:v>7.5270716144466485</c:v>
                </c:pt>
                <c:pt idx="47">
                  <c:v>7.5268977255206595</c:v>
                </c:pt>
                <c:pt idx="48">
                  <c:v>7.5267166410507205</c:v>
                </c:pt>
                <c:pt idx="49">
                  <c:v>7.526585095929037</c:v>
                </c:pt>
                <c:pt idx="50">
                  <c:v>7.5253414339866325</c:v>
                </c:pt>
                <c:pt idx="51">
                  <c:v>7.5243237113027117</c:v>
                </c:pt>
                <c:pt idx="52">
                  <c:v>7.5233585092474158</c:v>
                </c:pt>
                <c:pt idx="53">
                  <c:v>7.5227548921219674</c:v>
                </c:pt>
                <c:pt idx="54">
                  <c:v>7.5224319204469463</c:v>
                </c:pt>
                <c:pt idx="55">
                  <c:v>7.5220546248900346</c:v>
                </c:pt>
                <c:pt idx="56">
                  <c:v>7.5221821448713753</c:v>
                </c:pt>
                <c:pt idx="57">
                  <c:v>7.5217811057500068</c:v>
                </c:pt>
                <c:pt idx="58">
                  <c:v>7.5220791922987473</c:v>
                </c:pt>
                <c:pt idx="59">
                  <c:v>7.5216423688356473</c:v>
                </c:pt>
                <c:pt idx="60">
                  <c:v>7.5216427655666251</c:v>
                </c:pt>
                <c:pt idx="61">
                  <c:v>7.5216071533278113</c:v>
                </c:pt>
                <c:pt idx="62">
                  <c:v>7.5213580308319621</c:v>
                </c:pt>
                <c:pt idx="63">
                  <c:v>7.5212625282016008</c:v>
                </c:pt>
                <c:pt idx="64">
                  <c:v>7.5209898500304133</c:v>
                </c:pt>
                <c:pt idx="65">
                  <c:v>7.5209126273456137</c:v>
                </c:pt>
                <c:pt idx="66">
                  <c:v>7.5200952080126937</c:v>
                </c:pt>
                <c:pt idx="67">
                  <c:v>7.5191778422512021</c:v>
                </c:pt>
                <c:pt idx="68">
                  <c:v>7.5187561818323339</c:v>
                </c:pt>
                <c:pt idx="69">
                  <c:v>7.5186208681878695</c:v>
                </c:pt>
                <c:pt idx="70">
                  <c:v>7.5189011497256626</c:v>
                </c:pt>
                <c:pt idx="71">
                  <c:v>7.5184608146766152</c:v>
                </c:pt>
                <c:pt idx="72">
                  <c:v>7.5183358683857904</c:v>
                </c:pt>
                <c:pt idx="73">
                  <c:v>7.5183565502218537</c:v>
                </c:pt>
                <c:pt idx="74">
                  <c:v>7.5182046748940712</c:v>
                </c:pt>
                <c:pt idx="75">
                  <c:v>7.5182305302425929</c:v>
                </c:pt>
                <c:pt idx="76">
                  <c:v>7.5171497279411872</c:v>
                </c:pt>
                <c:pt idx="77">
                  <c:v>7.5177067914671314</c:v>
                </c:pt>
                <c:pt idx="78">
                  <c:v>7.5177109705725629</c:v>
                </c:pt>
                <c:pt idx="79">
                  <c:v>7.5174400419033134</c:v>
                </c:pt>
                <c:pt idx="80">
                  <c:v>7.5175476524177727</c:v>
                </c:pt>
                <c:pt idx="81">
                  <c:v>7.5173506013288369</c:v>
                </c:pt>
                <c:pt idx="82">
                  <c:v>7.5172092574977238</c:v>
                </c:pt>
                <c:pt idx="83">
                  <c:v>7.5173786682129853</c:v>
                </c:pt>
                <c:pt idx="84">
                  <c:v>7.5173407142707607</c:v>
                </c:pt>
                <c:pt idx="85">
                  <c:v>7.5172217335893885</c:v>
                </c:pt>
                <c:pt idx="86">
                  <c:v>7.517341112712014</c:v>
                </c:pt>
                <c:pt idx="87">
                  <c:v>7.5174380515231078</c:v>
                </c:pt>
                <c:pt idx="88">
                  <c:v>7.5170783804449384</c:v>
                </c:pt>
                <c:pt idx="89">
                  <c:v>7.5176292485321117</c:v>
                </c:pt>
                <c:pt idx="90">
                  <c:v>7.516891393297211</c:v>
                </c:pt>
                <c:pt idx="91">
                  <c:v>7.5172711721533521</c:v>
                </c:pt>
                <c:pt idx="92">
                  <c:v>7.5173345435750418</c:v>
                </c:pt>
                <c:pt idx="93">
                  <c:v>7.5169115073824582</c:v>
                </c:pt>
                <c:pt idx="94">
                  <c:v>7.5171558997774488</c:v>
                </c:pt>
                <c:pt idx="95">
                  <c:v>7.5170268084756184</c:v>
                </c:pt>
                <c:pt idx="96">
                  <c:v>7.5164987855376486</c:v>
                </c:pt>
                <c:pt idx="97">
                  <c:v>7.5170310562168199</c:v>
                </c:pt>
                <c:pt idx="98">
                  <c:v>7.5172505347231597</c:v>
                </c:pt>
                <c:pt idx="99">
                  <c:v>7.5169180129546627</c:v>
                </c:pt>
                <c:pt idx="100">
                  <c:v>7.5173137742729033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C7-47C5-B903-3905A01F0E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709055"/>
        <c:axId val="1502709471"/>
      </c:scatterChart>
      <c:valAx>
        <c:axId val="1502709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471"/>
        <c:crosses val="autoZero"/>
        <c:crossBetween val="midCat"/>
      </c:valAx>
      <c:valAx>
        <c:axId val="150270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f(x) -&gt; 0 - 1000 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2.000177844079682E-2"/>
                  <c:y val="-0.3819524642752989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Cu_1stPhase!$G$2:$G$102</c:f>
              <c:numCache>
                <c:formatCode>General</c:formatCode>
                <c:ptCount val="101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  <c:pt idx="6">
                  <c:v>110</c:v>
                </c:pt>
                <c:pt idx="7">
                  <c:v>120</c:v>
                </c:pt>
                <c:pt idx="8">
                  <c:v>130</c:v>
                </c:pt>
                <c:pt idx="9">
                  <c:v>140</c:v>
                </c:pt>
                <c:pt idx="10">
                  <c:v>150</c:v>
                </c:pt>
                <c:pt idx="11">
                  <c:v>160</c:v>
                </c:pt>
                <c:pt idx="12">
                  <c:v>170</c:v>
                </c:pt>
                <c:pt idx="13">
                  <c:v>180</c:v>
                </c:pt>
                <c:pt idx="14">
                  <c:v>190</c:v>
                </c:pt>
                <c:pt idx="15">
                  <c:v>200</c:v>
                </c:pt>
                <c:pt idx="16">
                  <c:v>210</c:v>
                </c:pt>
                <c:pt idx="17">
                  <c:v>220</c:v>
                </c:pt>
                <c:pt idx="18">
                  <c:v>230</c:v>
                </c:pt>
                <c:pt idx="19">
                  <c:v>240</c:v>
                </c:pt>
                <c:pt idx="20">
                  <c:v>250</c:v>
                </c:pt>
                <c:pt idx="21">
                  <c:v>260</c:v>
                </c:pt>
                <c:pt idx="22">
                  <c:v>270</c:v>
                </c:pt>
                <c:pt idx="23">
                  <c:v>280</c:v>
                </c:pt>
                <c:pt idx="24">
                  <c:v>290</c:v>
                </c:pt>
                <c:pt idx="25">
                  <c:v>300</c:v>
                </c:pt>
                <c:pt idx="26">
                  <c:v>310</c:v>
                </c:pt>
                <c:pt idx="27">
                  <c:v>320</c:v>
                </c:pt>
                <c:pt idx="28">
                  <c:v>330</c:v>
                </c:pt>
                <c:pt idx="29">
                  <c:v>340</c:v>
                </c:pt>
                <c:pt idx="30">
                  <c:v>350</c:v>
                </c:pt>
                <c:pt idx="31">
                  <c:v>360</c:v>
                </c:pt>
                <c:pt idx="32">
                  <c:v>370</c:v>
                </c:pt>
                <c:pt idx="33">
                  <c:v>380</c:v>
                </c:pt>
                <c:pt idx="34">
                  <c:v>390</c:v>
                </c:pt>
                <c:pt idx="35">
                  <c:v>400</c:v>
                </c:pt>
                <c:pt idx="36">
                  <c:v>410</c:v>
                </c:pt>
                <c:pt idx="37">
                  <c:v>420</c:v>
                </c:pt>
                <c:pt idx="38">
                  <c:v>430</c:v>
                </c:pt>
                <c:pt idx="39">
                  <c:v>440</c:v>
                </c:pt>
                <c:pt idx="40">
                  <c:v>450</c:v>
                </c:pt>
                <c:pt idx="41">
                  <c:v>460</c:v>
                </c:pt>
                <c:pt idx="42">
                  <c:v>470</c:v>
                </c:pt>
                <c:pt idx="43">
                  <c:v>480</c:v>
                </c:pt>
                <c:pt idx="44">
                  <c:v>490</c:v>
                </c:pt>
                <c:pt idx="45">
                  <c:v>500</c:v>
                </c:pt>
                <c:pt idx="46">
                  <c:v>510</c:v>
                </c:pt>
                <c:pt idx="47">
                  <c:v>520</c:v>
                </c:pt>
                <c:pt idx="48">
                  <c:v>530</c:v>
                </c:pt>
                <c:pt idx="49">
                  <c:v>540</c:v>
                </c:pt>
                <c:pt idx="50">
                  <c:v>550</c:v>
                </c:pt>
                <c:pt idx="51">
                  <c:v>560</c:v>
                </c:pt>
                <c:pt idx="52">
                  <c:v>570</c:v>
                </c:pt>
                <c:pt idx="53">
                  <c:v>580</c:v>
                </c:pt>
                <c:pt idx="54">
                  <c:v>590</c:v>
                </c:pt>
                <c:pt idx="55">
                  <c:v>600</c:v>
                </c:pt>
                <c:pt idx="56">
                  <c:v>610</c:v>
                </c:pt>
                <c:pt idx="57">
                  <c:v>620</c:v>
                </c:pt>
                <c:pt idx="58">
                  <c:v>630</c:v>
                </c:pt>
                <c:pt idx="59">
                  <c:v>640</c:v>
                </c:pt>
                <c:pt idx="60">
                  <c:v>650</c:v>
                </c:pt>
                <c:pt idx="61">
                  <c:v>660</c:v>
                </c:pt>
                <c:pt idx="62">
                  <c:v>670</c:v>
                </c:pt>
                <c:pt idx="63">
                  <c:v>680</c:v>
                </c:pt>
                <c:pt idx="64">
                  <c:v>690</c:v>
                </c:pt>
                <c:pt idx="65">
                  <c:v>700</c:v>
                </c:pt>
                <c:pt idx="66">
                  <c:v>710</c:v>
                </c:pt>
                <c:pt idx="67">
                  <c:v>720</c:v>
                </c:pt>
                <c:pt idx="68">
                  <c:v>730</c:v>
                </c:pt>
                <c:pt idx="69">
                  <c:v>740</c:v>
                </c:pt>
                <c:pt idx="70">
                  <c:v>750</c:v>
                </c:pt>
                <c:pt idx="71">
                  <c:v>760</c:v>
                </c:pt>
                <c:pt idx="72">
                  <c:v>770</c:v>
                </c:pt>
                <c:pt idx="73">
                  <c:v>780</c:v>
                </c:pt>
                <c:pt idx="74">
                  <c:v>790</c:v>
                </c:pt>
                <c:pt idx="75">
                  <c:v>800</c:v>
                </c:pt>
                <c:pt idx="76">
                  <c:v>810</c:v>
                </c:pt>
                <c:pt idx="77">
                  <c:v>820</c:v>
                </c:pt>
                <c:pt idx="78">
                  <c:v>830</c:v>
                </c:pt>
                <c:pt idx="79">
                  <c:v>840</c:v>
                </c:pt>
                <c:pt idx="80">
                  <c:v>850</c:v>
                </c:pt>
                <c:pt idx="81">
                  <c:v>860</c:v>
                </c:pt>
                <c:pt idx="82">
                  <c:v>870</c:v>
                </c:pt>
                <c:pt idx="83">
                  <c:v>880</c:v>
                </c:pt>
                <c:pt idx="84">
                  <c:v>890</c:v>
                </c:pt>
                <c:pt idx="85">
                  <c:v>900</c:v>
                </c:pt>
                <c:pt idx="86">
                  <c:v>910</c:v>
                </c:pt>
                <c:pt idx="87">
                  <c:v>920</c:v>
                </c:pt>
                <c:pt idx="88">
                  <c:v>930</c:v>
                </c:pt>
                <c:pt idx="89">
                  <c:v>940</c:v>
                </c:pt>
                <c:pt idx="90">
                  <c:v>950</c:v>
                </c:pt>
                <c:pt idx="91">
                  <c:v>960</c:v>
                </c:pt>
                <c:pt idx="92">
                  <c:v>970</c:v>
                </c:pt>
                <c:pt idx="93">
                  <c:v>980</c:v>
                </c:pt>
                <c:pt idx="94">
                  <c:v>990</c:v>
                </c:pt>
                <c:pt idx="95">
                  <c:v>1000</c:v>
                </c:pt>
                <c:pt idx="96">
                  <c:v>1010</c:v>
                </c:pt>
                <c:pt idx="97">
                  <c:v>1020</c:v>
                </c:pt>
                <c:pt idx="98">
                  <c:v>1030</c:v>
                </c:pt>
                <c:pt idx="99">
                  <c:v>1040</c:v>
                </c:pt>
                <c:pt idx="100">
                  <c:v>1050</c:v>
                </c:pt>
              </c:numCache>
            </c:numRef>
          </c:xVal>
          <c:yVal>
            <c:numRef>
              <c:f>Cu_1stPhase!$B$2:$B$102</c:f>
              <c:numCache>
                <c:formatCode>General</c:formatCode>
                <c:ptCount val="101"/>
                <c:pt idx="0">
                  <c:v>1902.828125</c:v>
                </c:pt>
                <c:pt idx="1">
                  <c:v>1902.602539</c:v>
                </c:pt>
                <c:pt idx="2">
                  <c:v>1902.904297</c:v>
                </c:pt>
                <c:pt idx="3">
                  <c:v>1901.5708010000001</c:v>
                </c:pt>
                <c:pt idx="4">
                  <c:v>1901.8482670000001</c:v>
                </c:pt>
                <c:pt idx="5">
                  <c:v>1902.179077</c:v>
                </c:pt>
                <c:pt idx="6">
                  <c:v>1901.4866939999999</c:v>
                </c:pt>
                <c:pt idx="7">
                  <c:v>1900.411621</c:v>
                </c:pt>
                <c:pt idx="8">
                  <c:v>1900.6904300000001</c:v>
                </c:pt>
                <c:pt idx="9">
                  <c:v>1899.2905270000001</c:v>
                </c:pt>
                <c:pt idx="10">
                  <c:v>1898.6239009999999</c:v>
                </c:pt>
                <c:pt idx="11">
                  <c:v>1897.1870120000001</c:v>
                </c:pt>
                <c:pt idx="12">
                  <c:v>1896.078125</c:v>
                </c:pt>
                <c:pt idx="13">
                  <c:v>1894.992432</c:v>
                </c:pt>
                <c:pt idx="14">
                  <c:v>1893.044312</c:v>
                </c:pt>
                <c:pt idx="15">
                  <c:v>1890.72876</c:v>
                </c:pt>
                <c:pt idx="16">
                  <c:v>1886.213379</c:v>
                </c:pt>
                <c:pt idx="17">
                  <c:v>1881.783081</c:v>
                </c:pt>
                <c:pt idx="18">
                  <c:v>1878.8785399999999</c:v>
                </c:pt>
                <c:pt idx="19">
                  <c:v>1875.2573239999999</c:v>
                </c:pt>
                <c:pt idx="20">
                  <c:v>1872.2955320000001</c:v>
                </c:pt>
                <c:pt idx="21">
                  <c:v>1870.5010990000001</c:v>
                </c:pt>
                <c:pt idx="22">
                  <c:v>1868.9888920000001</c:v>
                </c:pt>
                <c:pt idx="23">
                  <c:v>1867.7100829999999</c:v>
                </c:pt>
                <c:pt idx="24">
                  <c:v>1867.4533690000001</c:v>
                </c:pt>
                <c:pt idx="25">
                  <c:v>1866.383789</c:v>
                </c:pt>
                <c:pt idx="26">
                  <c:v>1865.7329099999999</c:v>
                </c:pt>
                <c:pt idx="27">
                  <c:v>1865.8804929999999</c:v>
                </c:pt>
                <c:pt idx="28">
                  <c:v>1865.673706</c:v>
                </c:pt>
                <c:pt idx="29">
                  <c:v>1865.0074460000001</c:v>
                </c:pt>
                <c:pt idx="30">
                  <c:v>1864.2064210000001</c:v>
                </c:pt>
                <c:pt idx="31">
                  <c:v>1864.2573239999999</c:v>
                </c:pt>
                <c:pt idx="32">
                  <c:v>1864.716797</c:v>
                </c:pt>
                <c:pt idx="33">
                  <c:v>1863.647827</c:v>
                </c:pt>
                <c:pt idx="34">
                  <c:v>1863.006226</c:v>
                </c:pt>
                <c:pt idx="35">
                  <c:v>1863.948486</c:v>
                </c:pt>
                <c:pt idx="36">
                  <c:v>1862.9487300000001</c:v>
                </c:pt>
                <c:pt idx="37">
                  <c:v>1862.6164550000001</c:v>
                </c:pt>
                <c:pt idx="38">
                  <c:v>1861.5708010000001</c:v>
                </c:pt>
                <c:pt idx="39">
                  <c:v>1861.0008539999999</c:v>
                </c:pt>
                <c:pt idx="40">
                  <c:v>1860.424683</c:v>
                </c:pt>
                <c:pt idx="41">
                  <c:v>1860.836182</c:v>
                </c:pt>
                <c:pt idx="42">
                  <c:v>1861.651001</c:v>
                </c:pt>
                <c:pt idx="43">
                  <c:v>1861.677124</c:v>
                </c:pt>
                <c:pt idx="44">
                  <c:v>1859.7456050000001</c:v>
                </c:pt>
                <c:pt idx="45">
                  <c:v>1858.4182129999999</c:v>
                </c:pt>
                <c:pt idx="46">
                  <c:v>1857.6575929999999</c:v>
                </c:pt>
                <c:pt idx="47">
                  <c:v>1857.334595</c:v>
                </c:pt>
                <c:pt idx="48">
                  <c:v>1856.9982910000001</c:v>
                </c:pt>
                <c:pt idx="49">
                  <c:v>1856.7540280000001</c:v>
                </c:pt>
                <c:pt idx="50">
                  <c:v>1854.446289</c:v>
                </c:pt>
                <c:pt idx="51">
                  <c:v>1852.559937</c:v>
                </c:pt>
                <c:pt idx="52">
                  <c:v>1850.7727050000001</c:v>
                </c:pt>
                <c:pt idx="53">
                  <c:v>1849.655884</c:v>
                </c:pt>
                <c:pt idx="54">
                  <c:v>1849.0585940000001</c:v>
                </c:pt>
                <c:pt idx="55">
                  <c:v>1848.3610839999999</c:v>
                </c:pt>
                <c:pt idx="56">
                  <c:v>1848.596802</c:v>
                </c:pt>
                <c:pt idx="57">
                  <c:v>1847.855591</c:v>
                </c:pt>
                <c:pt idx="58">
                  <c:v>1848.4064940000001</c:v>
                </c:pt>
                <c:pt idx="59">
                  <c:v>1847.5992429999999</c:v>
                </c:pt>
                <c:pt idx="60">
                  <c:v>1847.599976</c:v>
                </c:pt>
                <c:pt idx="61">
                  <c:v>1847.5341800000001</c:v>
                </c:pt>
                <c:pt idx="62">
                  <c:v>1847.073975</c:v>
                </c:pt>
                <c:pt idx="63">
                  <c:v>1846.8975829999999</c:v>
                </c:pt>
                <c:pt idx="64">
                  <c:v>1846.394043</c:v>
                </c:pt>
                <c:pt idx="65">
                  <c:v>1846.2514650000001</c:v>
                </c:pt>
                <c:pt idx="66">
                  <c:v>1844.7429199999999</c:v>
                </c:pt>
                <c:pt idx="67">
                  <c:v>1843.0513920000001</c:v>
                </c:pt>
                <c:pt idx="68">
                  <c:v>1842.274414</c:v>
                </c:pt>
                <c:pt idx="69">
                  <c:v>1842.0251459999999</c:v>
                </c:pt>
                <c:pt idx="70">
                  <c:v>1842.541504</c:v>
                </c:pt>
                <c:pt idx="71">
                  <c:v>1841.7303469999999</c:v>
                </c:pt>
                <c:pt idx="72">
                  <c:v>1841.5002440000001</c:v>
                </c:pt>
                <c:pt idx="73">
                  <c:v>1841.5383300000001</c:v>
                </c:pt>
                <c:pt idx="74">
                  <c:v>1841.2586670000001</c:v>
                </c:pt>
                <c:pt idx="75">
                  <c:v>1841.306274</c:v>
                </c:pt>
                <c:pt idx="76">
                  <c:v>1839.3172609999999</c:v>
                </c:pt>
                <c:pt idx="77">
                  <c:v>1840.342163</c:v>
                </c:pt>
                <c:pt idx="78">
                  <c:v>1840.3498540000001</c:v>
                </c:pt>
                <c:pt idx="79">
                  <c:v>1839.851318</c:v>
                </c:pt>
                <c:pt idx="80">
                  <c:v>1840.0493160000001</c:v>
                </c:pt>
                <c:pt idx="81">
                  <c:v>1839.686768</c:v>
                </c:pt>
                <c:pt idx="82">
                  <c:v>1839.4267580000001</c:v>
                </c:pt>
                <c:pt idx="83">
                  <c:v>1839.7384030000001</c:v>
                </c:pt>
                <c:pt idx="84">
                  <c:v>1839.6685789999999</c:v>
                </c:pt>
                <c:pt idx="85">
                  <c:v>1839.449707</c:v>
                </c:pt>
                <c:pt idx="86">
                  <c:v>1839.669312</c:v>
                </c:pt>
                <c:pt idx="87">
                  <c:v>1839.8476559999999</c:v>
                </c:pt>
                <c:pt idx="88">
                  <c:v>1839.1860349999999</c:v>
                </c:pt>
                <c:pt idx="89">
                  <c:v>1840.1994629999999</c:v>
                </c:pt>
                <c:pt idx="90">
                  <c:v>1838.842163</c:v>
                </c:pt>
                <c:pt idx="91">
                  <c:v>1839.540649</c:v>
                </c:pt>
                <c:pt idx="92">
                  <c:v>1839.6572269999999</c:v>
                </c:pt>
                <c:pt idx="93">
                  <c:v>1838.87915</c:v>
                </c:pt>
                <c:pt idx="94">
                  <c:v>1839.3286129999999</c:v>
                </c:pt>
                <c:pt idx="95">
                  <c:v>1839.091187</c:v>
                </c:pt>
                <c:pt idx="96">
                  <c:v>1838.120361</c:v>
                </c:pt>
                <c:pt idx="97">
                  <c:v>1839.098999</c:v>
                </c:pt>
                <c:pt idx="98">
                  <c:v>1839.502686</c:v>
                </c:pt>
                <c:pt idx="99">
                  <c:v>1838.8911129999999</c:v>
                </c:pt>
                <c:pt idx="100">
                  <c:v>1839.619019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B1-45A4-A3A3-9A0A646A4A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1622239"/>
        <c:axId val="1481622655"/>
      </c:scatterChart>
      <c:valAx>
        <c:axId val="1481622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655"/>
        <c:crosses val="autoZero"/>
        <c:crossBetween val="midCat"/>
      </c:valAx>
      <c:valAx>
        <c:axId val="148162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ln(f(x)) -&gt;</a:t>
            </a:r>
            <a:r>
              <a:rPr lang="fr-CH" baseline="0"/>
              <a:t> </a:t>
            </a:r>
            <a:r>
              <a:rPr lang="fr-CH" sz="1400" b="0" i="0" u="none" strike="noStrike" baseline="0">
                <a:effectLst/>
              </a:rPr>
              <a:t>0 to non negative f(x) with baseline</a:t>
            </a:r>
            <a:endParaRPr lang="fr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1840576360742606"/>
                  <c:y val="9.207677165354330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Cu_1stPhase!$G$2:$G$194</c:f>
              <c:numCache>
                <c:formatCode>General</c:formatCode>
                <c:ptCount val="193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  <c:pt idx="6">
                  <c:v>110</c:v>
                </c:pt>
                <c:pt idx="7">
                  <c:v>120</c:v>
                </c:pt>
                <c:pt idx="8">
                  <c:v>130</c:v>
                </c:pt>
                <c:pt idx="9">
                  <c:v>140</c:v>
                </c:pt>
                <c:pt idx="10">
                  <c:v>150</c:v>
                </c:pt>
                <c:pt idx="11">
                  <c:v>160</c:v>
                </c:pt>
                <c:pt idx="12">
                  <c:v>170</c:v>
                </c:pt>
                <c:pt idx="13">
                  <c:v>180</c:v>
                </c:pt>
                <c:pt idx="14">
                  <c:v>190</c:v>
                </c:pt>
                <c:pt idx="15">
                  <c:v>200</c:v>
                </c:pt>
                <c:pt idx="16">
                  <c:v>210</c:v>
                </c:pt>
                <c:pt idx="17">
                  <c:v>220</c:v>
                </c:pt>
                <c:pt idx="18">
                  <c:v>230</c:v>
                </c:pt>
                <c:pt idx="19">
                  <c:v>240</c:v>
                </c:pt>
                <c:pt idx="20">
                  <c:v>250</c:v>
                </c:pt>
                <c:pt idx="21">
                  <c:v>260</c:v>
                </c:pt>
                <c:pt idx="22">
                  <c:v>270</c:v>
                </c:pt>
                <c:pt idx="23">
                  <c:v>280</c:v>
                </c:pt>
                <c:pt idx="24">
                  <c:v>290</c:v>
                </c:pt>
                <c:pt idx="25">
                  <c:v>300</c:v>
                </c:pt>
                <c:pt idx="26">
                  <c:v>310</c:v>
                </c:pt>
                <c:pt idx="27">
                  <c:v>320</c:v>
                </c:pt>
                <c:pt idx="28">
                  <c:v>330</c:v>
                </c:pt>
                <c:pt idx="29">
                  <c:v>340</c:v>
                </c:pt>
                <c:pt idx="30">
                  <c:v>350</c:v>
                </c:pt>
                <c:pt idx="31">
                  <c:v>360</c:v>
                </c:pt>
                <c:pt idx="32">
                  <c:v>370</c:v>
                </c:pt>
                <c:pt idx="33">
                  <c:v>380</c:v>
                </c:pt>
                <c:pt idx="34">
                  <c:v>390</c:v>
                </c:pt>
                <c:pt idx="35">
                  <c:v>400</c:v>
                </c:pt>
                <c:pt idx="36">
                  <c:v>410</c:v>
                </c:pt>
                <c:pt idx="37">
                  <c:v>420</c:v>
                </c:pt>
                <c:pt idx="38">
                  <c:v>430</c:v>
                </c:pt>
                <c:pt idx="39">
                  <c:v>440</c:v>
                </c:pt>
                <c:pt idx="40">
                  <c:v>450</c:v>
                </c:pt>
                <c:pt idx="41">
                  <c:v>460</c:v>
                </c:pt>
                <c:pt idx="42">
                  <c:v>470</c:v>
                </c:pt>
                <c:pt idx="43">
                  <c:v>480</c:v>
                </c:pt>
                <c:pt idx="44">
                  <c:v>490</c:v>
                </c:pt>
                <c:pt idx="45">
                  <c:v>500</c:v>
                </c:pt>
                <c:pt idx="46">
                  <c:v>510</c:v>
                </c:pt>
                <c:pt idx="47">
                  <c:v>520</c:v>
                </c:pt>
                <c:pt idx="48">
                  <c:v>530</c:v>
                </c:pt>
                <c:pt idx="49">
                  <c:v>540</c:v>
                </c:pt>
                <c:pt idx="50">
                  <c:v>550</c:v>
                </c:pt>
                <c:pt idx="51">
                  <c:v>560</c:v>
                </c:pt>
                <c:pt idx="52">
                  <c:v>570</c:v>
                </c:pt>
                <c:pt idx="53">
                  <c:v>580</c:v>
                </c:pt>
                <c:pt idx="54">
                  <c:v>590</c:v>
                </c:pt>
                <c:pt idx="55">
                  <c:v>600</c:v>
                </c:pt>
                <c:pt idx="56">
                  <c:v>610</c:v>
                </c:pt>
                <c:pt idx="57">
                  <c:v>620</c:v>
                </c:pt>
                <c:pt idx="58">
                  <c:v>630</c:v>
                </c:pt>
                <c:pt idx="59">
                  <c:v>640</c:v>
                </c:pt>
                <c:pt idx="60">
                  <c:v>650</c:v>
                </c:pt>
                <c:pt idx="61">
                  <c:v>660</c:v>
                </c:pt>
                <c:pt idx="62">
                  <c:v>670</c:v>
                </c:pt>
                <c:pt idx="63">
                  <c:v>680</c:v>
                </c:pt>
                <c:pt idx="64">
                  <c:v>690</c:v>
                </c:pt>
                <c:pt idx="65">
                  <c:v>700</c:v>
                </c:pt>
                <c:pt idx="66">
                  <c:v>710</c:v>
                </c:pt>
                <c:pt idx="67">
                  <c:v>720</c:v>
                </c:pt>
                <c:pt idx="68">
                  <c:v>730</c:v>
                </c:pt>
                <c:pt idx="69">
                  <c:v>740</c:v>
                </c:pt>
                <c:pt idx="70">
                  <c:v>750</c:v>
                </c:pt>
                <c:pt idx="71">
                  <c:v>760</c:v>
                </c:pt>
                <c:pt idx="72">
                  <c:v>770</c:v>
                </c:pt>
                <c:pt idx="73">
                  <c:v>780</c:v>
                </c:pt>
                <c:pt idx="74">
                  <c:v>790</c:v>
                </c:pt>
                <c:pt idx="75">
                  <c:v>800</c:v>
                </c:pt>
                <c:pt idx="76">
                  <c:v>810</c:v>
                </c:pt>
                <c:pt idx="77">
                  <c:v>820</c:v>
                </c:pt>
                <c:pt idx="78">
                  <c:v>830</c:v>
                </c:pt>
                <c:pt idx="79">
                  <c:v>840</c:v>
                </c:pt>
                <c:pt idx="80">
                  <c:v>850</c:v>
                </c:pt>
                <c:pt idx="81">
                  <c:v>860</c:v>
                </c:pt>
                <c:pt idx="82">
                  <c:v>870</c:v>
                </c:pt>
                <c:pt idx="83">
                  <c:v>880</c:v>
                </c:pt>
                <c:pt idx="84">
                  <c:v>890</c:v>
                </c:pt>
                <c:pt idx="85">
                  <c:v>900</c:v>
                </c:pt>
                <c:pt idx="86">
                  <c:v>910</c:v>
                </c:pt>
                <c:pt idx="87">
                  <c:v>920</c:v>
                </c:pt>
                <c:pt idx="88">
                  <c:v>930</c:v>
                </c:pt>
                <c:pt idx="89">
                  <c:v>940</c:v>
                </c:pt>
                <c:pt idx="90">
                  <c:v>950</c:v>
                </c:pt>
                <c:pt idx="91">
                  <c:v>960</c:v>
                </c:pt>
                <c:pt idx="92">
                  <c:v>970</c:v>
                </c:pt>
                <c:pt idx="93">
                  <c:v>980</c:v>
                </c:pt>
                <c:pt idx="94">
                  <c:v>990</c:v>
                </c:pt>
                <c:pt idx="95">
                  <c:v>1000</c:v>
                </c:pt>
                <c:pt idx="96">
                  <c:v>1010</c:v>
                </c:pt>
                <c:pt idx="97">
                  <c:v>1020</c:v>
                </c:pt>
                <c:pt idx="98">
                  <c:v>1030</c:v>
                </c:pt>
                <c:pt idx="99">
                  <c:v>1040</c:v>
                </c:pt>
                <c:pt idx="100">
                  <c:v>1050</c:v>
                </c:pt>
                <c:pt idx="101">
                  <c:v>1060</c:v>
                </c:pt>
                <c:pt idx="102">
                  <c:v>1070</c:v>
                </c:pt>
                <c:pt idx="103">
                  <c:v>1080</c:v>
                </c:pt>
                <c:pt idx="104">
                  <c:v>1090</c:v>
                </c:pt>
                <c:pt idx="105">
                  <c:v>1100</c:v>
                </c:pt>
                <c:pt idx="106">
                  <c:v>1110</c:v>
                </c:pt>
                <c:pt idx="107">
                  <c:v>1120</c:v>
                </c:pt>
                <c:pt idx="108">
                  <c:v>1130</c:v>
                </c:pt>
                <c:pt idx="109">
                  <c:v>1140</c:v>
                </c:pt>
                <c:pt idx="110">
                  <c:v>1150</c:v>
                </c:pt>
                <c:pt idx="111">
                  <c:v>1160</c:v>
                </c:pt>
                <c:pt idx="112">
                  <c:v>1170</c:v>
                </c:pt>
                <c:pt idx="113">
                  <c:v>1180</c:v>
                </c:pt>
                <c:pt idx="114">
                  <c:v>1190</c:v>
                </c:pt>
                <c:pt idx="115">
                  <c:v>1200</c:v>
                </c:pt>
                <c:pt idx="116">
                  <c:v>1210</c:v>
                </c:pt>
                <c:pt idx="117">
                  <c:v>1220</c:v>
                </c:pt>
              </c:numCache>
            </c:numRef>
          </c:xVal>
          <c:yVal>
            <c:numRef>
              <c:f>Cu_1stPhase!$H$2:$H$187</c:f>
              <c:numCache>
                <c:formatCode>General</c:formatCode>
                <c:ptCount val="186"/>
                <c:pt idx="0">
                  <c:v>4.3267314618629484</c:v>
                </c:pt>
                <c:pt idx="1">
                  <c:v>4.3237468732410083</c:v>
                </c:pt>
                <c:pt idx="2">
                  <c:v>4.327737238030041</c:v>
                </c:pt>
                <c:pt idx="3">
                  <c:v>4.3099818922125754</c:v>
                </c:pt>
                <c:pt idx="4">
                  <c:v>4.3137023833606367</c:v>
                </c:pt>
                <c:pt idx="5">
                  <c:v>4.3181201404318941</c:v>
                </c:pt>
                <c:pt idx="6">
                  <c:v>4.308851377406361</c:v>
                </c:pt>
                <c:pt idx="7">
                  <c:v>4.2942871881604923</c:v>
                </c:pt>
                <c:pt idx="8">
                  <c:v>4.2980846785522777</c:v>
                </c:pt>
                <c:pt idx="9">
                  <c:v>4.2788701744115922</c:v>
                </c:pt>
                <c:pt idx="10">
                  <c:v>4.2695889263289954</c:v>
                </c:pt>
                <c:pt idx="11">
                  <c:v>4.2492856724340831</c:v>
                </c:pt>
                <c:pt idx="12">
                  <c:v>4.2333303338894757</c:v>
                </c:pt>
                <c:pt idx="13">
                  <c:v>4.217458135654474</c:v>
                </c:pt>
                <c:pt idx="14">
                  <c:v>4.1883304109415453</c:v>
                </c:pt>
                <c:pt idx="15">
                  <c:v>4.1525678718222023</c:v>
                </c:pt>
                <c:pt idx="16">
                  <c:v>4.078921553380721</c:v>
                </c:pt>
                <c:pt idx="17">
                  <c:v>4.0009752161143322</c:v>
                </c:pt>
                <c:pt idx="18">
                  <c:v>3.9463641404728982</c:v>
                </c:pt>
                <c:pt idx="19">
                  <c:v>3.8738155899153606</c:v>
                </c:pt>
                <c:pt idx="20">
                  <c:v>3.8102974751985941</c:v>
                </c:pt>
                <c:pt idx="21">
                  <c:v>3.7697550225549459</c:v>
                </c:pt>
                <c:pt idx="22">
                  <c:v>3.7342645896523208</c:v>
                </c:pt>
                <c:pt idx="23">
                  <c:v>3.7032364721344071</c:v>
                </c:pt>
                <c:pt idx="24">
                  <c:v>3.6968900087775554</c:v>
                </c:pt>
                <c:pt idx="25">
                  <c:v>3.6700056847955871</c:v>
                </c:pt>
                <c:pt idx="26">
                  <c:v>3.653284659366141</c:v>
                </c:pt>
                <c:pt idx="27">
                  <c:v>3.657100639216821</c:v>
                </c:pt>
                <c:pt idx="28">
                  <c:v>3.6517497492782085</c:v>
                </c:pt>
                <c:pt idx="29">
                  <c:v>3.6343120160894529</c:v>
                </c:pt>
                <c:pt idx="30">
                  <c:v>3.6129364416107723</c:v>
                </c:pt>
                <c:pt idx="31">
                  <c:v>3.6143084824848031</c:v>
                </c:pt>
                <c:pt idx="32">
                  <c:v>3.6266086796939616</c:v>
                </c:pt>
                <c:pt idx="33">
                  <c:v>3.5977550940300915</c:v>
                </c:pt>
                <c:pt idx="34">
                  <c:v>3.5800285764456325</c:v>
                </c:pt>
                <c:pt idx="35">
                  <c:v>3.6059549689387649</c:v>
                </c:pt>
                <c:pt idx="36">
                  <c:v>3.578424595408658</c:v>
                </c:pt>
                <c:pt idx="37">
                  <c:v>3.5691042948713503</c:v>
                </c:pt>
                <c:pt idx="38">
                  <c:v>3.539193737320486</c:v>
                </c:pt>
                <c:pt idx="39">
                  <c:v>3.5225058696761402</c:v>
                </c:pt>
                <c:pt idx="40">
                  <c:v>3.505347855514596</c:v>
                </c:pt>
                <c:pt idx="41">
                  <c:v>3.5176320123327125</c:v>
                </c:pt>
                <c:pt idx="42">
                  <c:v>3.5415197756506149</c:v>
                </c:pt>
                <c:pt idx="43">
                  <c:v>3.5422762536062349</c:v>
                </c:pt>
                <c:pt idx="44">
                  <c:v>3.4847399576453184</c:v>
                </c:pt>
                <c:pt idx="45">
                  <c:v>3.4431883886210288</c:v>
                </c:pt>
                <c:pt idx="46">
                  <c:v>3.4185765846402267</c:v>
                </c:pt>
                <c:pt idx="47">
                  <c:v>3.4079391050890901</c:v>
                </c:pt>
                <c:pt idx="48">
                  <c:v>3.3967418371156368</c:v>
                </c:pt>
                <c:pt idx="49">
                  <c:v>3.3885297516265891</c:v>
                </c:pt>
                <c:pt idx="50">
                  <c:v>3.3074224194746416</c:v>
                </c:pt>
                <c:pt idx="51">
                  <c:v>3.2358618225180527</c:v>
                </c:pt>
                <c:pt idx="52">
                  <c:v>3.1629843962986328</c:v>
                </c:pt>
                <c:pt idx="53">
                  <c:v>3.1145913522905331</c:v>
                </c:pt>
                <c:pt idx="54">
                  <c:v>3.0877157441741514</c:v>
                </c:pt>
                <c:pt idx="55">
                  <c:v>3.0553881439292905</c:v>
                </c:pt>
                <c:pt idx="56">
                  <c:v>3.0664303170750946</c:v>
                </c:pt>
                <c:pt idx="57">
                  <c:v>3.0312891194739242</c:v>
                </c:pt>
                <c:pt idx="58">
                  <c:v>3.0575248718438064</c:v>
                </c:pt>
                <c:pt idx="59">
                  <c:v>3.0188423174697161</c:v>
                </c:pt>
                <c:pt idx="60">
                  <c:v>3.0188781295573004</c:v>
                </c:pt>
                <c:pt idx="61">
                  <c:v>3.0156584226328107</c:v>
                </c:pt>
                <c:pt idx="62">
                  <c:v>2.9928438560896917</c:v>
                </c:pt>
                <c:pt idx="63">
                  <c:v>2.9839593943681351</c:v>
                </c:pt>
                <c:pt idx="64">
                  <c:v>2.958154126649851</c:v>
                </c:pt>
                <c:pt idx="65">
                  <c:v>2.9507247088264799</c:v>
                </c:pt>
                <c:pt idx="66">
                  <c:v>2.8685384702040482</c:v>
                </c:pt>
                <c:pt idx="67">
                  <c:v>2.7675593461036905</c:v>
                </c:pt>
                <c:pt idx="68">
                  <c:v>2.7175221337127997</c:v>
                </c:pt>
                <c:pt idx="69">
                  <c:v>2.7009239361517898</c:v>
                </c:pt>
                <c:pt idx="70">
                  <c:v>2.735006525984224</c:v>
                </c:pt>
                <c:pt idx="71">
                  <c:v>2.6809315931633559</c:v>
                </c:pt>
                <c:pt idx="72">
                  <c:v>2.665044156613559</c:v>
                </c:pt>
                <c:pt idx="73">
                  <c:v>2.6676912937849724</c:v>
                </c:pt>
                <c:pt idx="74">
                  <c:v>2.648088355434469</c:v>
                </c:pt>
                <c:pt idx="75">
                  <c:v>2.6514526182024811</c:v>
                </c:pt>
                <c:pt idx="76">
                  <c:v>2.5002550087988644</c:v>
                </c:pt>
                <c:pt idx="77">
                  <c:v>2.5810121950235483</c:v>
                </c:pt>
                <c:pt idx="78">
                  <c:v>2.5815942138962251</c:v>
                </c:pt>
                <c:pt idx="79">
                  <c:v>2.5431486707580655</c:v>
                </c:pt>
                <c:pt idx="80">
                  <c:v>2.5585950577465035</c:v>
                </c:pt>
                <c:pt idx="81">
                  <c:v>2.5301275947230892</c:v>
                </c:pt>
                <c:pt idx="82">
                  <c:v>2.5092006463561991</c:v>
                </c:pt>
                <c:pt idx="83">
                  <c:v>2.5342318295412305</c:v>
                </c:pt>
                <c:pt idx="84">
                  <c:v>2.5286778112372006</c:v>
                </c:pt>
                <c:pt idx="85">
                  <c:v>2.5110654228120439</c:v>
                </c:pt>
                <c:pt idx="86">
                  <c:v>2.5287362768436745</c:v>
                </c:pt>
                <c:pt idx="87">
                  <c:v>2.5428607284841709</c:v>
                </c:pt>
                <c:pt idx="88">
                  <c:v>2.4894276645819184</c:v>
                </c:pt>
                <c:pt idx="89">
                  <c:v>2.5701514186328405</c:v>
                </c:pt>
                <c:pt idx="90">
                  <c:v>2.460486131426638</c:v>
                </c:pt>
                <c:pt idx="91">
                  <c:v>2.5184211293387104</c:v>
                </c:pt>
                <c:pt idx="92">
                  <c:v>2.5277719154073681</c:v>
                </c:pt>
                <c:pt idx="93">
                  <c:v>2.4636396007495232</c:v>
                </c:pt>
                <c:pt idx="94">
                  <c:v>2.5011861664470927</c:v>
                </c:pt>
                <c:pt idx="95">
                  <c:v>2.4815281992454383</c:v>
                </c:pt>
                <c:pt idx="96">
                  <c:v>2.396867563067405</c:v>
                </c:pt>
                <c:pt idx="97">
                  <c:v>2.4821811890918846</c:v>
                </c:pt>
                <c:pt idx="98">
                  <c:v>2.5153571255679235</c:v>
                </c:pt>
                <c:pt idx="99">
                  <c:v>2.4646574277832385</c:v>
                </c:pt>
                <c:pt idx="100">
                  <c:v>2.5247168526196311</c:v>
                </c:pt>
                <c:pt idx="101">
                  <c:v>2.5036052364830317</c:v>
                </c:pt>
                <c:pt idx="102">
                  <c:v>2.5103120164389261</c:v>
                </c:pt>
                <c:pt idx="103">
                  <c:v>2.5422845950847091</c:v>
                </c:pt>
                <c:pt idx="104">
                  <c:v>2.5157319635809419</c:v>
                </c:pt>
                <c:pt idx="105">
                  <c:v>2.5203473913030239</c:v>
                </c:pt>
                <c:pt idx="106">
                  <c:v>2.4947904767796607</c:v>
                </c:pt>
                <c:pt idx="107">
                  <c:v>2.4811198221314732</c:v>
                </c:pt>
                <c:pt idx="108">
                  <c:v>2.568580832589817</c:v>
                </c:pt>
                <c:pt idx="109">
                  <c:v>2.5514062935419215</c:v>
                </c:pt>
                <c:pt idx="110">
                  <c:v>2.493581084523532</c:v>
                </c:pt>
                <c:pt idx="111">
                  <c:v>2.5482030717146298</c:v>
                </c:pt>
                <c:pt idx="112">
                  <c:v>2.4831803272169455</c:v>
                </c:pt>
                <c:pt idx="113">
                  <c:v>2.5363598522229109</c:v>
                </c:pt>
                <c:pt idx="114">
                  <c:v>2.5753967467865668</c:v>
                </c:pt>
                <c:pt idx="115">
                  <c:v>2.5959071060385925</c:v>
                </c:pt>
                <c:pt idx="116">
                  <c:v>2.6866513364968454</c:v>
                </c:pt>
                <c:pt idx="117">
                  <c:v>4.6005372103111561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8C-406A-A17A-CBA75C54F9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709055"/>
        <c:axId val="1502709471"/>
      </c:scatterChart>
      <c:valAx>
        <c:axId val="1502709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471"/>
        <c:crosses val="autoZero"/>
        <c:crossBetween val="midCat"/>
      </c:valAx>
      <c:valAx>
        <c:axId val="150270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f(x) -&gt; </a:t>
            </a:r>
            <a:r>
              <a:rPr lang="fr-CH" sz="1400" b="0" i="0" u="none" strike="noStrike" baseline="0">
                <a:effectLst/>
              </a:rPr>
              <a:t>0 to non negative f(x) with baseline</a:t>
            </a:r>
            <a:endParaRPr lang="fr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1.7866777418603874E-2"/>
                  <c:y val="-0.3047765383493730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Cu_1stPhase!$G$2:$G$197</c:f>
              <c:numCache>
                <c:formatCode>General</c:formatCode>
                <c:ptCount val="196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  <c:pt idx="6">
                  <c:v>110</c:v>
                </c:pt>
                <c:pt idx="7">
                  <c:v>120</c:v>
                </c:pt>
                <c:pt idx="8">
                  <c:v>130</c:v>
                </c:pt>
                <c:pt idx="9">
                  <c:v>140</c:v>
                </c:pt>
                <c:pt idx="10">
                  <c:v>150</c:v>
                </c:pt>
                <c:pt idx="11">
                  <c:v>160</c:v>
                </c:pt>
                <c:pt idx="12">
                  <c:v>170</c:v>
                </c:pt>
                <c:pt idx="13">
                  <c:v>180</c:v>
                </c:pt>
                <c:pt idx="14">
                  <c:v>190</c:v>
                </c:pt>
                <c:pt idx="15">
                  <c:v>200</c:v>
                </c:pt>
                <c:pt idx="16">
                  <c:v>210</c:v>
                </c:pt>
                <c:pt idx="17">
                  <c:v>220</c:v>
                </c:pt>
                <c:pt idx="18">
                  <c:v>230</c:v>
                </c:pt>
                <c:pt idx="19">
                  <c:v>240</c:v>
                </c:pt>
                <c:pt idx="20">
                  <c:v>250</c:v>
                </c:pt>
                <c:pt idx="21">
                  <c:v>260</c:v>
                </c:pt>
                <c:pt idx="22">
                  <c:v>270</c:v>
                </c:pt>
                <c:pt idx="23">
                  <c:v>280</c:v>
                </c:pt>
                <c:pt idx="24">
                  <c:v>290</c:v>
                </c:pt>
                <c:pt idx="25">
                  <c:v>300</c:v>
                </c:pt>
                <c:pt idx="26">
                  <c:v>310</c:v>
                </c:pt>
                <c:pt idx="27">
                  <c:v>320</c:v>
                </c:pt>
                <c:pt idx="28">
                  <c:v>330</c:v>
                </c:pt>
                <c:pt idx="29">
                  <c:v>340</c:v>
                </c:pt>
                <c:pt idx="30">
                  <c:v>350</c:v>
                </c:pt>
                <c:pt idx="31">
                  <c:v>360</c:v>
                </c:pt>
                <c:pt idx="32">
                  <c:v>370</c:v>
                </c:pt>
                <c:pt idx="33">
                  <c:v>380</c:v>
                </c:pt>
                <c:pt idx="34">
                  <c:v>390</c:v>
                </c:pt>
                <c:pt idx="35">
                  <c:v>400</c:v>
                </c:pt>
                <c:pt idx="36">
                  <c:v>410</c:v>
                </c:pt>
                <c:pt idx="37">
                  <c:v>420</c:v>
                </c:pt>
                <c:pt idx="38">
                  <c:v>430</c:v>
                </c:pt>
                <c:pt idx="39">
                  <c:v>440</c:v>
                </c:pt>
                <c:pt idx="40">
                  <c:v>450</c:v>
                </c:pt>
                <c:pt idx="41">
                  <c:v>460</c:v>
                </c:pt>
                <c:pt idx="42">
                  <c:v>470</c:v>
                </c:pt>
                <c:pt idx="43">
                  <c:v>480</c:v>
                </c:pt>
                <c:pt idx="44">
                  <c:v>490</c:v>
                </c:pt>
                <c:pt idx="45">
                  <c:v>500</c:v>
                </c:pt>
                <c:pt idx="46">
                  <c:v>510</c:v>
                </c:pt>
                <c:pt idx="47">
                  <c:v>520</c:v>
                </c:pt>
                <c:pt idx="48">
                  <c:v>530</c:v>
                </c:pt>
                <c:pt idx="49">
                  <c:v>540</c:v>
                </c:pt>
                <c:pt idx="50">
                  <c:v>550</c:v>
                </c:pt>
                <c:pt idx="51">
                  <c:v>560</c:v>
                </c:pt>
                <c:pt idx="52">
                  <c:v>570</c:v>
                </c:pt>
                <c:pt idx="53">
                  <c:v>580</c:v>
                </c:pt>
                <c:pt idx="54">
                  <c:v>590</c:v>
                </c:pt>
                <c:pt idx="55">
                  <c:v>600</c:v>
                </c:pt>
                <c:pt idx="56">
                  <c:v>610</c:v>
                </c:pt>
                <c:pt idx="57">
                  <c:v>620</c:v>
                </c:pt>
                <c:pt idx="58">
                  <c:v>630</c:v>
                </c:pt>
                <c:pt idx="59">
                  <c:v>640</c:v>
                </c:pt>
                <c:pt idx="60">
                  <c:v>650</c:v>
                </c:pt>
                <c:pt idx="61">
                  <c:v>660</c:v>
                </c:pt>
                <c:pt idx="62">
                  <c:v>670</c:v>
                </c:pt>
                <c:pt idx="63">
                  <c:v>680</c:v>
                </c:pt>
                <c:pt idx="64">
                  <c:v>690</c:v>
                </c:pt>
                <c:pt idx="65">
                  <c:v>700</c:v>
                </c:pt>
                <c:pt idx="66">
                  <c:v>710</c:v>
                </c:pt>
                <c:pt idx="67">
                  <c:v>720</c:v>
                </c:pt>
                <c:pt idx="68">
                  <c:v>730</c:v>
                </c:pt>
                <c:pt idx="69">
                  <c:v>740</c:v>
                </c:pt>
                <c:pt idx="70">
                  <c:v>750</c:v>
                </c:pt>
                <c:pt idx="71">
                  <c:v>760</c:v>
                </c:pt>
                <c:pt idx="72">
                  <c:v>770</c:v>
                </c:pt>
                <c:pt idx="73">
                  <c:v>780</c:v>
                </c:pt>
                <c:pt idx="74">
                  <c:v>790</c:v>
                </c:pt>
                <c:pt idx="75">
                  <c:v>800</c:v>
                </c:pt>
                <c:pt idx="76">
                  <c:v>810</c:v>
                </c:pt>
                <c:pt idx="77">
                  <c:v>820</c:v>
                </c:pt>
                <c:pt idx="78">
                  <c:v>830</c:v>
                </c:pt>
                <c:pt idx="79">
                  <c:v>840</c:v>
                </c:pt>
                <c:pt idx="80">
                  <c:v>850</c:v>
                </c:pt>
                <c:pt idx="81">
                  <c:v>860</c:v>
                </c:pt>
                <c:pt idx="82">
                  <c:v>870</c:v>
                </c:pt>
                <c:pt idx="83">
                  <c:v>880</c:v>
                </c:pt>
                <c:pt idx="84">
                  <c:v>890</c:v>
                </c:pt>
                <c:pt idx="85">
                  <c:v>900</c:v>
                </c:pt>
                <c:pt idx="86">
                  <c:v>910</c:v>
                </c:pt>
                <c:pt idx="87">
                  <c:v>920</c:v>
                </c:pt>
                <c:pt idx="88">
                  <c:v>930</c:v>
                </c:pt>
                <c:pt idx="89">
                  <c:v>940</c:v>
                </c:pt>
                <c:pt idx="90">
                  <c:v>950</c:v>
                </c:pt>
                <c:pt idx="91">
                  <c:v>960</c:v>
                </c:pt>
                <c:pt idx="92">
                  <c:v>970</c:v>
                </c:pt>
                <c:pt idx="93">
                  <c:v>980</c:v>
                </c:pt>
                <c:pt idx="94">
                  <c:v>990</c:v>
                </c:pt>
                <c:pt idx="95">
                  <c:v>1000</c:v>
                </c:pt>
                <c:pt idx="96">
                  <c:v>1010</c:v>
                </c:pt>
                <c:pt idx="97">
                  <c:v>1020</c:v>
                </c:pt>
                <c:pt idx="98">
                  <c:v>1030</c:v>
                </c:pt>
                <c:pt idx="99">
                  <c:v>1040</c:v>
                </c:pt>
                <c:pt idx="100">
                  <c:v>1050</c:v>
                </c:pt>
                <c:pt idx="101">
                  <c:v>1060</c:v>
                </c:pt>
                <c:pt idx="102">
                  <c:v>1070</c:v>
                </c:pt>
                <c:pt idx="103">
                  <c:v>1080</c:v>
                </c:pt>
                <c:pt idx="104">
                  <c:v>1090</c:v>
                </c:pt>
                <c:pt idx="105">
                  <c:v>1100</c:v>
                </c:pt>
                <c:pt idx="106">
                  <c:v>1110</c:v>
                </c:pt>
                <c:pt idx="107">
                  <c:v>1120</c:v>
                </c:pt>
                <c:pt idx="108">
                  <c:v>1130</c:v>
                </c:pt>
                <c:pt idx="109">
                  <c:v>1140</c:v>
                </c:pt>
                <c:pt idx="110">
                  <c:v>1150</c:v>
                </c:pt>
                <c:pt idx="111">
                  <c:v>1160</c:v>
                </c:pt>
                <c:pt idx="112">
                  <c:v>1170</c:v>
                </c:pt>
                <c:pt idx="113">
                  <c:v>1180</c:v>
                </c:pt>
                <c:pt idx="114">
                  <c:v>1190</c:v>
                </c:pt>
                <c:pt idx="115">
                  <c:v>1200</c:v>
                </c:pt>
                <c:pt idx="116">
                  <c:v>1210</c:v>
                </c:pt>
                <c:pt idx="117">
                  <c:v>1220</c:v>
                </c:pt>
              </c:numCache>
            </c:numRef>
          </c:xVal>
          <c:yVal>
            <c:numRef>
              <c:f>Cu_1stPhase!$F$2:$F$200</c:f>
              <c:numCache>
                <c:formatCode>General</c:formatCode>
                <c:ptCount val="199"/>
                <c:pt idx="0">
                  <c:v>75.696464999999989</c:v>
                </c:pt>
                <c:pt idx="1">
                  <c:v>75.470878999999968</c:v>
                </c:pt>
                <c:pt idx="2">
                  <c:v>75.772637000000032</c:v>
                </c:pt>
                <c:pt idx="3">
                  <c:v>74.439141000000063</c:v>
                </c:pt>
                <c:pt idx="4">
                  <c:v>74.716607000000067</c:v>
                </c:pt>
                <c:pt idx="5">
                  <c:v>75.047416999999996</c:v>
                </c:pt>
                <c:pt idx="6">
                  <c:v>74.355033999999932</c:v>
                </c:pt>
                <c:pt idx="7">
                  <c:v>73.279960999999957</c:v>
                </c:pt>
                <c:pt idx="8">
                  <c:v>73.558770000000095</c:v>
                </c:pt>
                <c:pt idx="9">
                  <c:v>72.1588670000001</c:v>
                </c:pt>
                <c:pt idx="10">
                  <c:v>71.492240999999922</c:v>
                </c:pt>
                <c:pt idx="11">
                  <c:v>70.055352000000084</c:v>
                </c:pt>
                <c:pt idx="12">
                  <c:v>68.946464999999989</c:v>
                </c:pt>
                <c:pt idx="13">
                  <c:v>67.860771999999997</c:v>
                </c:pt>
                <c:pt idx="14">
                  <c:v>65.91265199999998</c:v>
                </c:pt>
                <c:pt idx="15">
                  <c:v>63.597099999999955</c:v>
                </c:pt>
                <c:pt idx="16">
                  <c:v>59.081719000000021</c:v>
                </c:pt>
                <c:pt idx="17">
                  <c:v>54.651421000000028</c:v>
                </c:pt>
                <c:pt idx="18">
                  <c:v>51.746879999999919</c:v>
                </c:pt>
                <c:pt idx="19">
                  <c:v>48.125663999999915</c:v>
                </c:pt>
                <c:pt idx="20">
                  <c:v>45.163872000000083</c:v>
                </c:pt>
                <c:pt idx="21">
                  <c:v>43.369439000000057</c:v>
                </c:pt>
                <c:pt idx="22">
                  <c:v>41.857232000000067</c:v>
                </c:pt>
                <c:pt idx="23">
                  <c:v>40.57842299999993</c:v>
                </c:pt>
                <c:pt idx="24">
                  <c:v>40.321709000000055</c:v>
                </c:pt>
                <c:pt idx="25">
                  <c:v>39.252128999999968</c:v>
                </c:pt>
                <c:pt idx="26">
                  <c:v>38.601249999999936</c:v>
                </c:pt>
                <c:pt idx="27">
                  <c:v>38.748832999999877</c:v>
                </c:pt>
                <c:pt idx="28">
                  <c:v>38.542046000000028</c:v>
                </c:pt>
                <c:pt idx="29">
                  <c:v>37.875786000000062</c:v>
                </c:pt>
                <c:pt idx="30">
                  <c:v>37.07476100000008</c:v>
                </c:pt>
                <c:pt idx="31">
                  <c:v>37.125663999999915</c:v>
                </c:pt>
                <c:pt idx="32">
                  <c:v>37.585137000000032</c:v>
                </c:pt>
                <c:pt idx="33">
                  <c:v>36.516166999999996</c:v>
                </c:pt>
                <c:pt idx="34">
                  <c:v>35.874565999999959</c:v>
                </c:pt>
                <c:pt idx="35">
                  <c:v>36.816825999999992</c:v>
                </c:pt>
                <c:pt idx="36">
                  <c:v>35.817070000000058</c:v>
                </c:pt>
                <c:pt idx="37">
                  <c:v>35.484795000000076</c:v>
                </c:pt>
                <c:pt idx="38">
                  <c:v>34.439141000000063</c:v>
                </c:pt>
                <c:pt idx="39">
                  <c:v>33.869193999999879</c:v>
                </c:pt>
                <c:pt idx="40">
                  <c:v>33.293022999999948</c:v>
                </c:pt>
                <c:pt idx="41">
                  <c:v>33.704521999999997</c:v>
                </c:pt>
                <c:pt idx="42">
                  <c:v>34.51934099999994</c:v>
                </c:pt>
                <c:pt idx="43">
                  <c:v>34.545464000000038</c:v>
                </c:pt>
                <c:pt idx="44">
                  <c:v>32.613945000000058</c:v>
                </c:pt>
                <c:pt idx="45">
                  <c:v>31.286552999999913</c:v>
                </c:pt>
                <c:pt idx="46">
                  <c:v>30.525932999999895</c:v>
                </c:pt>
                <c:pt idx="47">
                  <c:v>30.202935000000025</c:v>
                </c:pt>
                <c:pt idx="48">
                  <c:v>29.866631000000098</c:v>
                </c:pt>
                <c:pt idx="49">
                  <c:v>29.622368000000051</c:v>
                </c:pt>
                <c:pt idx="50">
                  <c:v>27.314628999999968</c:v>
                </c:pt>
                <c:pt idx="51">
                  <c:v>25.42827699999998</c:v>
                </c:pt>
                <c:pt idx="52">
                  <c:v>23.641045000000076</c:v>
                </c:pt>
                <c:pt idx="53">
                  <c:v>22.524224000000004</c:v>
                </c:pt>
                <c:pt idx="54">
                  <c:v>21.926934000000074</c:v>
                </c:pt>
                <c:pt idx="55">
                  <c:v>21.229423999999881</c:v>
                </c:pt>
                <c:pt idx="56">
                  <c:v>21.465142000000014</c:v>
                </c:pt>
                <c:pt idx="57">
                  <c:v>20.723930999999993</c:v>
                </c:pt>
                <c:pt idx="58">
                  <c:v>21.274834000000055</c:v>
                </c:pt>
                <c:pt idx="59">
                  <c:v>20.467582999999877</c:v>
                </c:pt>
                <c:pt idx="60">
                  <c:v>20.468315999999959</c:v>
                </c:pt>
                <c:pt idx="61">
                  <c:v>20.402520000000095</c:v>
                </c:pt>
                <c:pt idx="62">
                  <c:v>19.942315000000008</c:v>
                </c:pt>
                <c:pt idx="63">
                  <c:v>19.76592299999993</c:v>
                </c:pt>
                <c:pt idx="64">
                  <c:v>19.262383</c:v>
                </c:pt>
                <c:pt idx="65">
                  <c:v>19.119805000000042</c:v>
                </c:pt>
                <c:pt idx="66">
                  <c:v>17.611259999999902</c:v>
                </c:pt>
                <c:pt idx="67">
                  <c:v>15.919732000000067</c:v>
                </c:pt>
                <c:pt idx="68">
                  <c:v>15.142753999999968</c:v>
                </c:pt>
                <c:pt idx="69">
                  <c:v>14.893485999999939</c:v>
                </c:pt>
                <c:pt idx="70">
                  <c:v>15.409844000000021</c:v>
                </c:pt>
                <c:pt idx="71">
                  <c:v>14.598686999999927</c:v>
                </c:pt>
                <c:pt idx="72">
                  <c:v>14.368584000000055</c:v>
                </c:pt>
                <c:pt idx="73">
                  <c:v>14.406670000000076</c:v>
                </c:pt>
                <c:pt idx="74">
                  <c:v>14.127007000000049</c:v>
                </c:pt>
                <c:pt idx="75">
                  <c:v>14.17461400000002</c:v>
                </c:pt>
                <c:pt idx="76">
                  <c:v>12.185600999999906</c:v>
                </c:pt>
                <c:pt idx="77">
                  <c:v>13.210503000000017</c:v>
                </c:pt>
                <c:pt idx="78">
                  <c:v>13.21819400000004</c:v>
                </c:pt>
                <c:pt idx="79">
                  <c:v>12.719657999999981</c:v>
                </c:pt>
                <c:pt idx="80">
                  <c:v>12.917656000000079</c:v>
                </c:pt>
                <c:pt idx="81">
                  <c:v>12.555108000000018</c:v>
                </c:pt>
                <c:pt idx="82">
                  <c:v>12.295098000000053</c:v>
                </c:pt>
                <c:pt idx="83">
                  <c:v>12.606743000000051</c:v>
                </c:pt>
                <c:pt idx="84">
                  <c:v>12.536918999999898</c:v>
                </c:pt>
                <c:pt idx="85">
                  <c:v>12.318046999999979</c:v>
                </c:pt>
                <c:pt idx="86">
                  <c:v>12.53765199999998</c:v>
                </c:pt>
                <c:pt idx="87">
                  <c:v>12.715995999999905</c:v>
                </c:pt>
                <c:pt idx="88">
                  <c:v>12.054374999999936</c:v>
                </c:pt>
                <c:pt idx="89">
                  <c:v>13.067802999999913</c:v>
                </c:pt>
                <c:pt idx="90">
                  <c:v>11.710503000000017</c:v>
                </c:pt>
                <c:pt idx="91">
                  <c:v>12.40898900000002</c:v>
                </c:pt>
                <c:pt idx="92">
                  <c:v>12.52556699999991</c:v>
                </c:pt>
                <c:pt idx="93">
                  <c:v>11.747489999999971</c:v>
                </c:pt>
                <c:pt idx="94">
                  <c:v>12.196952999999894</c:v>
                </c:pt>
                <c:pt idx="95">
                  <c:v>11.95952699999998</c:v>
                </c:pt>
                <c:pt idx="96">
                  <c:v>10.988700999999992</c:v>
                </c:pt>
                <c:pt idx="97">
                  <c:v>11.967339000000038</c:v>
                </c:pt>
                <c:pt idx="98">
                  <c:v>12.371026000000029</c:v>
                </c:pt>
                <c:pt idx="99">
                  <c:v>11.759452999999894</c:v>
                </c:pt>
                <c:pt idx="100">
                  <c:v>12.487358999999969</c:v>
                </c:pt>
                <c:pt idx="101">
                  <c:v>12.226494000000002</c:v>
                </c:pt>
                <c:pt idx="102">
                  <c:v>12.308770000000095</c:v>
                </c:pt>
                <c:pt idx="103">
                  <c:v>12.708671999999979</c:v>
                </c:pt>
                <c:pt idx="104">
                  <c:v>12.375663999999915</c:v>
                </c:pt>
                <c:pt idx="105">
                  <c:v>12.432915000000094</c:v>
                </c:pt>
                <c:pt idx="106">
                  <c:v>12.119193999999879</c:v>
                </c:pt>
                <c:pt idx="107">
                  <c:v>11.954643999999917</c:v>
                </c:pt>
                <c:pt idx="108">
                  <c:v>13.047295000000076</c:v>
                </c:pt>
                <c:pt idx="109">
                  <c:v>12.825127000000066</c:v>
                </c:pt>
                <c:pt idx="110">
                  <c:v>12.104546000000028</c:v>
                </c:pt>
                <c:pt idx="111">
                  <c:v>12.784110999999939</c:v>
                </c:pt>
                <c:pt idx="112">
                  <c:v>11.979301999999961</c:v>
                </c:pt>
                <c:pt idx="113">
                  <c:v>12.633599000000004</c:v>
                </c:pt>
                <c:pt idx="114">
                  <c:v>13.136527999999998</c:v>
                </c:pt>
                <c:pt idx="115">
                  <c:v>13.408744999999954</c:v>
                </c:pt>
                <c:pt idx="116">
                  <c:v>14.682426999999961</c:v>
                </c:pt>
                <c:pt idx="117">
                  <c:v>99.537773999999899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A2-4077-96A7-43C7D7D72D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1622239"/>
        <c:axId val="1481622655"/>
      </c:scatterChart>
      <c:valAx>
        <c:axId val="1481622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655"/>
        <c:crosses val="autoZero"/>
        <c:crossBetween val="midCat"/>
      </c:valAx>
      <c:valAx>
        <c:axId val="148162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ln(f(x)) -&gt;</a:t>
            </a:r>
            <a:r>
              <a:rPr lang="fr-CH" baseline="0"/>
              <a:t> All Values</a:t>
            </a:r>
            <a:endParaRPr lang="fr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6986723534558179"/>
                  <c:y val="-0.3534179060950714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PANI_1stPhase!$G$2:$G$194</c:f>
              <c:numCache>
                <c:formatCode>General</c:formatCode>
                <c:ptCount val="193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</c:numCache>
            </c:numRef>
          </c:xVal>
          <c:yVal>
            <c:numRef>
              <c:f>PANI_1stPhase!$I$2:$I$194</c:f>
              <c:numCache>
                <c:formatCode>General</c:formatCode>
                <c:ptCount val="193"/>
                <c:pt idx="0">
                  <c:v>7.5773657291124632</c:v>
                </c:pt>
                <c:pt idx="1">
                  <c:v>7.5735473211987188</c:v>
                </c:pt>
                <c:pt idx="2">
                  <c:v>7.5700854715667214</c:v>
                </c:pt>
                <c:pt idx="3">
                  <c:v>7.5666224605746022</c:v>
                </c:pt>
                <c:pt idx="4">
                  <c:v>7.5644882826589477</c:v>
                </c:pt>
                <c:pt idx="5">
                  <c:v>7.5626804223059603</c:v>
                </c:pt>
                <c:pt idx="6">
                  <c:v>7.5609530139277883</c:v>
                </c:pt>
                <c:pt idx="7">
                  <c:v>7.5595411758815763</c:v>
                </c:pt>
                <c:pt idx="8">
                  <c:v>7.557944561645038</c:v>
                </c:pt>
                <c:pt idx="9">
                  <c:v>7.5570247427209098</c:v>
                </c:pt>
                <c:pt idx="10">
                  <c:v>7.5554752015347955</c:v>
                </c:pt>
                <c:pt idx="11">
                  <c:v>7.5555007498461348</c:v>
                </c:pt>
                <c:pt idx="12">
                  <c:v>7.5536707939825352</c:v>
                </c:pt>
                <c:pt idx="13">
                  <c:v>7.5525614103554171</c:v>
                </c:pt>
                <c:pt idx="14">
                  <c:v>7.5523778026224813</c:v>
                </c:pt>
                <c:pt idx="15">
                  <c:v>7.5512082916593943</c:v>
                </c:pt>
                <c:pt idx="16">
                  <c:v>7.5510328401954885</c:v>
                </c:pt>
                <c:pt idx="17">
                  <c:v>7.5504130924446899</c:v>
                </c:pt>
                <c:pt idx="18">
                  <c:v>7.5500134576278413</c:v>
                </c:pt>
                <c:pt idx="19">
                  <c:v>7.5491159435407464</c:v>
                </c:pt>
                <c:pt idx="20">
                  <c:v>7.5485601598776775</c:v>
                </c:pt>
                <c:pt idx="21">
                  <c:v>7.5477735356275755</c:v>
                </c:pt>
                <c:pt idx="22">
                  <c:v>7.5471637433358865</c:v>
                </c:pt>
                <c:pt idx="23">
                  <c:v>7.5469973715997103</c:v>
                </c:pt>
                <c:pt idx="24">
                  <c:v>7.5467254369938672</c:v>
                </c:pt>
                <c:pt idx="25">
                  <c:v>7.54614279211407</c:v>
                </c:pt>
                <c:pt idx="26">
                  <c:v>7.5454811693229775</c:v>
                </c:pt>
                <c:pt idx="27">
                  <c:v>7.5451672629184632</c:v>
                </c:pt>
                <c:pt idx="28">
                  <c:v>7.5445391538140028</c:v>
                </c:pt>
                <c:pt idx="29">
                  <c:v>7.5444597247780525</c:v>
                </c:pt>
                <c:pt idx="30">
                  <c:v>7.5438717518414755</c:v>
                </c:pt>
                <c:pt idx="31">
                  <c:v>7.543457211157274</c:v>
                </c:pt>
                <c:pt idx="32">
                  <c:v>7.5429405720624452</c:v>
                </c:pt>
                <c:pt idx="33">
                  <c:v>7.5426907570118358</c:v>
                </c:pt>
                <c:pt idx="34">
                  <c:v>7.5421506139225647</c:v>
                </c:pt>
                <c:pt idx="35">
                  <c:v>7.5417039521845943</c:v>
                </c:pt>
                <c:pt idx="36">
                  <c:v>7.5413661202063906</c:v>
                </c:pt>
                <c:pt idx="37">
                  <c:v>7.5407017819423476</c:v>
                </c:pt>
                <c:pt idx="38">
                  <c:v>7.5404770174193052</c:v>
                </c:pt>
                <c:pt idx="39">
                  <c:v>7.5407041157937407</c:v>
                </c:pt>
                <c:pt idx="40">
                  <c:v>7.5403970058435954</c:v>
                </c:pt>
                <c:pt idx="41">
                  <c:v>7.5396544175021365</c:v>
                </c:pt>
                <c:pt idx="42">
                  <c:v>7.5390872449700383</c:v>
                </c:pt>
                <c:pt idx="43">
                  <c:v>7.5388390626224657</c:v>
                </c:pt>
                <c:pt idx="44">
                  <c:v>7.5390256270995701</c:v>
                </c:pt>
                <c:pt idx="45">
                  <c:v>7.5383410838969134</c:v>
                </c:pt>
                <c:pt idx="46">
                  <c:v>7.5380123837715658</c:v>
                </c:pt>
                <c:pt idx="47">
                  <c:v>7.5382657096905872</c:v>
                </c:pt>
                <c:pt idx="48">
                  <c:v>7.5374579360374856</c:v>
                </c:pt>
                <c:pt idx="49">
                  <c:v>7.5376376058789534</c:v>
                </c:pt>
                <c:pt idx="50">
                  <c:v>7.5371341494491517</c:v>
                </c:pt>
                <c:pt idx="51">
                  <c:v>7.5369746244311688</c:v>
                </c:pt>
                <c:pt idx="52">
                  <c:v>7.5365844868819076</c:v>
                </c:pt>
                <c:pt idx="53">
                  <c:v>7.5365143174970086</c:v>
                </c:pt>
                <c:pt idx="54">
                  <c:v>7.5357405019750665</c:v>
                </c:pt>
                <c:pt idx="55">
                  <c:v>7.5357109257714976</c:v>
                </c:pt>
                <c:pt idx="56">
                  <c:v>7.5358707175911208</c:v>
                </c:pt>
                <c:pt idx="57">
                  <c:v>7.5356903393209125</c:v>
                </c:pt>
                <c:pt idx="58">
                  <c:v>7.5355316257283924</c:v>
                </c:pt>
                <c:pt idx="59">
                  <c:v>7.5351270409621636</c:v>
                </c:pt>
                <c:pt idx="60">
                  <c:v>7.5350334964256147</c:v>
                </c:pt>
                <c:pt idx="61">
                  <c:v>7.5351758633227277</c:v>
                </c:pt>
                <c:pt idx="62">
                  <c:v>7.5342030116832346</c:v>
                </c:pt>
                <c:pt idx="63">
                  <c:v>7.5343843109010136</c:v>
                </c:pt>
                <c:pt idx="64">
                  <c:v>7.5343892684264286</c:v>
                </c:pt>
                <c:pt idx="65">
                  <c:v>7.5339941406506084</c:v>
                </c:pt>
                <c:pt idx="66">
                  <c:v>7.5338429901496236</c:v>
                </c:pt>
                <c:pt idx="67">
                  <c:v>7.5335128726429552</c:v>
                </c:pt>
                <c:pt idx="68">
                  <c:v>7.5333646535765171</c:v>
                </c:pt>
                <c:pt idx="69">
                  <c:v>7.5331808831883498</c:v>
                </c:pt>
                <c:pt idx="70">
                  <c:v>7.5330203992687101</c:v>
                </c:pt>
                <c:pt idx="71">
                  <c:v>7.5332496540511968</c:v>
                </c:pt>
                <c:pt idx="72">
                  <c:v>7.5330458743800941</c:v>
                </c:pt>
                <c:pt idx="73">
                  <c:v>7.5327115737000847</c:v>
                </c:pt>
                <c:pt idx="74">
                  <c:v>7.5327337899145874</c:v>
                </c:pt>
                <c:pt idx="75">
                  <c:v>7.5322878691763764</c:v>
                </c:pt>
                <c:pt idx="76">
                  <c:v>7.5322277267293698</c:v>
                </c:pt>
                <c:pt idx="77">
                  <c:v>7.5322196855056607</c:v>
                </c:pt>
                <c:pt idx="78">
                  <c:v>7.5317771332119472</c:v>
                </c:pt>
                <c:pt idx="79">
                  <c:v>7.5313216902770925</c:v>
                </c:pt>
                <c:pt idx="80">
                  <c:v>7.5315156813769377</c:v>
                </c:pt>
                <c:pt idx="81">
                  <c:v>7.5313215594859289</c:v>
                </c:pt>
                <c:pt idx="82">
                  <c:v>7.53127235238503</c:v>
                </c:pt>
                <c:pt idx="83">
                  <c:v>7.5312485329992329</c:v>
                </c:pt>
                <c:pt idx="84">
                  <c:v>7.5299955259779194</c:v>
                </c:pt>
                <c:pt idx="85">
                  <c:v>7.5296974960398249</c:v>
                </c:pt>
                <c:pt idx="86">
                  <c:v>7.5296039667948511</c:v>
                </c:pt>
                <c:pt idx="87">
                  <c:v>7.5292201880731211</c:v>
                </c:pt>
                <c:pt idx="88">
                  <c:v>7.5292808393136088</c:v>
                </c:pt>
                <c:pt idx="89">
                  <c:v>7.5294526758881686</c:v>
                </c:pt>
                <c:pt idx="90">
                  <c:v>7.5293919034883485</c:v>
                </c:pt>
                <c:pt idx="91">
                  <c:v>7.5293644993842666</c:v>
                </c:pt>
                <c:pt idx="92">
                  <c:v>7.5294077032712527</c:v>
                </c:pt>
                <c:pt idx="93">
                  <c:v>7.5289363570239631</c:v>
                </c:pt>
                <c:pt idx="94">
                  <c:v>7.529111268730567</c:v>
                </c:pt>
                <c:pt idx="95">
                  <c:v>7.5291698938751503</c:v>
                </c:pt>
                <c:pt idx="96">
                  <c:v>7.5293339471523222</c:v>
                </c:pt>
                <c:pt idx="97">
                  <c:v>7.5295258330960353</c:v>
                </c:pt>
                <c:pt idx="98">
                  <c:v>7.5292812985548627</c:v>
                </c:pt>
                <c:pt idx="99">
                  <c:v>7.5294179959014906</c:v>
                </c:pt>
                <c:pt idx="100">
                  <c:v>7.5294794873937052</c:v>
                </c:pt>
                <c:pt idx="101">
                  <c:v>7.5296844535642631</c:v>
                </c:pt>
                <c:pt idx="102">
                  <c:v>7.5295641140444944</c:v>
                </c:pt>
                <c:pt idx="103">
                  <c:v>7.5293113276409578</c:v>
                </c:pt>
                <c:pt idx="104">
                  <c:v>7.5293944604503285</c:v>
                </c:pt>
                <c:pt idx="105">
                  <c:v>7.5295763059254357</c:v>
                </c:pt>
                <c:pt idx="106">
                  <c:v>7.529262021520446</c:v>
                </c:pt>
                <c:pt idx="107">
                  <c:v>7.5296845190669934</c:v>
                </c:pt>
                <c:pt idx="108">
                  <c:v>7.5295232764699485</c:v>
                </c:pt>
                <c:pt idx="109">
                  <c:v>7.5296222535632547</c:v>
                </c:pt>
                <c:pt idx="110">
                  <c:v>7.5296634151536281</c:v>
                </c:pt>
                <c:pt idx="111">
                  <c:v>7.5295954458852723</c:v>
                </c:pt>
                <c:pt idx="112">
                  <c:v>7.5302923537149269</c:v>
                </c:pt>
                <c:pt idx="113">
                  <c:v>7.5298770586874895</c:v>
                </c:pt>
                <c:pt idx="114">
                  <c:v>7.5300998940462707</c:v>
                </c:pt>
                <c:pt idx="115">
                  <c:v>7.5305122806685629</c:v>
                </c:pt>
                <c:pt idx="116">
                  <c:v>7.5304246562680115</c:v>
                </c:pt>
                <c:pt idx="117">
                  <c:v>7.5307961228470477</c:v>
                </c:pt>
                <c:pt idx="118">
                  <c:v>7.5307017142262982</c:v>
                </c:pt>
                <c:pt idx="119">
                  <c:v>7.5309042700351245</c:v>
                </c:pt>
                <c:pt idx="120">
                  <c:v>7.5310444110402663</c:v>
                </c:pt>
                <c:pt idx="121">
                  <c:v>7.5309843905490244</c:v>
                </c:pt>
                <c:pt idx="122">
                  <c:v>7.5311893101458383</c:v>
                </c:pt>
                <c:pt idx="123">
                  <c:v>7.531503774652581</c:v>
                </c:pt>
                <c:pt idx="124">
                  <c:v>7.5312827566373599</c:v>
                </c:pt>
                <c:pt idx="125">
                  <c:v>7.5324313460229089</c:v>
                </c:pt>
                <c:pt idx="126">
                  <c:v>7.53272817060357</c:v>
                </c:pt>
                <c:pt idx="127">
                  <c:v>7.5331201411114534</c:v>
                </c:pt>
                <c:pt idx="128">
                  <c:v>7.5337790249257752</c:v>
                </c:pt>
                <c:pt idx="129">
                  <c:v>7.5340154800001979</c:v>
                </c:pt>
                <c:pt idx="130">
                  <c:v>7.5356972447470083</c:v>
                </c:pt>
                <c:pt idx="131">
                  <c:v>7.540956825598701</c:v>
                </c:pt>
                <c:pt idx="132">
                  <c:v>7.5380272029461688</c:v>
                </c:pt>
                <c:pt idx="133">
                  <c:v>7.5373329349090543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2B-4E42-B691-A4D19E401D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709055"/>
        <c:axId val="1502709471"/>
      </c:scatterChart>
      <c:valAx>
        <c:axId val="1502709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471"/>
        <c:crosses val="autoZero"/>
        <c:crossBetween val="midCat"/>
      </c:valAx>
      <c:valAx>
        <c:axId val="150270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f(x) -&gt; All Values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9.6724846894138239E-2"/>
                  <c:y val="-0.38570793234179063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6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fr-CH" baseline="0"/>
                      <a:t>y = </a:t>
                    </a:r>
                    <a:r>
                      <a:rPr lang="fr-CH" sz="1200" baseline="0"/>
                      <a:t>1895.7e</a:t>
                    </a:r>
                    <a:r>
                      <a:rPr lang="fr-CH" sz="1200" baseline="30000"/>
                      <a:t>-2E-06x</a:t>
                    </a:r>
                    <a:r>
                      <a:rPr lang="fr-CH" baseline="0"/>
                      <a:t/>
                    </a:r>
                    <a:br>
                      <a:rPr lang="fr-CH" baseline="0"/>
                    </a:br>
                    <a:r>
                      <a:rPr lang="fr-CH" baseline="0"/>
                      <a:t>R² = 0.0188</a:t>
                    </a:r>
                    <a:endParaRPr lang="fr-CH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6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PANI_1stPhase!$G$2:$G$197</c:f>
              <c:numCache>
                <c:formatCode>General</c:formatCode>
                <c:ptCount val="19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</c:numCache>
            </c:numRef>
          </c:xVal>
          <c:yVal>
            <c:numRef>
              <c:f>PANI_1stPhase!$B$2:$B$197</c:f>
              <c:numCache>
                <c:formatCode>General</c:formatCode>
                <c:ptCount val="196"/>
                <c:pt idx="0">
                  <c:v>1953.4761960000001</c:v>
                </c:pt>
                <c:pt idx="1">
                  <c:v>1946.03125</c:v>
                </c:pt>
                <c:pt idx="2">
                  <c:v>1939.30603</c:v>
                </c:pt>
                <c:pt idx="3">
                  <c:v>1932.601807</c:v>
                </c:pt>
                <c:pt idx="4">
                  <c:v>1928.481689</c:v>
                </c:pt>
                <c:pt idx="5">
                  <c:v>1924.998413</c:v>
                </c:pt>
                <c:pt idx="6">
                  <c:v>1921.676025</c:v>
                </c:pt>
                <c:pt idx="7">
                  <c:v>1918.9648440000001</c:v>
                </c:pt>
                <c:pt idx="8">
                  <c:v>1915.903442</c:v>
                </c:pt>
                <c:pt idx="9">
                  <c:v>1914.1419679999999</c:v>
                </c:pt>
                <c:pt idx="10">
                  <c:v>1911.1782229999999</c:v>
                </c:pt>
                <c:pt idx="11">
                  <c:v>1911.2270510000001</c:v>
                </c:pt>
                <c:pt idx="12">
                  <c:v>1907.732788</c:v>
                </c:pt>
                <c:pt idx="13">
                  <c:v>1905.6175539999999</c:v>
                </c:pt>
                <c:pt idx="14">
                  <c:v>1905.2677000000001</c:v>
                </c:pt>
                <c:pt idx="15">
                  <c:v>1903.0407709999999</c:v>
                </c:pt>
                <c:pt idx="16">
                  <c:v>1902.706909</c:v>
                </c:pt>
                <c:pt idx="17">
                  <c:v>1901.5280760000001</c:v>
                </c:pt>
                <c:pt idx="18">
                  <c:v>1900.768311</c:v>
                </c:pt>
                <c:pt idx="19">
                  <c:v>1899.0631100000001</c:v>
                </c:pt>
                <c:pt idx="20">
                  <c:v>1898.0079350000001</c:v>
                </c:pt>
                <c:pt idx="21">
                  <c:v>1896.5155030000001</c:v>
                </c:pt>
                <c:pt idx="22">
                  <c:v>1895.359375</c:v>
                </c:pt>
                <c:pt idx="23">
                  <c:v>1895.044067</c:v>
                </c:pt>
                <c:pt idx="24">
                  <c:v>1894.5288089999999</c:v>
                </c:pt>
                <c:pt idx="25">
                  <c:v>1893.425293</c:v>
                </c:pt>
                <c:pt idx="26">
                  <c:v>1892.1729740000001</c:v>
                </c:pt>
                <c:pt idx="27">
                  <c:v>1891.5791019999999</c:v>
                </c:pt>
                <c:pt idx="28">
                  <c:v>1890.391357</c:v>
                </c:pt>
                <c:pt idx="29">
                  <c:v>1890.241211</c:v>
                </c:pt>
                <c:pt idx="30">
                  <c:v>1889.1301269999999</c:v>
                </c:pt>
                <c:pt idx="31">
                  <c:v>1888.347168</c:v>
                </c:pt>
                <c:pt idx="32">
                  <c:v>1887.3718260000001</c:v>
                </c:pt>
                <c:pt idx="33">
                  <c:v>1886.9003909999999</c:v>
                </c:pt>
                <c:pt idx="34">
                  <c:v>1885.88147</c:v>
                </c:pt>
                <c:pt idx="35">
                  <c:v>1885.039307</c:v>
                </c:pt>
                <c:pt idx="36">
                  <c:v>1884.4025879999999</c:v>
                </c:pt>
                <c:pt idx="37">
                  <c:v>1883.1511230000001</c:v>
                </c:pt>
                <c:pt idx="38">
                  <c:v>1882.727905</c:v>
                </c:pt>
                <c:pt idx="39">
                  <c:v>1883.155518</c:v>
                </c:pt>
                <c:pt idx="40">
                  <c:v>1882.5772710000001</c:v>
                </c:pt>
                <c:pt idx="41">
                  <c:v>1881.1798100000001</c:v>
                </c:pt>
                <c:pt idx="42">
                  <c:v>1880.113159</c:v>
                </c:pt>
                <c:pt idx="43">
                  <c:v>1879.646606</c:v>
                </c:pt>
                <c:pt idx="44">
                  <c:v>1879.997314</c:v>
                </c:pt>
                <c:pt idx="45">
                  <c:v>1878.7108149999999</c:v>
                </c:pt>
                <c:pt idx="46">
                  <c:v>1878.093384</c:v>
                </c:pt>
                <c:pt idx="47">
                  <c:v>1878.5692140000001</c:v>
                </c:pt>
                <c:pt idx="48">
                  <c:v>1877.0523679999999</c:v>
                </c:pt>
                <c:pt idx="49">
                  <c:v>1877.3896480000001</c:v>
                </c:pt>
                <c:pt idx="50">
                  <c:v>1876.444702</c:v>
                </c:pt>
                <c:pt idx="51">
                  <c:v>1876.1453859999999</c:v>
                </c:pt>
                <c:pt idx="52">
                  <c:v>1875.4135739999999</c:v>
                </c:pt>
                <c:pt idx="53">
                  <c:v>1875.281982</c:v>
                </c:pt>
                <c:pt idx="54">
                  <c:v>1873.8314210000001</c:v>
                </c:pt>
                <c:pt idx="55">
                  <c:v>1873.776001</c:v>
                </c:pt>
                <c:pt idx="56">
                  <c:v>1874.075439</c:v>
                </c:pt>
                <c:pt idx="57">
                  <c:v>1873.737427</c:v>
                </c:pt>
                <c:pt idx="58">
                  <c:v>1873.440063</c:v>
                </c:pt>
                <c:pt idx="59">
                  <c:v>1872.682251</c:v>
                </c:pt>
                <c:pt idx="60">
                  <c:v>1872.5070800000001</c:v>
                </c:pt>
                <c:pt idx="61">
                  <c:v>1872.773682</c:v>
                </c:pt>
                <c:pt idx="62">
                  <c:v>1870.9526370000001</c:v>
                </c:pt>
                <c:pt idx="63">
                  <c:v>1871.29187</c:v>
                </c:pt>
                <c:pt idx="64">
                  <c:v>1871.3011469999999</c:v>
                </c:pt>
                <c:pt idx="65">
                  <c:v>1870.5618899999999</c:v>
                </c:pt>
                <c:pt idx="66">
                  <c:v>1870.2791749999999</c:v>
                </c:pt>
                <c:pt idx="67">
                  <c:v>1869.661865</c:v>
                </c:pt>
                <c:pt idx="68">
                  <c:v>1869.3847659999999</c:v>
                </c:pt>
                <c:pt idx="69">
                  <c:v>1869.04126</c:v>
                </c:pt>
                <c:pt idx="70">
                  <c:v>1868.7413329999999</c:v>
                </c:pt>
                <c:pt idx="71">
                  <c:v>1869.1697999999999</c:v>
                </c:pt>
                <c:pt idx="72">
                  <c:v>1868.7889399999999</c:v>
                </c:pt>
                <c:pt idx="73">
                  <c:v>1868.164307</c:v>
                </c:pt>
                <c:pt idx="74">
                  <c:v>1868.205811</c:v>
                </c:pt>
                <c:pt idx="75">
                  <c:v>1867.3729249999999</c:v>
                </c:pt>
                <c:pt idx="76">
                  <c:v>1867.26062</c:v>
                </c:pt>
                <c:pt idx="77">
                  <c:v>1867.2456050000001</c:v>
                </c:pt>
                <c:pt idx="78">
                  <c:v>1866.4194339999999</c:v>
                </c:pt>
                <c:pt idx="79">
                  <c:v>1865.5695800000001</c:v>
                </c:pt>
                <c:pt idx="80">
                  <c:v>1865.931519</c:v>
                </c:pt>
                <c:pt idx="81">
                  <c:v>1865.569336</c:v>
                </c:pt>
                <c:pt idx="82">
                  <c:v>1865.477539</c:v>
                </c:pt>
                <c:pt idx="83">
                  <c:v>1865.4331050000001</c:v>
                </c:pt>
                <c:pt idx="84">
                  <c:v>1863.097168</c:v>
                </c:pt>
                <c:pt idx="85">
                  <c:v>1862.5419919999999</c:v>
                </c:pt>
                <c:pt idx="86">
                  <c:v>1862.367798</c:v>
                </c:pt>
                <c:pt idx="87">
                  <c:v>1861.653198</c:v>
                </c:pt>
                <c:pt idx="88">
                  <c:v>1861.7661129999999</c:v>
                </c:pt>
                <c:pt idx="89">
                  <c:v>1862.0860600000001</c:v>
                </c:pt>
                <c:pt idx="90">
                  <c:v>1861.9729</c:v>
                </c:pt>
                <c:pt idx="91">
                  <c:v>1861.921875</c:v>
                </c:pt>
                <c:pt idx="92">
                  <c:v>1862.0023189999999</c:v>
                </c:pt>
                <c:pt idx="93">
                  <c:v>1861.1248780000001</c:v>
                </c:pt>
                <c:pt idx="94">
                  <c:v>1861.450439</c:v>
                </c:pt>
                <c:pt idx="95">
                  <c:v>1861.5595699999999</c:v>
                </c:pt>
                <c:pt idx="96">
                  <c:v>1861.86499</c:v>
                </c:pt>
                <c:pt idx="97">
                  <c:v>1862.2222899999999</c:v>
                </c:pt>
                <c:pt idx="98">
                  <c:v>1861.7669679999999</c:v>
                </c:pt>
                <c:pt idx="99">
                  <c:v>1862.0214840000001</c:v>
                </c:pt>
                <c:pt idx="100">
                  <c:v>1862.135986</c:v>
                </c:pt>
                <c:pt idx="101">
                  <c:v>1862.5177000000001</c:v>
                </c:pt>
                <c:pt idx="102">
                  <c:v>1862.2935789999999</c:v>
                </c:pt>
                <c:pt idx="103">
                  <c:v>1861.822876</c:v>
                </c:pt>
                <c:pt idx="104">
                  <c:v>1861.9776609999999</c:v>
                </c:pt>
                <c:pt idx="105">
                  <c:v>1862.316284</c:v>
                </c:pt>
                <c:pt idx="106">
                  <c:v>1861.7310789999999</c:v>
                </c:pt>
                <c:pt idx="107">
                  <c:v>1862.517822</c:v>
                </c:pt>
                <c:pt idx="108">
                  <c:v>1862.217529</c:v>
                </c:pt>
                <c:pt idx="109">
                  <c:v>1862.4018550000001</c:v>
                </c:pt>
                <c:pt idx="110">
                  <c:v>1862.4785159999999</c:v>
                </c:pt>
                <c:pt idx="111">
                  <c:v>1862.3519289999999</c:v>
                </c:pt>
                <c:pt idx="112">
                  <c:v>1863.650269</c:v>
                </c:pt>
                <c:pt idx="113">
                  <c:v>1862.8764650000001</c:v>
                </c:pt>
                <c:pt idx="114">
                  <c:v>1863.291626</c:v>
                </c:pt>
                <c:pt idx="115">
                  <c:v>1864.0601810000001</c:v>
                </c:pt>
                <c:pt idx="116">
                  <c:v>1863.896851</c:v>
                </c:pt>
                <c:pt idx="117">
                  <c:v>1864.5893550000001</c:v>
                </c:pt>
                <c:pt idx="118">
                  <c:v>1864.4133300000001</c:v>
                </c:pt>
                <c:pt idx="119">
                  <c:v>1864.7910159999999</c:v>
                </c:pt>
                <c:pt idx="120">
                  <c:v>1865.0523679999999</c:v>
                </c:pt>
                <c:pt idx="121">
                  <c:v>1864.9404300000001</c:v>
                </c:pt>
                <c:pt idx="122">
                  <c:v>1865.3226320000001</c:v>
                </c:pt>
                <c:pt idx="123">
                  <c:v>1865.909302</c:v>
                </c:pt>
                <c:pt idx="124">
                  <c:v>1865.496948</c:v>
                </c:pt>
                <c:pt idx="125">
                  <c:v>1867.6408690000001</c:v>
                </c:pt>
                <c:pt idx="126">
                  <c:v>1868.1953129999999</c:v>
                </c:pt>
                <c:pt idx="127">
                  <c:v>1868.9277340000001</c:v>
                </c:pt>
                <c:pt idx="128">
                  <c:v>1870.1595460000001</c:v>
                </c:pt>
                <c:pt idx="129">
                  <c:v>1870.601807</c:v>
                </c:pt>
                <c:pt idx="130">
                  <c:v>1873.750366</c:v>
                </c:pt>
                <c:pt idx="131">
                  <c:v>1883.63147</c:v>
                </c:pt>
                <c:pt idx="132">
                  <c:v>1878.121216</c:v>
                </c:pt>
                <c:pt idx="133">
                  <c:v>1876.817749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53-4A32-8B70-C7CB468108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1622239"/>
        <c:axId val="1481622655"/>
      </c:scatterChart>
      <c:valAx>
        <c:axId val="1481622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655"/>
        <c:crosses val="autoZero"/>
        <c:crossBetween val="midCat"/>
      </c:valAx>
      <c:valAx>
        <c:axId val="148162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ln(f(x)) -&gt; 0 - 1000 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6986723534558179"/>
                  <c:y val="-0.3534179060950714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PANI_1stPhase!$G$2:$G$102</c:f>
              <c:numCache>
                <c:formatCode>General</c:formatCode>
                <c:ptCount val="10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</c:numCache>
            </c:numRef>
          </c:xVal>
          <c:yVal>
            <c:numRef>
              <c:f>PANI_1stPhase!$I$2:$I$102</c:f>
              <c:numCache>
                <c:formatCode>General</c:formatCode>
                <c:ptCount val="101"/>
                <c:pt idx="0">
                  <c:v>7.5773657291124632</c:v>
                </c:pt>
                <c:pt idx="1">
                  <c:v>7.5735473211987188</c:v>
                </c:pt>
                <c:pt idx="2">
                  <c:v>7.5700854715667214</c:v>
                </c:pt>
                <c:pt idx="3">
                  <c:v>7.5666224605746022</c:v>
                </c:pt>
                <c:pt idx="4">
                  <c:v>7.5644882826589477</c:v>
                </c:pt>
                <c:pt idx="5">
                  <c:v>7.5626804223059603</c:v>
                </c:pt>
                <c:pt idx="6">
                  <c:v>7.5609530139277883</c:v>
                </c:pt>
                <c:pt idx="7">
                  <c:v>7.5595411758815763</c:v>
                </c:pt>
                <c:pt idx="8">
                  <c:v>7.557944561645038</c:v>
                </c:pt>
                <c:pt idx="9">
                  <c:v>7.5570247427209098</c:v>
                </c:pt>
                <c:pt idx="10">
                  <c:v>7.5554752015347955</c:v>
                </c:pt>
                <c:pt idx="11">
                  <c:v>7.5555007498461348</c:v>
                </c:pt>
                <c:pt idx="12">
                  <c:v>7.5536707939825352</c:v>
                </c:pt>
                <c:pt idx="13">
                  <c:v>7.5525614103554171</c:v>
                </c:pt>
                <c:pt idx="14">
                  <c:v>7.5523778026224813</c:v>
                </c:pt>
                <c:pt idx="15">
                  <c:v>7.5512082916593943</c:v>
                </c:pt>
                <c:pt idx="16">
                  <c:v>7.5510328401954885</c:v>
                </c:pt>
                <c:pt idx="17">
                  <c:v>7.5504130924446899</c:v>
                </c:pt>
                <c:pt idx="18">
                  <c:v>7.5500134576278413</c:v>
                </c:pt>
                <c:pt idx="19">
                  <c:v>7.5491159435407464</c:v>
                </c:pt>
                <c:pt idx="20">
                  <c:v>7.5485601598776775</c:v>
                </c:pt>
                <c:pt idx="21">
                  <c:v>7.5477735356275755</c:v>
                </c:pt>
                <c:pt idx="22">
                  <c:v>7.5471637433358865</c:v>
                </c:pt>
                <c:pt idx="23">
                  <c:v>7.5469973715997103</c:v>
                </c:pt>
                <c:pt idx="24">
                  <c:v>7.5467254369938672</c:v>
                </c:pt>
                <c:pt idx="25">
                  <c:v>7.54614279211407</c:v>
                </c:pt>
                <c:pt idx="26">
                  <c:v>7.5454811693229775</c:v>
                </c:pt>
                <c:pt idx="27">
                  <c:v>7.5451672629184632</c:v>
                </c:pt>
                <c:pt idx="28">
                  <c:v>7.5445391538140028</c:v>
                </c:pt>
                <c:pt idx="29">
                  <c:v>7.5444597247780525</c:v>
                </c:pt>
                <c:pt idx="30">
                  <c:v>7.5438717518414755</c:v>
                </c:pt>
                <c:pt idx="31">
                  <c:v>7.543457211157274</c:v>
                </c:pt>
                <c:pt idx="32">
                  <c:v>7.5429405720624452</c:v>
                </c:pt>
                <c:pt idx="33">
                  <c:v>7.5426907570118358</c:v>
                </c:pt>
                <c:pt idx="34">
                  <c:v>7.5421506139225647</c:v>
                </c:pt>
                <c:pt idx="35">
                  <c:v>7.5417039521845943</c:v>
                </c:pt>
                <c:pt idx="36">
                  <c:v>7.5413661202063906</c:v>
                </c:pt>
                <c:pt idx="37">
                  <c:v>7.5407017819423476</c:v>
                </c:pt>
                <c:pt idx="38">
                  <c:v>7.5404770174193052</c:v>
                </c:pt>
                <c:pt idx="39">
                  <c:v>7.5407041157937407</c:v>
                </c:pt>
                <c:pt idx="40">
                  <c:v>7.5403970058435954</c:v>
                </c:pt>
                <c:pt idx="41">
                  <c:v>7.5396544175021365</c:v>
                </c:pt>
                <c:pt idx="42">
                  <c:v>7.5390872449700383</c:v>
                </c:pt>
                <c:pt idx="43">
                  <c:v>7.5388390626224657</c:v>
                </c:pt>
                <c:pt idx="44">
                  <c:v>7.5390256270995701</c:v>
                </c:pt>
                <c:pt idx="45">
                  <c:v>7.5383410838969134</c:v>
                </c:pt>
                <c:pt idx="46">
                  <c:v>7.5380123837715658</c:v>
                </c:pt>
                <c:pt idx="47">
                  <c:v>7.5382657096905872</c:v>
                </c:pt>
                <c:pt idx="48">
                  <c:v>7.5374579360374856</c:v>
                </c:pt>
                <c:pt idx="49">
                  <c:v>7.5376376058789534</c:v>
                </c:pt>
                <c:pt idx="50">
                  <c:v>7.5371341494491517</c:v>
                </c:pt>
                <c:pt idx="51">
                  <c:v>7.5369746244311688</c:v>
                </c:pt>
                <c:pt idx="52">
                  <c:v>7.5365844868819076</c:v>
                </c:pt>
                <c:pt idx="53">
                  <c:v>7.5365143174970086</c:v>
                </c:pt>
                <c:pt idx="54">
                  <c:v>7.5357405019750665</c:v>
                </c:pt>
                <c:pt idx="55">
                  <c:v>7.5357109257714976</c:v>
                </c:pt>
                <c:pt idx="56">
                  <c:v>7.5358707175911208</c:v>
                </c:pt>
                <c:pt idx="57">
                  <c:v>7.5356903393209125</c:v>
                </c:pt>
                <c:pt idx="58">
                  <c:v>7.5355316257283924</c:v>
                </c:pt>
                <c:pt idx="59">
                  <c:v>7.5351270409621636</c:v>
                </c:pt>
                <c:pt idx="60">
                  <c:v>7.5350334964256147</c:v>
                </c:pt>
                <c:pt idx="61">
                  <c:v>7.5351758633227277</c:v>
                </c:pt>
                <c:pt idx="62">
                  <c:v>7.5342030116832346</c:v>
                </c:pt>
                <c:pt idx="63">
                  <c:v>7.5343843109010136</c:v>
                </c:pt>
                <c:pt idx="64">
                  <c:v>7.5343892684264286</c:v>
                </c:pt>
                <c:pt idx="65">
                  <c:v>7.5339941406506084</c:v>
                </c:pt>
                <c:pt idx="66">
                  <c:v>7.5338429901496236</c:v>
                </c:pt>
                <c:pt idx="67">
                  <c:v>7.5335128726429552</c:v>
                </c:pt>
                <c:pt idx="68">
                  <c:v>7.5333646535765171</c:v>
                </c:pt>
                <c:pt idx="69">
                  <c:v>7.5331808831883498</c:v>
                </c:pt>
                <c:pt idx="70">
                  <c:v>7.5330203992687101</c:v>
                </c:pt>
                <c:pt idx="71">
                  <c:v>7.5332496540511968</c:v>
                </c:pt>
                <c:pt idx="72">
                  <c:v>7.5330458743800941</c:v>
                </c:pt>
                <c:pt idx="73">
                  <c:v>7.5327115737000847</c:v>
                </c:pt>
                <c:pt idx="74">
                  <c:v>7.5327337899145874</c:v>
                </c:pt>
                <c:pt idx="75">
                  <c:v>7.5322878691763764</c:v>
                </c:pt>
                <c:pt idx="76">
                  <c:v>7.5322277267293698</c:v>
                </c:pt>
                <c:pt idx="77">
                  <c:v>7.5322196855056607</c:v>
                </c:pt>
                <c:pt idx="78">
                  <c:v>7.5317771332119472</c:v>
                </c:pt>
                <c:pt idx="79">
                  <c:v>7.5313216902770925</c:v>
                </c:pt>
                <c:pt idx="80">
                  <c:v>7.5315156813769377</c:v>
                </c:pt>
                <c:pt idx="81">
                  <c:v>7.5313215594859289</c:v>
                </c:pt>
                <c:pt idx="82">
                  <c:v>7.53127235238503</c:v>
                </c:pt>
                <c:pt idx="83">
                  <c:v>7.5312485329992329</c:v>
                </c:pt>
                <c:pt idx="84">
                  <c:v>7.5299955259779194</c:v>
                </c:pt>
                <c:pt idx="85">
                  <c:v>7.5296974960398249</c:v>
                </c:pt>
                <c:pt idx="86">
                  <c:v>7.5296039667948511</c:v>
                </c:pt>
                <c:pt idx="87">
                  <c:v>7.5292201880731211</c:v>
                </c:pt>
                <c:pt idx="88">
                  <c:v>7.5292808393136088</c:v>
                </c:pt>
                <c:pt idx="89">
                  <c:v>7.5294526758881686</c:v>
                </c:pt>
                <c:pt idx="90">
                  <c:v>7.5293919034883485</c:v>
                </c:pt>
                <c:pt idx="91">
                  <c:v>7.5293644993842666</c:v>
                </c:pt>
                <c:pt idx="92">
                  <c:v>7.5294077032712527</c:v>
                </c:pt>
                <c:pt idx="93">
                  <c:v>7.5289363570239631</c:v>
                </c:pt>
                <c:pt idx="94">
                  <c:v>7.529111268730567</c:v>
                </c:pt>
                <c:pt idx="95">
                  <c:v>7.5291698938751503</c:v>
                </c:pt>
                <c:pt idx="96">
                  <c:v>7.5293339471523222</c:v>
                </c:pt>
                <c:pt idx="97">
                  <c:v>7.5295258330960353</c:v>
                </c:pt>
                <c:pt idx="98">
                  <c:v>7.5292812985548627</c:v>
                </c:pt>
                <c:pt idx="99">
                  <c:v>7.5294179959014906</c:v>
                </c:pt>
                <c:pt idx="100">
                  <c:v>7.5294794873937052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70-4DE7-91E2-0C1F5752D7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709055"/>
        <c:axId val="1502709471"/>
      </c:scatterChart>
      <c:valAx>
        <c:axId val="1502709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471"/>
        <c:crosses val="autoZero"/>
        <c:crossBetween val="midCat"/>
      </c:valAx>
      <c:valAx>
        <c:axId val="150270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f(x) -&gt; 0 - 1000 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9.6724846894138239E-2"/>
                  <c:y val="-0.3857079323417906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PANI_1stPhase!$G$2:$G$102</c:f>
              <c:numCache>
                <c:formatCode>General</c:formatCode>
                <c:ptCount val="10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</c:numCache>
            </c:numRef>
          </c:xVal>
          <c:yVal>
            <c:numRef>
              <c:f>PANI_1stPhase!$B$2:$B$102</c:f>
              <c:numCache>
                <c:formatCode>General</c:formatCode>
                <c:ptCount val="101"/>
                <c:pt idx="0">
                  <c:v>1953.4761960000001</c:v>
                </c:pt>
                <c:pt idx="1">
                  <c:v>1946.03125</c:v>
                </c:pt>
                <c:pt idx="2">
                  <c:v>1939.30603</c:v>
                </c:pt>
                <c:pt idx="3">
                  <c:v>1932.601807</c:v>
                </c:pt>
                <c:pt idx="4">
                  <c:v>1928.481689</c:v>
                </c:pt>
                <c:pt idx="5">
                  <c:v>1924.998413</c:v>
                </c:pt>
                <c:pt idx="6">
                  <c:v>1921.676025</c:v>
                </c:pt>
                <c:pt idx="7">
                  <c:v>1918.9648440000001</c:v>
                </c:pt>
                <c:pt idx="8">
                  <c:v>1915.903442</c:v>
                </c:pt>
                <c:pt idx="9">
                  <c:v>1914.1419679999999</c:v>
                </c:pt>
                <c:pt idx="10">
                  <c:v>1911.1782229999999</c:v>
                </c:pt>
                <c:pt idx="11">
                  <c:v>1911.2270510000001</c:v>
                </c:pt>
                <c:pt idx="12">
                  <c:v>1907.732788</c:v>
                </c:pt>
                <c:pt idx="13">
                  <c:v>1905.6175539999999</c:v>
                </c:pt>
                <c:pt idx="14">
                  <c:v>1905.2677000000001</c:v>
                </c:pt>
                <c:pt idx="15">
                  <c:v>1903.0407709999999</c:v>
                </c:pt>
                <c:pt idx="16">
                  <c:v>1902.706909</c:v>
                </c:pt>
                <c:pt idx="17">
                  <c:v>1901.5280760000001</c:v>
                </c:pt>
                <c:pt idx="18">
                  <c:v>1900.768311</c:v>
                </c:pt>
                <c:pt idx="19">
                  <c:v>1899.0631100000001</c:v>
                </c:pt>
                <c:pt idx="20">
                  <c:v>1898.0079350000001</c:v>
                </c:pt>
                <c:pt idx="21">
                  <c:v>1896.5155030000001</c:v>
                </c:pt>
                <c:pt idx="22">
                  <c:v>1895.359375</c:v>
                </c:pt>
                <c:pt idx="23">
                  <c:v>1895.044067</c:v>
                </c:pt>
                <c:pt idx="24">
                  <c:v>1894.5288089999999</c:v>
                </c:pt>
                <c:pt idx="25">
                  <c:v>1893.425293</c:v>
                </c:pt>
                <c:pt idx="26">
                  <c:v>1892.1729740000001</c:v>
                </c:pt>
                <c:pt idx="27">
                  <c:v>1891.5791019999999</c:v>
                </c:pt>
                <c:pt idx="28">
                  <c:v>1890.391357</c:v>
                </c:pt>
                <c:pt idx="29">
                  <c:v>1890.241211</c:v>
                </c:pt>
                <c:pt idx="30">
                  <c:v>1889.1301269999999</c:v>
                </c:pt>
                <c:pt idx="31">
                  <c:v>1888.347168</c:v>
                </c:pt>
                <c:pt idx="32">
                  <c:v>1887.3718260000001</c:v>
                </c:pt>
                <c:pt idx="33">
                  <c:v>1886.9003909999999</c:v>
                </c:pt>
                <c:pt idx="34">
                  <c:v>1885.88147</c:v>
                </c:pt>
                <c:pt idx="35">
                  <c:v>1885.039307</c:v>
                </c:pt>
                <c:pt idx="36">
                  <c:v>1884.4025879999999</c:v>
                </c:pt>
                <c:pt idx="37">
                  <c:v>1883.1511230000001</c:v>
                </c:pt>
                <c:pt idx="38">
                  <c:v>1882.727905</c:v>
                </c:pt>
                <c:pt idx="39">
                  <c:v>1883.155518</c:v>
                </c:pt>
                <c:pt idx="40">
                  <c:v>1882.5772710000001</c:v>
                </c:pt>
                <c:pt idx="41">
                  <c:v>1881.1798100000001</c:v>
                </c:pt>
                <c:pt idx="42">
                  <c:v>1880.113159</c:v>
                </c:pt>
                <c:pt idx="43">
                  <c:v>1879.646606</c:v>
                </c:pt>
                <c:pt idx="44">
                  <c:v>1879.997314</c:v>
                </c:pt>
                <c:pt idx="45">
                  <c:v>1878.7108149999999</c:v>
                </c:pt>
                <c:pt idx="46">
                  <c:v>1878.093384</c:v>
                </c:pt>
                <c:pt idx="47">
                  <c:v>1878.5692140000001</c:v>
                </c:pt>
                <c:pt idx="48">
                  <c:v>1877.0523679999999</c:v>
                </c:pt>
                <c:pt idx="49">
                  <c:v>1877.3896480000001</c:v>
                </c:pt>
                <c:pt idx="50">
                  <c:v>1876.444702</c:v>
                </c:pt>
                <c:pt idx="51">
                  <c:v>1876.1453859999999</c:v>
                </c:pt>
                <c:pt idx="52">
                  <c:v>1875.4135739999999</c:v>
                </c:pt>
                <c:pt idx="53">
                  <c:v>1875.281982</c:v>
                </c:pt>
                <c:pt idx="54">
                  <c:v>1873.8314210000001</c:v>
                </c:pt>
                <c:pt idx="55">
                  <c:v>1873.776001</c:v>
                </c:pt>
                <c:pt idx="56">
                  <c:v>1874.075439</c:v>
                </c:pt>
                <c:pt idx="57">
                  <c:v>1873.737427</c:v>
                </c:pt>
                <c:pt idx="58">
                  <c:v>1873.440063</c:v>
                </c:pt>
                <c:pt idx="59">
                  <c:v>1872.682251</c:v>
                </c:pt>
                <c:pt idx="60">
                  <c:v>1872.5070800000001</c:v>
                </c:pt>
                <c:pt idx="61">
                  <c:v>1872.773682</c:v>
                </c:pt>
                <c:pt idx="62">
                  <c:v>1870.9526370000001</c:v>
                </c:pt>
                <c:pt idx="63">
                  <c:v>1871.29187</c:v>
                </c:pt>
                <c:pt idx="64">
                  <c:v>1871.3011469999999</c:v>
                </c:pt>
                <c:pt idx="65">
                  <c:v>1870.5618899999999</c:v>
                </c:pt>
                <c:pt idx="66">
                  <c:v>1870.2791749999999</c:v>
                </c:pt>
                <c:pt idx="67">
                  <c:v>1869.661865</c:v>
                </c:pt>
                <c:pt idx="68">
                  <c:v>1869.3847659999999</c:v>
                </c:pt>
                <c:pt idx="69">
                  <c:v>1869.04126</c:v>
                </c:pt>
                <c:pt idx="70">
                  <c:v>1868.7413329999999</c:v>
                </c:pt>
                <c:pt idx="71">
                  <c:v>1869.1697999999999</c:v>
                </c:pt>
                <c:pt idx="72">
                  <c:v>1868.7889399999999</c:v>
                </c:pt>
                <c:pt idx="73">
                  <c:v>1868.164307</c:v>
                </c:pt>
                <c:pt idx="74">
                  <c:v>1868.205811</c:v>
                </c:pt>
                <c:pt idx="75">
                  <c:v>1867.3729249999999</c:v>
                </c:pt>
                <c:pt idx="76">
                  <c:v>1867.26062</c:v>
                </c:pt>
                <c:pt idx="77">
                  <c:v>1867.2456050000001</c:v>
                </c:pt>
                <c:pt idx="78">
                  <c:v>1866.4194339999999</c:v>
                </c:pt>
                <c:pt idx="79">
                  <c:v>1865.5695800000001</c:v>
                </c:pt>
                <c:pt idx="80">
                  <c:v>1865.931519</c:v>
                </c:pt>
                <c:pt idx="81">
                  <c:v>1865.569336</c:v>
                </c:pt>
                <c:pt idx="82">
                  <c:v>1865.477539</c:v>
                </c:pt>
                <c:pt idx="83">
                  <c:v>1865.4331050000001</c:v>
                </c:pt>
                <c:pt idx="84">
                  <c:v>1863.097168</c:v>
                </c:pt>
                <c:pt idx="85">
                  <c:v>1862.5419919999999</c:v>
                </c:pt>
                <c:pt idx="86">
                  <c:v>1862.367798</c:v>
                </c:pt>
                <c:pt idx="87">
                  <c:v>1861.653198</c:v>
                </c:pt>
                <c:pt idx="88">
                  <c:v>1861.7661129999999</c:v>
                </c:pt>
                <c:pt idx="89">
                  <c:v>1862.0860600000001</c:v>
                </c:pt>
                <c:pt idx="90">
                  <c:v>1861.9729</c:v>
                </c:pt>
                <c:pt idx="91">
                  <c:v>1861.921875</c:v>
                </c:pt>
                <c:pt idx="92">
                  <c:v>1862.0023189999999</c:v>
                </c:pt>
                <c:pt idx="93">
                  <c:v>1861.1248780000001</c:v>
                </c:pt>
                <c:pt idx="94">
                  <c:v>1861.450439</c:v>
                </c:pt>
                <c:pt idx="95">
                  <c:v>1861.5595699999999</c:v>
                </c:pt>
                <c:pt idx="96">
                  <c:v>1861.86499</c:v>
                </c:pt>
                <c:pt idx="97">
                  <c:v>1862.2222899999999</c:v>
                </c:pt>
                <c:pt idx="98">
                  <c:v>1861.7669679999999</c:v>
                </c:pt>
                <c:pt idx="99">
                  <c:v>1862.0214840000001</c:v>
                </c:pt>
                <c:pt idx="100">
                  <c:v>1862.135986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4F-4E33-B118-987A05911A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1622239"/>
        <c:axId val="1481622655"/>
      </c:scatterChart>
      <c:valAx>
        <c:axId val="1481622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655"/>
        <c:crosses val="autoZero"/>
        <c:crossBetween val="midCat"/>
      </c:valAx>
      <c:valAx>
        <c:axId val="148162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ln(f(x)) -&gt;</a:t>
            </a:r>
            <a:r>
              <a:rPr lang="fr-CH" baseline="0"/>
              <a:t> 0 to non negative f(x) with baseline</a:t>
            </a:r>
            <a:endParaRPr lang="fr-CH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6417850452980425"/>
                  <c:y val="3.527449693788276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PANI_1stPhase!$G$2:$G$194</c:f>
              <c:numCache>
                <c:formatCode>General</c:formatCode>
                <c:ptCount val="193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</c:numCache>
            </c:numRef>
          </c:xVal>
          <c:yVal>
            <c:numRef>
              <c:f>PANI_1stPhase!$H$2:$H$87</c:f>
              <c:numCache>
                <c:formatCode>General</c:formatCode>
                <c:ptCount val="86"/>
                <c:pt idx="0">
                  <c:v>4.5115866706403525</c:v>
                </c:pt>
                <c:pt idx="1">
                  <c:v>4.4262976743935853</c:v>
                </c:pt>
                <c:pt idx="2">
                  <c:v>4.3424542496913094</c:v>
                </c:pt>
                <c:pt idx="3">
                  <c:v>4.251231594818984</c:v>
                </c:pt>
                <c:pt idx="4">
                  <c:v>4.1907403495110191</c:v>
                </c:pt>
                <c:pt idx="5">
                  <c:v>4.1365801651270573</c:v>
                </c:pt>
                <c:pt idx="6">
                  <c:v>4.0820362075814307</c:v>
                </c:pt>
                <c:pt idx="7">
                  <c:v>4.0352108576027401</c:v>
                </c:pt>
                <c:pt idx="8">
                  <c:v>3.9795590669492356</c:v>
                </c:pt>
                <c:pt idx="9">
                  <c:v>3.9460759269801606</c:v>
                </c:pt>
                <c:pt idx="10">
                  <c:v>3.8870789327243274</c:v>
                </c:pt>
                <c:pt idx="11">
                  <c:v>3.8880796575688379</c:v>
                </c:pt>
                <c:pt idx="12">
                  <c:v>3.8138099523612023</c:v>
                </c:pt>
                <c:pt idx="13">
                  <c:v>3.7660153410747514</c:v>
                </c:pt>
                <c:pt idx="14">
                  <c:v>3.7578853255163902</c:v>
                </c:pt>
                <c:pt idx="15">
                  <c:v>3.7045256859456042</c:v>
                </c:pt>
                <c:pt idx="16">
                  <c:v>3.696274766259199</c:v>
                </c:pt>
                <c:pt idx="17">
                  <c:v>3.6665846619530531</c:v>
                </c:pt>
                <c:pt idx="18">
                  <c:v>3.646971218806045</c:v>
                </c:pt>
                <c:pt idx="19">
                  <c:v>3.6014982814856</c:v>
                </c:pt>
                <c:pt idx="20">
                  <c:v>3.5722876305576183</c:v>
                </c:pt>
                <c:pt idx="21">
                  <c:v>3.5294587495685161</c:v>
                </c:pt>
                <c:pt idx="22">
                  <c:v>3.4949722926350826</c:v>
                </c:pt>
                <c:pt idx="23">
                  <c:v>3.4853567427402532</c:v>
                </c:pt>
                <c:pt idx="24">
                  <c:v>3.4694418086899677</c:v>
                </c:pt>
                <c:pt idx="25">
                  <c:v>3.4344804054222116</c:v>
                </c:pt>
                <c:pt idx="26">
                  <c:v>3.3932651377676422</c:v>
                </c:pt>
                <c:pt idx="27">
                  <c:v>3.37310999835262</c:v>
                </c:pt>
                <c:pt idx="28">
                  <c:v>3.3315384669891039</c:v>
                </c:pt>
                <c:pt idx="29">
                  <c:v>3.3261580887844007</c:v>
                </c:pt>
                <c:pt idx="30">
                  <c:v>3.2854171016511571</c:v>
                </c:pt>
                <c:pt idx="31">
                  <c:v>3.2556769979089957</c:v>
                </c:pt>
                <c:pt idx="32">
                  <c:v>3.2173476978766637</c:v>
                </c:pt>
                <c:pt idx="33">
                  <c:v>3.1982808365369064</c:v>
                </c:pt>
                <c:pt idx="34">
                  <c:v>3.1557856410502594</c:v>
                </c:pt>
                <c:pt idx="35">
                  <c:v>3.1192458361098239</c:v>
                </c:pt>
                <c:pt idx="36">
                  <c:v>3.090705487500784</c:v>
                </c:pt>
                <c:pt idx="37">
                  <c:v>3.0321183479121752</c:v>
                </c:pt>
                <c:pt idx="38">
                  <c:v>3.0115025170013663</c:v>
                </c:pt>
                <c:pt idx="39">
                  <c:v>3.0323302233453475</c:v>
                </c:pt>
                <c:pt idx="40">
                  <c:v>3.0040610428618391</c:v>
                </c:pt>
                <c:pt idx="41">
                  <c:v>2.9322497280112261</c:v>
                </c:pt>
                <c:pt idx="42">
                  <c:v>2.8737430982313605</c:v>
                </c:pt>
                <c:pt idx="43">
                  <c:v>2.8470353781051276</c:v>
                </c:pt>
                <c:pt idx="44">
                  <c:v>2.8671778466916171</c:v>
                </c:pt>
                <c:pt idx="45">
                  <c:v>2.7912151065627513</c:v>
                </c:pt>
                <c:pt idx="46">
                  <c:v>2.7526018079637984</c:v>
                </c:pt>
                <c:pt idx="47">
                  <c:v>2.782490413296197</c:v>
                </c:pt>
                <c:pt idx="48">
                  <c:v>2.6839192440871362</c:v>
                </c:pt>
                <c:pt idx="49">
                  <c:v>2.7066924798156649</c:v>
                </c:pt>
                <c:pt idx="50">
                  <c:v>2.641532976955725</c:v>
                </c:pt>
                <c:pt idx="51">
                  <c:v>2.619975422537848</c:v>
                </c:pt>
                <c:pt idx="52">
                  <c:v>2.5652242427540282</c:v>
                </c:pt>
                <c:pt idx="53">
                  <c:v>2.5550530113050107</c:v>
                </c:pt>
                <c:pt idx="54">
                  <c:v>2.4354906273101147</c:v>
                </c:pt>
                <c:pt idx="55">
                  <c:v>2.4306265308566193</c:v>
                </c:pt>
                <c:pt idx="56">
                  <c:v>2.4566305387129552</c:v>
                </c:pt>
                <c:pt idx="57">
                  <c:v>2.4272269530449009</c:v>
                </c:pt>
                <c:pt idx="58">
                  <c:v>2.4006245449444741</c:v>
                </c:pt>
                <c:pt idx="59">
                  <c:v>2.3294461820073149</c:v>
                </c:pt>
                <c:pt idx="60">
                  <c:v>2.3122462731362909</c:v>
                </c:pt>
                <c:pt idx="61">
                  <c:v>2.3383075790951997</c:v>
                </c:pt>
                <c:pt idx="62">
                  <c:v>2.1450697423384795</c:v>
                </c:pt>
                <c:pt idx="63">
                  <c:v>2.1840121204196312</c:v>
                </c:pt>
                <c:pt idx="64">
                  <c:v>2.1850560625755864</c:v>
                </c:pt>
                <c:pt idx="65">
                  <c:v>2.0982498022081773</c:v>
                </c:pt>
                <c:pt idx="66">
                  <c:v>2.0629532284718923</c:v>
                </c:pt>
                <c:pt idx="67">
                  <c:v>1.9812586771650045</c:v>
                </c:pt>
                <c:pt idx="68">
                  <c:v>1.9422987787575547</c:v>
                </c:pt>
                <c:pt idx="69">
                  <c:v>1.8917948313903203</c:v>
                </c:pt>
                <c:pt idx="70">
                  <c:v>1.8455107985044317</c:v>
                </c:pt>
                <c:pt idx="71">
                  <c:v>1.9109933038183686</c:v>
                </c:pt>
                <c:pt idx="72">
                  <c:v>1.8530019393525772</c:v>
                </c:pt>
                <c:pt idx="73">
                  <c:v>1.7499486178944599</c:v>
                </c:pt>
                <c:pt idx="74">
                  <c:v>1.7571354152311112</c:v>
                </c:pt>
                <c:pt idx="75">
                  <c:v>1.6019952846635692</c:v>
                </c:pt>
                <c:pt idx="76">
                  <c:v>1.5791065318307327</c:v>
                </c:pt>
                <c:pt idx="77">
                  <c:v>1.5760062503430234</c:v>
                </c:pt>
                <c:pt idx="78">
                  <c:v>1.3886500842240856</c:v>
                </c:pt>
                <c:pt idx="79">
                  <c:v>1.1504391073729336</c:v>
                </c:pt>
                <c:pt idx="80">
                  <c:v>1.2588924306168445</c:v>
                </c:pt>
                <c:pt idx="81">
                  <c:v>1.1503618789368577</c:v>
                </c:pt>
                <c:pt idx="82">
                  <c:v>1.1208756114585232</c:v>
                </c:pt>
                <c:pt idx="83">
                  <c:v>1.1062844489023711</c:v>
                </c:pt>
                <c:pt idx="84">
                  <c:v>-0.37517647517048774</c:v>
                </c:pt>
                <c:pt idx="85">
                  <c:v>-2.025013964293664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F4-47AB-A321-C1CD2C2027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709055"/>
        <c:axId val="1502709471"/>
      </c:scatterChart>
      <c:valAx>
        <c:axId val="1502709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471"/>
        <c:crosses val="autoZero"/>
        <c:crossBetween val="midCat"/>
      </c:valAx>
      <c:valAx>
        <c:axId val="150270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f(x) -&gt; </a:t>
            </a:r>
            <a:r>
              <a:rPr lang="fr-CH" sz="1400" b="0" i="0" u="none" strike="noStrike" baseline="0">
                <a:effectLst/>
              </a:rPr>
              <a:t>0 to non negative f(x) with baseline</a:t>
            </a:r>
            <a:endParaRPr lang="fr-CH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0.17899842005230157"/>
                  <c:y val="-0.3047765383493730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PANI_1stPhase!$G$2:$G$197</c:f>
              <c:numCache>
                <c:formatCode>General</c:formatCode>
                <c:ptCount val="19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</c:numCache>
            </c:numRef>
          </c:xVal>
          <c:yVal>
            <c:numRef>
              <c:f>PANI_1stPhase!$F$2:$F$87</c:f>
              <c:numCache>
                <c:formatCode>General</c:formatCode>
                <c:ptCount val="86"/>
                <c:pt idx="0">
                  <c:v>91.066196000000048</c:v>
                </c:pt>
                <c:pt idx="1">
                  <c:v>83.621249999999975</c:v>
                </c:pt>
                <c:pt idx="2">
                  <c:v>76.896029999999939</c:v>
                </c:pt>
                <c:pt idx="3">
                  <c:v>70.191806999999983</c:v>
                </c:pt>
                <c:pt idx="4">
                  <c:v>66.071688999999935</c:v>
                </c:pt>
                <c:pt idx="5">
                  <c:v>62.588413000000003</c:v>
                </c:pt>
                <c:pt idx="6">
                  <c:v>59.266024999999956</c:v>
                </c:pt>
                <c:pt idx="7">
                  <c:v>56.55484400000006</c:v>
                </c:pt>
                <c:pt idx="8">
                  <c:v>53.493442000000016</c:v>
                </c:pt>
                <c:pt idx="9">
                  <c:v>51.731967999999881</c:v>
                </c:pt>
                <c:pt idx="10">
                  <c:v>48.768222999999864</c:v>
                </c:pt>
                <c:pt idx="11">
                  <c:v>48.817051000000049</c:v>
                </c:pt>
                <c:pt idx="12">
                  <c:v>45.322788000000003</c:v>
                </c:pt>
                <c:pt idx="13">
                  <c:v>43.207553999999902</c:v>
                </c:pt>
                <c:pt idx="14">
                  <c:v>42.857700000000079</c:v>
                </c:pt>
                <c:pt idx="15">
                  <c:v>40.630770999999925</c:v>
                </c:pt>
                <c:pt idx="16">
                  <c:v>40.296908999999971</c:v>
                </c:pt>
                <c:pt idx="17">
                  <c:v>39.11807600000003</c:v>
                </c:pt>
                <c:pt idx="18">
                  <c:v>38.358311000000015</c:v>
                </c:pt>
                <c:pt idx="19">
                  <c:v>36.653110000000027</c:v>
                </c:pt>
                <c:pt idx="20">
                  <c:v>35.597935000000064</c:v>
                </c:pt>
                <c:pt idx="21">
                  <c:v>34.105503000000056</c:v>
                </c:pt>
                <c:pt idx="22">
                  <c:v>32.949374999999975</c:v>
                </c:pt>
                <c:pt idx="23">
                  <c:v>32.634067000000016</c:v>
                </c:pt>
                <c:pt idx="24">
                  <c:v>32.118808999999885</c:v>
                </c:pt>
                <c:pt idx="25">
                  <c:v>31.015292999999986</c:v>
                </c:pt>
                <c:pt idx="26">
                  <c:v>29.762974000000042</c:v>
                </c:pt>
                <c:pt idx="27">
                  <c:v>29.169101999999896</c:v>
                </c:pt>
                <c:pt idx="28">
                  <c:v>27.981356999999946</c:v>
                </c:pt>
                <c:pt idx="29">
                  <c:v>27.831210999999996</c:v>
                </c:pt>
                <c:pt idx="30">
                  <c:v>26.720126999999877</c:v>
                </c:pt>
                <c:pt idx="31">
                  <c:v>25.937167999999986</c:v>
                </c:pt>
                <c:pt idx="32">
                  <c:v>24.96182600000003</c:v>
                </c:pt>
                <c:pt idx="33">
                  <c:v>24.490390999999875</c:v>
                </c:pt>
                <c:pt idx="34">
                  <c:v>23.471470000000011</c:v>
                </c:pt>
                <c:pt idx="35">
                  <c:v>22.629306999999983</c:v>
                </c:pt>
                <c:pt idx="36">
                  <c:v>21.992587999999898</c:v>
                </c:pt>
                <c:pt idx="37">
                  <c:v>20.741123000000073</c:v>
                </c:pt>
                <c:pt idx="38">
                  <c:v>20.317904999999939</c:v>
                </c:pt>
                <c:pt idx="39">
                  <c:v>20.745518000000004</c:v>
                </c:pt>
                <c:pt idx="40">
                  <c:v>20.167271000000085</c:v>
                </c:pt>
                <c:pt idx="41">
                  <c:v>18.769810000000064</c:v>
                </c:pt>
                <c:pt idx="42">
                  <c:v>17.703158999999971</c:v>
                </c:pt>
                <c:pt idx="43">
                  <c:v>17.236605999999995</c:v>
                </c:pt>
                <c:pt idx="44">
                  <c:v>17.587313999999935</c:v>
                </c:pt>
                <c:pt idx="45">
                  <c:v>16.300814999999886</c:v>
                </c:pt>
                <c:pt idx="46">
                  <c:v>15.68338399999999</c:v>
                </c:pt>
                <c:pt idx="47">
                  <c:v>16.159214000000077</c:v>
                </c:pt>
                <c:pt idx="48">
                  <c:v>14.642367999999863</c:v>
                </c:pt>
                <c:pt idx="49">
                  <c:v>14.979648000000054</c:v>
                </c:pt>
                <c:pt idx="50">
                  <c:v>14.034701999999982</c:v>
                </c:pt>
                <c:pt idx="51">
                  <c:v>13.735385999999892</c:v>
                </c:pt>
                <c:pt idx="52">
                  <c:v>13.003573999999901</c:v>
                </c:pt>
                <c:pt idx="53">
                  <c:v>12.871981999999946</c:v>
                </c:pt>
                <c:pt idx="54">
                  <c:v>11.421421000000066</c:v>
                </c:pt>
                <c:pt idx="55">
                  <c:v>11.366000999999926</c:v>
                </c:pt>
                <c:pt idx="56">
                  <c:v>11.665438999999935</c:v>
                </c:pt>
                <c:pt idx="57">
                  <c:v>11.327427</c:v>
                </c:pt>
                <c:pt idx="58">
                  <c:v>11.030062999999984</c:v>
                </c:pt>
                <c:pt idx="59">
                  <c:v>10.272250999999926</c:v>
                </c:pt>
                <c:pt idx="60">
                  <c:v>10.097080000000062</c:v>
                </c:pt>
                <c:pt idx="61">
                  <c:v>10.363681999999983</c:v>
                </c:pt>
                <c:pt idx="62">
                  <c:v>8.5426370000000702</c:v>
                </c:pt>
                <c:pt idx="63">
                  <c:v>8.8818699999999922</c:v>
                </c:pt>
                <c:pt idx="64">
                  <c:v>8.8911469999998758</c:v>
                </c:pt>
                <c:pt idx="65">
                  <c:v>8.1518899999999235</c:v>
                </c:pt>
                <c:pt idx="66">
                  <c:v>7.8691749999998706</c:v>
                </c:pt>
                <c:pt idx="67">
                  <c:v>7.2518650000000093</c:v>
                </c:pt>
                <c:pt idx="68">
                  <c:v>6.9747659999998746</c:v>
                </c:pt>
                <c:pt idx="69">
                  <c:v>6.6312599999999406</c:v>
                </c:pt>
                <c:pt idx="70">
                  <c:v>6.3313329999999155</c:v>
                </c:pt>
                <c:pt idx="71">
                  <c:v>6.7597999999998706</c:v>
                </c:pt>
                <c:pt idx="72">
                  <c:v>6.3789399999998864</c:v>
                </c:pt>
                <c:pt idx="73">
                  <c:v>5.754306999999983</c:v>
                </c:pt>
                <c:pt idx="74">
                  <c:v>5.7958110000000147</c:v>
                </c:pt>
                <c:pt idx="75">
                  <c:v>4.9629249999998706</c:v>
                </c:pt>
                <c:pt idx="76">
                  <c:v>4.8506199999999922</c:v>
                </c:pt>
                <c:pt idx="77">
                  <c:v>4.8356050000000437</c:v>
                </c:pt>
                <c:pt idx="78">
                  <c:v>4.0094339999998851</c:v>
                </c:pt>
                <c:pt idx="79">
                  <c:v>3.1595800000000622</c:v>
                </c:pt>
                <c:pt idx="80">
                  <c:v>3.5215189999999552</c:v>
                </c:pt>
                <c:pt idx="81">
                  <c:v>3.1593359999999961</c:v>
                </c:pt>
                <c:pt idx="82">
                  <c:v>3.0675389999999538</c:v>
                </c:pt>
                <c:pt idx="83">
                  <c:v>3.0231050000000437</c:v>
                </c:pt>
                <c:pt idx="84">
                  <c:v>0.68716799999998557</c:v>
                </c:pt>
                <c:pt idx="85">
                  <c:v>0.13199199999991151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E3-4098-8351-18FC60FCD3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1622239"/>
        <c:axId val="1481622655"/>
      </c:scatterChart>
      <c:valAx>
        <c:axId val="1481622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655"/>
        <c:crosses val="autoZero"/>
        <c:crossBetween val="midCat"/>
      </c:valAx>
      <c:valAx>
        <c:axId val="148162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ln(f(x)) -&gt;</a:t>
            </a:r>
            <a:r>
              <a:rPr lang="fr-CH" baseline="0"/>
              <a:t> All Values</a:t>
            </a:r>
            <a:endParaRPr lang="fr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6986723534558179"/>
                  <c:y val="-0.3534179060950714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Cu_2ndPhase!$G$2:$G$194</c:f>
              <c:numCache>
                <c:formatCode>General</c:formatCode>
                <c:ptCount val="193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</c:numCache>
            </c:numRef>
          </c:xVal>
          <c:yVal>
            <c:numRef>
              <c:f>Cu_2ndPhase!$I$2:$I$194</c:f>
              <c:numCache>
                <c:formatCode>General</c:formatCode>
                <c:ptCount val="193"/>
                <c:pt idx="0">
                  <c:v>7.8665745172245707</c:v>
                </c:pt>
                <c:pt idx="1">
                  <c:v>7.8605226717703403</c:v>
                </c:pt>
                <c:pt idx="2">
                  <c:v>7.8495728790659705</c:v>
                </c:pt>
                <c:pt idx="3">
                  <c:v>7.838945880035455</c:v>
                </c:pt>
                <c:pt idx="4">
                  <c:v>7.8307831286275063</c:v>
                </c:pt>
                <c:pt idx="5">
                  <c:v>7.8236863757953552</c:v>
                </c:pt>
                <c:pt idx="6">
                  <c:v>7.8133943657677749</c:v>
                </c:pt>
                <c:pt idx="7">
                  <c:v>7.8069612454571535</c:v>
                </c:pt>
                <c:pt idx="8">
                  <c:v>7.802555005876326</c:v>
                </c:pt>
                <c:pt idx="9">
                  <c:v>7.7965901013251697</c:v>
                </c:pt>
                <c:pt idx="10">
                  <c:v>7.7911867163935362</c:v>
                </c:pt>
                <c:pt idx="11">
                  <c:v>7.7872328971082068</c:v>
                </c:pt>
                <c:pt idx="12">
                  <c:v>7.7830456758509845</c:v>
                </c:pt>
                <c:pt idx="13">
                  <c:v>7.7800940213417329</c:v>
                </c:pt>
                <c:pt idx="14">
                  <c:v>7.7772031195598048</c:v>
                </c:pt>
                <c:pt idx="15">
                  <c:v>7.7731562123164997</c:v>
                </c:pt>
                <c:pt idx="16">
                  <c:v>7.7696150893662201</c:v>
                </c:pt>
                <c:pt idx="17">
                  <c:v>7.7667232684563219</c:v>
                </c:pt>
                <c:pt idx="18">
                  <c:v>7.7629133499598559</c:v>
                </c:pt>
                <c:pt idx="19">
                  <c:v>7.7607141572425489</c:v>
                </c:pt>
                <c:pt idx="20">
                  <c:v>7.7578546664251942</c:v>
                </c:pt>
                <c:pt idx="21">
                  <c:v>7.7553644397674866</c:v>
                </c:pt>
                <c:pt idx="22">
                  <c:v>7.7521539560816448</c:v>
                </c:pt>
                <c:pt idx="23">
                  <c:v>7.7499499828158545</c:v>
                </c:pt>
                <c:pt idx="24">
                  <c:v>7.7480842630602194</c:v>
                </c:pt>
                <c:pt idx="25">
                  <c:v>7.7473181884745559</c:v>
                </c:pt>
                <c:pt idx="26">
                  <c:v>7.7458041304196081</c:v>
                </c:pt>
                <c:pt idx="27">
                  <c:v>7.7444899768046014</c:v>
                </c:pt>
                <c:pt idx="28">
                  <c:v>7.7436102326073044</c:v>
                </c:pt>
                <c:pt idx="29">
                  <c:v>7.7425238728985812</c:v>
                </c:pt>
                <c:pt idx="30">
                  <c:v>7.7402694530656451</c:v>
                </c:pt>
                <c:pt idx="31">
                  <c:v>7.7391271518231033</c:v>
                </c:pt>
                <c:pt idx="32">
                  <c:v>7.7382504428349508</c:v>
                </c:pt>
                <c:pt idx="33">
                  <c:v>7.7374962817636002</c:v>
                </c:pt>
                <c:pt idx="34">
                  <c:v>7.7368775194157422</c:v>
                </c:pt>
                <c:pt idx="35">
                  <c:v>7.7368867891927229</c:v>
                </c:pt>
                <c:pt idx="36">
                  <c:v>7.7340045148895449</c:v>
                </c:pt>
                <c:pt idx="37">
                  <c:v>7.7318477321014152</c:v>
                </c:pt>
                <c:pt idx="38">
                  <c:v>7.7317245730696875</c:v>
                </c:pt>
                <c:pt idx="39">
                  <c:v>7.7312021035003466</c:v>
                </c:pt>
                <c:pt idx="40">
                  <c:v>7.729051933526315</c:v>
                </c:pt>
                <c:pt idx="41">
                  <c:v>7.725455926681553</c:v>
                </c:pt>
                <c:pt idx="42">
                  <c:v>7.7217390966528221</c:v>
                </c:pt>
                <c:pt idx="43">
                  <c:v>7.7162418652987226</c:v>
                </c:pt>
                <c:pt idx="44">
                  <c:v>7.7134708590300534</c:v>
                </c:pt>
                <c:pt idx="45">
                  <c:v>7.7108014155816234</c:v>
                </c:pt>
                <c:pt idx="46">
                  <c:v>7.7112181218578817</c:v>
                </c:pt>
                <c:pt idx="47">
                  <c:v>7.709508204392832</c:v>
                </c:pt>
                <c:pt idx="48">
                  <c:v>7.7083701042434107</c:v>
                </c:pt>
                <c:pt idx="49">
                  <c:v>7.7069413463041929</c:v>
                </c:pt>
                <c:pt idx="50">
                  <c:v>7.7067379965593963</c:v>
                </c:pt>
                <c:pt idx="51">
                  <c:v>7.7055681538174294</c:v>
                </c:pt>
                <c:pt idx="52">
                  <c:v>7.703692474592156</c:v>
                </c:pt>
                <c:pt idx="53">
                  <c:v>7.7031831397719355</c:v>
                </c:pt>
                <c:pt idx="54">
                  <c:v>7.7023490023917107</c:v>
                </c:pt>
                <c:pt idx="55">
                  <c:v>7.701561192121039</c:v>
                </c:pt>
                <c:pt idx="56">
                  <c:v>7.7008244585413621</c:v>
                </c:pt>
                <c:pt idx="57">
                  <c:v>7.7003811847847272</c:v>
                </c:pt>
                <c:pt idx="58">
                  <c:v>7.6997223200237421</c:v>
                </c:pt>
                <c:pt idx="59">
                  <c:v>7.6986070096435615</c:v>
                </c:pt>
                <c:pt idx="60">
                  <c:v>7.6981022769470897</c:v>
                </c:pt>
                <c:pt idx="61">
                  <c:v>7.6966727384845637</c:v>
                </c:pt>
                <c:pt idx="62">
                  <c:v>7.696409929883349</c:v>
                </c:pt>
                <c:pt idx="63">
                  <c:v>7.6954568497184574</c:v>
                </c:pt>
                <c:pt idx="64">
                  <c:v>7.6953300144931189</c:v>
                </c:pt>
                <c:pt idx="65">
                  <c:v>7.6946512514690797</c:v>
                </c:pt>
                <c:pt idx="66">
                  <c:v>7.693621616908624</c:v>
                </c:pt>
                <c:pt idx="67">
                  <c:v>7.6930247465934007</c:v>
                </c:pt>
                <c:pt idx="68">
                  <c:v>7.6923091008985134</c:v>
                </c:pt>
                <c:pt idx="69">
                  <c:v>7.691258314649593</c:v>
                </c:pt>
                <c:pt idx="70">
                  <c:v>7.6913696098793638</c:v>
                </c:pt>
                <c:pt idx="71">
                  <c:v>7.6906870362812088</c:v>
                </c:pt>
                <c:pt idx="72">
                  <c:v>7.6897090481330022</c:v>
                </c:pt>
                <c:pt idx="73">
                  <c:v>7.689042106046216</c:v>
                </c:pt>
                <c:pt idx="74">
                  <c:v>7.6885439275243499</c:v>
                </c:pt>
                <c:pt idx="75">
                  <c:v>7.6882864682625511</c:v>
                </c:pt>
                <c:pt idx="76">
                  <c:v>7.6873603183687944</c:v>
                </c:pt>
                <c:pt idx="77">
                  <c:v>7.6876799121318662</c:v>
                </c:pt>
                <c:pt idx="78">
                  <c:v>7.6873558397971529</c:v>
                </c:pt>
                <c:pt idx="79">
                  <c:v>7.6875697730569961</c:v>
                </c:pt>
                <c:pt idx="80">
                  <c:v>7.6868728388816265</c:v>
                </c:pt>
                <c:pt idx="81">
                  <c:v>7.6872005389037685</c:v>
                </c:pt>
                <c:pt idx="82">
                  <c:v>7.6870164308169624</c:v>
                </c:pt>
                <c:pt idx="83">
                  <c:v>7.6869785744771395</c:v>
                </c:pt>
                <c:pt idx="84">
                  <c:v>7.6865872733273566</c:v>
                </c:pt>
                <c:pt idx="85">
                  <c:v>7.6869471015189648</c:v>
                </c:pt>
                <c:pt idx="86">
                  <c:v>7.6868054038220874</c:v>
                </c:pt>
                <c:pt idx="87">
                  <c:v>7.6868368816989809</c:v>
                </c:pt>
                <c:pt idx="88">
                  <c:v>7.6856502394444624</c:v>
                </c:pt>
                <c:pt idx="89">
                  <c:v>7.6845561653994094</c:v>
                </c:pt>
                <c:pt idx="90">
                  <c:v>7.6850548746337282</c:v>
                </c:pt>
                <c:pt idx="91">
                  <c:v>7.6844533169178089</c:v>
                </c:pt>
                <c:pt idx="92">
                  <c:v>7.6841974975739804</c:v>
                </c:pt>
                <c:pt idx="93">
                  <c:v>7.6837801622016872</c:v>
                </c:pt>
                <c:pt idx="94">
                  <c:v>7.6838636433948908</c:v>
                </c:pt>
                <c:pt idx="95">
                  <c:v>7.6828165372637605</c:v>
                </c:pt>
                <c:pt idx="96">
                  <c:v>7.6823508042294844</c:v>
                </c:pt>
                <c:pt idx="97">
                  <c:v>7.6823038817448355</c:v>
                </c:pt>
                <c:pt idx="98">
                  <c:v>7.6824792962991282</c:v>
                </c:pt>
                <c:pt idx="99">
                  <c:v>7.6825867351054802</c:v>
                </c:pt>
                <c:pt idx="100">
                  <c:v>7.6832515875360752</c:v>
                </c:pt>
                <c:pt idx="101">
                  <c:v>7.6831682804210946</c:v>
                </c:pt>
                <c:pt idx="102">
                  <c:v>7.6826108088026297</c:v>
                </c:pt>
                <c:pt idx="103">
                  <c:v>7.6816147522243039</c:v>
                </c:pt>
                <c:pt idx="104">
                  <c:v>7.6805085859278757</c:v>
                </c:pt>
                <c:pt idx="105">
                  <c:v>7.6794022107009718</c:v>
                </c:pt>
                <c:pt idx="106">
                  <c:v>7.6787320830735055</c:v>
                </c:pt>
                <c:pt idx="107">
                  <c:v>7.6785129749093404</c:v>
                </c:pt>
                <c:pt idx="108">
                  <c:v>7.6781166515032071</c:v>
                </c:pt>
                <c:pt idx="109">
                  <c:v>7.6768056770281516</c:v>
                </c:pt>
                <c:pt idx="110">
                  <c:v>7.6766928620443959</c:v>
                </c:pt>
                <c:pt idx="111">
                  <c:v>7.6769560385960514</c:v>
                </c:pt>
                <c:pt idx="112">
                  <c:v>7.676242495429193</c:v>
                </c:pt>
                <c:pt idx="113">
                  <c:v>7.6766671742539208</c:v>
                </c:pt>
                <c:pt idx="114">
                  <c:v>7.6755097489804642</c:v>
                </c:pt>
                <c:pt idx="115">
                  <c:v>7.6756694812249462</c:v>
                </c:pt>
                <c:pt idx="116">
                  <c:v>7.6753770722606518</c:v>
                </c:pt>
                <c:pt idx="117">
                  <c:v>7.6749919725254347</c:v>
                </c:pt>
                <c:pt idx="118">
                  <c:v>7.6748519719631529</c:v>
                </c:pt>
                <c:pt idx="119">
                  <c:v>7.6739396160058408</c:v>
                </c:pt>
                <c:pt idx="120">
                  <c:v>7.6741170711966893</c:v>
                </c:pt>
                <c:pt idx="121">
                  <c:v>7.6734784708427748</c:v>
                </c:pt>
                <c:pt idx="122">
                  <c:v>7.6731655478364917</c:v>
                </c:pt>
                <c:pt idx="123">
                  <c:v>7.6729880372125816</c:v>
                </c:pt>
                <c:pt idx="124">
                  <c:v>7.6734372605178125</c:v>
                </c:pt>
                <c:pt idx="125">
                  <c:v>7.6731278449551716</c:v>
                </c:pt>
                <c:pt idx="126">
                  <c:v>7.6726108788559344</c:v>
                </c:pt>
                <c:pt idx="127">
                  <c:v>7.6723029122779947</c:v>
                </c:pt>
                <c:pt idx="128">
                  <c:v>7.6726839357874184</c:v>
                </c:pt>
                <c:pt idx="129">
                  <c:v>7.6735201337532759</c:v>
                </c:pt>
                <c:pt idx="130">
                  <c:v>7.6736464733559693</c:v>
                </c:pt>
                <c:pt idx="131">
                  <c:v>7.6733777696281278</c:v>
                </c:pt>
                <c:pt idx="132">
                  <c:v>7.6735470374923453</c:v>
                </c:pt>
                <c:pt idx="133">
                  <c:v>7.6726048570125807</c:v>
                </c:pt>
                <c:pt idx="134">
                  <c:v>7.6730648146384102</c:v>
                </c:pt>
                <c:pt idx="135">
                  <c:v>7.6728842190497257</c:v>
                </c:pt>
                <c:pt idx="136">
                  <c:v>7.6723095043661065</c:v>
                </c:pt>
                <c:pt idx="137">
                  <c:v>7.6716084461423808</c:v>
                </c:pt>
                <c:pt idx="138">
                  <c:v>7.6715616989331927</c:v>
                </c:pt>
                <c:pt idx="139">
                  <c:v>7.6706305097189427</c:v>
                </c:pt>
                <c:pt idx="140">
                  <c:v>7.671156010771619</c:v>
                </c:pt>
                <c:pt idx="141">
                  <c:v>7.6709313663590422</c:v>
                </c:pt>
                <c:pt idx="142">
                  <c:v>7.6706524826507207</c:v>
                </c:pt>
                <c:pt idx="143">
                  <c:v>7.6685717177726973</c:v>
                </c:pt>
                <c:pt idx="144">
                  <c:v>7.6685954466786548</c:v>
                </c:pt>
                <c:pt idx="145">
                  <c:v>7.6687830917868913</c:v>
                </c:pt>
                <c:pt idx="146">
                  <c:v>7.6680963341373989</c:v>
                </c:pt>
                <c:pt idx="147">
                  <c:v>7.6671050157175742</c:v>
                </c:pt>
                <c:pt idx="148">
                  <c:v>7.6661383310680913</c:v>
                </c:pt>
                <c:pt idx="149">
                  <c:v>7.6659925101218258</c:v>
                </c:pt>
                <c:pt idx="150">
                  <c:v>7.6653916171175434</c:v>
                </c:pt>
                <c:pt idx="151">
                  <c:v>7.6653069231005881</c:v>
                </c:pt>
                <c:pt idx="152">
                  <c:v>7.6650612701612379</c:v>
                </c:pt>
                <c:pt idx="153">
                  <c:v>7.6649075057509544</c:v>
                </c:pt>
                <c:pt idx="154">
                  <c:v>7.6655076593940787</c:v>
                </c:pt>
                <c:pt idx="155">
                  <c:v>7.6646631286999778</c:v>
                </c:pt>
                <c:pt idx="156">
                  <c:v>7.6642789212187692</c:v>
                </c:pt>
                <c:pt idx="157">
                  <c:v>7.6640382870522643</c:v>
                </c:pt>
                <c:pt idx="158">
                  <c:v>7.6641249219291154</c:v>
                </c:pt>
                <c:pt idx="159">
                  <c:v>7.6642137265049763</c:v>
                </c:pt>
                <c:pt idx="160">
                  <c:v>7.6640869911681735</c:v>
                </c:pt>
                <c:pt idx="161">
                  <c:v>7.6638033259235616</c:v>
                </c:pt>
                <c:pt idx="162">
                  <c:v>7.6640257950892359</c:v>
                </c:pt>
                <c:pt idx="163">
                  <c:v>7.6634233749626546</c:v>
                </c:pt>
                <c:pt idx="164">
                  <c:v>7.6627572528577765</c:v>
                </c:pt>
                <c:pt idx="165">
                  <c:v>7.663076087616866</c:v>
                </c:pt>
                <c:pt idx="166">
                  <c:v>7.6633247521091983</c:v>
                </c:pt>
                <c:pt idx="167">
                  <c:v>7.6631054534266516</c:v>
                </c:pt>
                <c:pt idx="168">
                  <c:v>7.6636209357146949</c:v>
                </c:pt>
                <c:pt idx="169">
                  <c:v>7.6636238017033298</c:v>
                </c:pt>
                <c:pt idx="170">
                  <c:v>7.6636082093674043</c:v>
                </c:pt>
                <c:pt idx="171">
                  <c:v>7.6636781440457824</c:v>
                </c:pt>
                <c:pt idx="172">
                  <c:v>7.6639490082420876</c:v>
                </c:pt>
                <c:pt idx="173">
                  <c:v>7.6643198231986709</c:v>
                </c:pt>
                <c:pt idx="174">
                  <c:v>7.6650234893235139</c:v>
                </c:pt>
                <c:pt idx="175">
                  <c:v>7.6650220008886274</c:v>
                </c:pt>
                <c:pt idx="176">
                  <c:v>7.6653791425177138</c:v>
                </c:pt>
                <c:pt idx="177">
                  <c:v>7.6660924713822416</c:v>
                </c:pt>
                <c:pt idx="178">
                  <c:v>7.6668962584366191</c:v>
                </c:pt>
                <c:pt idx="179">
                  <c:v>7.6666906574769849</c:v>
                </c:pt>
                <c:pt idx="180">
                  <c:v>7.6671833888357739</c:v>
                </c:pt>
                <c:pt idx="181">
                  <c:v>7.6679934913445535</c:v>
                </c:pt>
                <c:pt idx="182">
                  <c:v>7.6680376659037881</c:v>
                </c:pt>
                <c:pt idx="183">
                  <c:v>7.66844325200573</c:v>
                </c:pt>
                <c:pt idx="184">
                  <c:v>7.6682249590007823</c:v>
                </c:pt>
                <c:pt idx="185">
                  <c:v>7.6679855007970579</c:v>
                </c:pt>
                <c:pt idx="186">
                  <c:v>7.6664605487122284</c:v>
                </c:pt>
                <c:pt idx="187">
                  <c:v>7.6651017964444339</c:v>
                </c:pt>
                <c:pt idx="188">
                  <c:v>7.6644196083189415</c:v>
                </c:pt>
                <c:pt idx="189">
                  <c:v>7.6642695258880931</c:v>
                </c:pt>
                <c:pt idx="190">
                  <c:v>7.6639723889202322</c:v>
                </c:pt>
                <c:pt idx="191">
                  <c:v>7.664492120810726</c:v>
                </c:pt>
                <c:pt idx="192">
                  <c:v>7.6650737487270035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DB-4AB6-9F7C-2ECDCBAE77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709055"/>
        <c:axId val="1502709471"/>
      </c:scatterChart>
      <c:valAx>
        <c:axId val="1502709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471"/>
        <c:crosses val="autoZero"/>
        <c:crossBetween val="midCat"/>
      </c:valAx>
      <c:valAx>
        <c:axId val="1502709471"/>
        <c:scaling>
          <c:orientation val="minMax"/>
          <c:max val="7.8"/>
          <c:min val="7.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f(x) -&gt; All Values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9.6724846894138239E-2"/>
                  <c:y val="-0.3857079323417906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Cu_2ndPhase!$G$2:$G$197</c:f>
              <c:numCache>
                <c:formatCode>General</c:formatCode>
                <c:ptCount val="19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</c:numCache>
            </c:numRef>
          </c:xVal>
          <c:yVal>
            <c:numRef>
              <c:f>Cu_2ndPhase!$B$2:$B$197</c:f>
              <c:numCache>
                <c:formatCode>General</c:formatCode>
                <c:ptCount val="196"/>
                <c:pt idx="0">
                  <c:v>2608.6145019999999</c:v>
                </c:pt>
                <c:pt idx="1">
                  <c:v>2592.8752439999998</c:v>
                </c:pt>
                <c:pt idx="2">
                  <c:v>2564.638672</c:v>
                </c:pt>
                <c:pt idx="3">
                  <c:v>2537.5285640000002</c:v>
                </c:pt>
                <c:pt idx="4">
                  <c:v>2516.8996579999998</c:v>
                </c:pt>
                <c:pt idx="5">
                  <c:v>2499.1010740000002</c:v>
                </c:pt>
                <c:pt idx="6">
                  <c:v>2473.5122070000002</c:v>
                </c:pt>
                <c:pt idx="7">
                  <c:v>2457.6508789999998</c:v>
                </c:pt>
                <c:pt idx="8">
                  <c:v>2446.845703</c:v>
                </c:pt>
                <c:pt idx="9">
                  <c:v>2432.2939449999999</c:v>
                </c:pt>
                <c:pt idx="10">
                  <c:v>2419.186768</c:v>
                </c:pt>
                <c:pt idx="11">
                  <c:v>2409.640625</c:v>
                </c:pt>
                <c:pt idx="12">
                  <c:v>2399.5720209999999</c:v>
                </c:pt>
                <c:pt idx="13">
                  <c:v>2392.4997560000002</c:v>
                </c:pt>
                <c:pt idx="14">
                  <c:v>2385.5932619999999</c:v>
                </c:pt>
                <c:pt idx="15">
                  <c:v>2375.9584960000002</c:v>
                </c:pt>
                <c:pt idx="16">
                  <c:v>2367.5598140000002</c:v>
                </c:pt>
                <c:pt idx="17">
                  <c:v>2360.7231449999999</c:v>
                </c:pt>
                <c:pt idx="18">
                  <c:v>2351.7460940000001</c:v>
                </c:pt>
                <c:pt idx="19">
                  <c:v>2346.5798340000001</c:v>
                </c:pt>
                <c:pt idx="20">
                  <c:v>2339.8793949999999</c:v>
                </c:pt>
                <c:pt idx="21">
                  <c:v>2334.0598140000002</c:v>
                </c:pt>
                <c:pt idx="22">
                  <c:v>2326.5783689999998</c:v>
                </c:pt>
                <c:pt idx="23">
                  <c:v>2321.4562989999999</c:v>
                </c:pt>
                <c:pt idx="24">
                  <c:v>2317.1291500000002</c:v>
                </c:pt>
                <c:pt idx="25">
                  <c:v>2315.3547359999998</c:v>
                </c:pt>
                <c:pt idx="26">
                  <c:v>2311.851807</c:v>
                </c:pt>
                <c:pt idx="27">
                  <c:v>2308.8156739999999</c:v>
                </c:pt>
                <c:pt idx="28">
                  <c:v>2306.7854000000002</c:v>
                </c:pt>
                <c:pt idx="29">
                  <c:v>2304.2807619999999</c:v>
                </c:pt>
                <c:pt idx="30">
                  <c:v>2299.091797</c:v>
                </c:pt>
                <c:pt idx="31">
                  <c:v>2296.4670409999999</c:v>
                </c:pt>
                <c:pt idx="32">
                  <c:v>2294.4545899999998</c:v>
                </c:pt>
                <c:pt idx="33">
                  <c:v>2292.7248540000001</c:v>
                </c:pt>
                <c:pt idx="34">
                  <c:v>2291.3066410000001</c:v>
                </c:pt>
                <c:pt idx="35">
                  <c:v>2291.3278810000002</c:v>
                </c:pt>
                <c:pt idx="36">
                  <c:v>2284.733154</c:v>
                </c:pt>
                <c:pt idx="37">
                  <c:v>2279.8107909999999</c:v>
                </c:pt>
                <c:pt idx="38">
                  <c:v>2279.530029</c:v>
                </c:pt>
                <c:pt idx="39">
                  <c:v>2278.3393550000001</c:v>
                </c:pt>
                <c:pt idx="40">
                  <c:v>2273.4458009999998</c:v>
                </c:pt>
                <c:pt idx="41">
                  <c:v>2265.2851559999999</c:v>
                </c:pt>
                <c:pt idx="42">
                  <c:v>2256.8811040000001</c:v>
                </c:pt>
                <c:pt idx="43">
                  <c:v>2244.5085450000001</c:v>
                </c:pt>
                <c:pt idx="44">
                  <c:v>2238.297607</c:v>
                </c:pt>
                <c:pt idx="45">
                  <c:v>2232.3305660000001</c:v>
                </c:pt>
                <c:pt idx="46">
                  <c:v>2233.2609859999998</c:v>
                </c:pt>
                <c:pt idx="47">
                  <c:v>2229.445557</c:v>
                </c:pt>
                <c:pt idx="48">
                  <c:v>2226.9096679999998</c:v>
                </c:pt>
                <c:pt idx="49">
                  <c:v>2223.7302249999998</c:v>
                </c:pt>
                <c:pt idx="50">
                  <c:v>2223.2780760000001</c:v>
                </c:pt>
                <c:pt idx="51">
                  <c:v>2220.678711</c:v>
                </c:pt>
                <c:pt idx="52">
                  <c:v>2216.5173340000001</c:v>
                </c:pt>
                <c:pt idx="53">
                  <c:v>2215.388672</c:v>
                </c:pt>
                <c:pt idx="54">
                  <c:v>2213.5415039999998</c:v>
                </c:pt>
                <c:pt idx="55">
                  <c:v>2211.7983399999998</c:v>
                </c:pt>
                <c:pt idx="56">
                  <c:v>2210.1694339999999</c:v>
                </c:pt>
                <c:pt idx="57">
                  <c:v>2209.1899410000001</c:v>
                </c:pt>
                <c:pt idx="58">
                  <c:v>2207.7348630000001</c:v>
                </c:pt>
                <c:pt idx="59">
                  <c:v>2205.2739259999998</c:v>
                </c:pt>
                <c:pt idx="60">
                  <c:v>2204.1611330000001</c:v>
                </c:pt>
                <c:pt idx="61">
                  <c:v>2201.0124510000001</c:v>
                </c:pt>
                <c:pt idx="62">
                  <c:v>2200.4340820000002</c:v>
                </c:pt>
                <c:pt idx="63">
                  <c:v>2198.3378910000001</c:v>
                </c:pt>
                <c:pt idx="64">
                  <c:v>2198.0590820000002</c:v>
                </c:pt>
                <c:pt idx="65">
                  <c:v>2196.5676269999999</c:v>
                </c:pt>
                <c:pt idx="66">
                  <c:v>2194.3071289999998</c:v>
                </c:pt>
                <c:pt idx="67">
                  <c:v>2192.9978030000002</c:v>
                </c:pt>
                <c:pt idx="68">
                  <c:v>2191.4289549999999</c:v>
                </c:pt>
                <c:pt idx="69">
                  <c:v>2189.1274410000001</c:v>
                </c:pt>
                <c:pt idx="70">
                  <c:v>2189.3710940000001</c:v>
                </c:pt>
                <c:pt idx="71">
                  <c:v>2187.8771969999998</c:v>
                </c:pt>
                <c:pt idx="72">
                  <c:v>2185.7385250000002</c:v>
                </c:pt>
                <c:pt idx="73">
                  <c:v>2184.28125</c:v>
                </c:pt>
                <c:pt idx="74">
                  <c:v>2183.1933589999999</c:v>
                </c:pt>
                <c:pt idx="75">
                  <c:v>2182.6313479999999</c:v>
                </c:pt>
                <c:pt idx="76">
                  <c:v>2180.6108399999998</c:v>
                </c:pt>
                <c:pt idx="77">
                  <c:v>2181.3078609999998</c:v>
                </c:pt>
                <c:pt idx="78">
                  <c:v>2180.6010740000002</c:v>
                </c:pt>
                <c:pt idx="79">
                  <c:v>2181.0676269999999</c:v>
                </c:pt>
                <c:pt idx="80">
                  <c:v>2179.548096</c:v>
                </c:pt>
                <c:pt idx="81">
                  <c:v>2180.2624510000001</c:v>
                </c:pt>
                <c:pt idx="82">
                  <c:v>2179.8610840000001</c:v>
                </c:pt>
                <c:pt idx="83">
                  <c:v>2179.7785640000002</c:v>
                </c:pt>
                <c:pt idx="84">
                  <c:v>2178.9257809999999</c:v>
                </c:pt>
                <c:pt idx="85">
                  <c:v>2179.709961</c:v>
                </c:pt>
                <c:pt idx="86">
                  <c:v>2179.4011230000001</c:v>
                </c:pt>
                <c:pt idx="87">
                  <c:v>2179.4697270000001</c:v>
                </c:pt>
                <c:pt idx="88">
                  <c:v>2176.88501</c:v>
                </c:pt>
                <c:pt idx="89">
                  <c:v>2174.5046390000002</c:v>
                </c:pt>
                <c:pt idx="90">
                  <c:v>2175.5893550000001</c:v>
                </c:pt>
                <c:pt idx="91">
                  <c:v>2174.2810060000002</c:v>
                </c:pt>
                <c:pt idx="92">
                  <c:v>2173.7248540000001</c:v>
                </c:pt>
                <c:pt idx="93">
                  <c:v>2172.8178710000002</c:v>
                </c:pt>
                <c:pt idx="94">
                  <c:v>2172.999268</c:v>
                </c:pt>
                <c:pt idx="95">
                  <c:v>2170.7250979999999</c:v>
                </c:pt>
                <c:pt idx="96">
                  <c:v>2169.7143550000001</c:v>
                </c:pt>
                <c:pt idx="97">
                  <c:v>2169.6125489999999</c:v>
                </c:pt>
                <c:pt idx="98">
                  <c:v>2169.993164</c:v>
                </c:pt>
                <c:pt idx="99">
                  <c:v>2170.226318</c:v>
                </c:pt>
                <c:pt idx="100">
                  <c:v>2171.6696780000002</c:v>
                </c:pt>
                <c:pt idx="101">
                  <c:v>2171.4887699999999</c:v>
                </c:pt>
                <c:pt idx="102">
                  <c:v>2170.2785640000002</c:v>
                </c:pt>
                <c:pt idx="103">
                  <c:v>2168.1179200000001</c:v>
                </c:pt>
                <c:pt idx="104">
                  <c:v>2165.7209469999998</c:v>
                </c:pt>
                <c:pt idx="105">
                  <c:v>2163.326172</c:v>
                </c:pt>
                <c:pt idx="106">
                  <c:v>2161.876953</c:v>
                </c:pt>
                <c:pt idx="107">
                  <c:v>2161.4033199999999</c:v>
                </c:pt>
                <c:pt idx="108">
                  <c:v>2160.546875</c:v>
                </c:pt>
                <c:pt idx="109">
                  <c:v>2157.7163089999999</c:v>
                </c:pt>
                <c:pt idx="110">
                  <c:v>2157.4729000000002</c:v>
                </c:pt>
                <c:pt idx="111">
                  <c:v>2158.0407709999999</c:v>
                </c:pt>
                <c:pt idx="112">
                  <c:v>2156.5014649999998</c:v>
                </c:pt>
                <c:pt idx="113">
                  <c:v>2157.4174800000001</c:v>
                </c:pt>
                <c:pt idx="114">
                  <c:v>2154.921875</c:v>
                </c:pt>
                <c:pt idx="115">
                  <c:v>2155.2661130000001</c:v>
                </c:pt>
                <c:pt idx="116">
                  <c:v>2154.6359859999998</c:v>
                </c:pt>
                <c:pt idx="117">
                  <c:v>2153.8063959999999</c:v>
                </c:pt>
                <c:pt idx="118">
                  <c:v>2153.5048830000001</c:v>
                </c:pt>
                <c:pt idx="119">
                  <c:v>2151.5410160000001</c:v>
                </c:pt>
                <c:pt idx="120">
                  <c:v>2151.9228520000001</c:v>
                </c:pt>
                <c:pt idx="121">
                  <c:v>2150.5490719999998</c:v>
                </c:pt>
                <c:pt idx="122">
                  <c:v>2149.876221</c:v>
                </c:pt>
                <c:pt idx="123">
                  <c:v>2149.4946289999998</c:v>
                </c:pt>
                <c:pt idx="124">
                  <c:v>2150.4604490000002</c:v>
                </c:pt>
                <c:pt idx="125">
                  <c:v>2149.7951659999999</c:v>
                </c:pt>
                <c:pt idx="126">
                  <c:v>2148.6840820000002</c:v>
                </c:pt>
                <c:pt idx="127">
                  <c:v>2148.022461</c:v>
                </c:pt>
                <c:pt idx="128">
                  <c:v>2148.8410640000002</c:v>
                </c:pt>
                <c:pt idx="129">
                  <c:v>2150.638672</c:v>
                </c:pt>
                <c:pt idx="130">
                  <c:v>2150.9104000000002</c:v>
                </c:pt>
                <c:pt idx="131">
                  <c:v>2150.3325199999999</c:v>
                </c:pt>
                <c:pt idx="132">
                  <c:v>2150.6965329999998</c:v>
                </c:pt>
                <c:pt idx="133">
                  <c:v>2148.671143</c:v>
                </c:pt>
                <c:pt idx="134">
                  <c:v>2149.6596679999998</c:v>
                </c:pt>
                <c:pt idx="135">
                  <c:v>2149.2714839999999</c:v>
                </c:pt>
                <c:pt idx="136">
                  <c:v>2148.0366210000002</c:v>
                </c:pt>
                <c:pt idx="137">
                  <c:v>2146.53125</c:v>
                </c:pt>
                <c:pt idx="138">
                  <c:v>2146.4309079999998</c:v>
                </c:pt>
                <c:pt idx="139">
                  <c:v>2144.4331050000001</c:v>
                </c:pt>
                <c:pt idx="140">
                  <c:v>2145.5603030000002</c:v>
                </c:pt>
                <c:pt idx="141">
                  <c:v>2145.0783689999998</c:v>
                </c:pt>
                <c:pt idx="142">
                  <c:v>2144.4802249999998</c:v>
                </c:pt>
                <c:pt idx="143">
                  <c:v>2140.0227049999999</c:v>
                </c:pt>
                <c:pt idx="144">
                  <c:v>2140.0734859999998</c:v>
                </c:pt>
                <c:pt idx="145">
                  <c:v>2140.4750979999999</c:v>
                </c:pt>
                <c:pt idx="146">
                  <c:v>2139.005615</c:v>
                </c:pt>
                <c:pt idx="147">
                  <c:v>2136.8862300000001</c:v>
                </c:pt>
                <c:pt idx="148">
                  <c:v>2134.8215329999998</c:v>
                </c:pt>
                <c:pt idx="149">
                  <c:v>2134.5102539999998</c:v>
                </c:pt>
                <c:pt idx="150">
                  <c:v>2133.2280270000001</c:v>
                </c:pt>
                <c:pt idx="151">
                  <c:v>2133.0473630000001</c:v>
                </c:pt>
                <c:pt idx="152">
                  <c:v>2132.5234380000002</c:v>
                </c:pt>
                <c:pt idx="153">
                  <c:v>2132.195557</c:v>
                </c:pt>
                <c:pt idx="154">
                  <c:v>2133.475586</c:v>
                </c:pt>
                <c:pt idx="155">
                  <c:v>2131.6745609999998</c:v>
                </c:pt>
                <c:pt idx="156">
                  <c:v>2130.8557129999999</c:v>
                </c:pt>
                <c:pt idx="157">
                  <c:v>2130.343018</c:v>
                </c:pt>
                <c:pt idx="158">
                  <c:v>2130.5275879999999</c:v>
                </c:pt>
                <c:pt idx="159">
                  <c:v>2130.716797</c:v>
                </c:pt>
                <c:pt idx="160">
                  <c:v>2130.4467770000001</c:v>
                </c:pt>
                <c:pt idx="161">
                  <c:v>2129.842529</c:v>
                </c:pt>
                <c:pt idx="162">
                  <c:v>2130.3164059999999</c:v>
                </c:pt>
                <c:pt idx="163">
                  <c:v>2129.0334469999998</c:v>
                </c:pt>
                <c:pt idx="164">
                  <c:v>2127.6157229999999</c:v>
                </c:pt>
                <c:pt idx="165">
                  <c:v>2128.2941890000002</c:v>
                </c:pt>
                <c:pt idx="166">
                  <c:v>2128.8234859999998</c:v>
                </c:pt>
                <c:pt idx="167">
                  <c:v>2128.3566890000002</c:v>
                </c:pt>
                <c:pt idx="168">
                  <c:v>2129.4541020000001</c:v>
                </c:pt>
                <c:pt idx="169">
                  <c:v>2129.4602049999999</c:v>
                </c:pt>
                <c:pt idx="170">
                  <c:v>2129.4270019999999</c:v>
                </c:pt>
                <c:pt idx="171">
                  <c:v>2129.5759280000002</c:v>
                </c:pt>
                <c:pt idx="172">
                  <c:v>2130.1528320000002</c:v>
                </c:pt>
                <c:pt idx="173">
                  <c:v>2130.9428710000002</c:v>
                </c:pt>
                <c:pt idx="174">
                  <c:v>2132.4428710000002</c:v>
                </c:pt>
                <c:pt idx="175">
                  <c:v>2132.4396969999998</c:v>
                </c:pt>
                <c:pt idx="176">
                  <c:v>2133.2014159999999</c:v>
                </c:pt>
                <c:pt idx="177">
                  <c:v>2134.7236330000001</c:v>
                </c:pt>
                <c:pt idx="178">
                  <c:v>2136.4401859999998</c:v>
                </c:pt>
                <c:pt idx="179">
                  <c:v>2136.0009770000001</c:v>
                </c:pt>
                <c:pt idx="180">
                  <c:v>2137.053711</c:v>
                </c:pt>
                <c:pt idx="181">
                  <c:v>2138.7856449999999</c:v>
                </c:pt>
                <c:pt idx="182">
                  <c:v>2138.8801269999999</c:v>
                </c:pt>
                <c:pt idx="183">
                  <c:v>2139.7478030000002</c:v>
                </c:pt>
                <c:pt idx="184">
                  <c:v>2139.2807619999999</c:v>
                </c:pt>
                <c:pt idx="185">
                  <c:v>2138.7685550000001</c:v>
                </c:pt>
                <c:pt idx="186">
                  <c:v>2135.5095209999999</c:v>
                </c:pt>
                <c:pt idx="187">
                  <c:v>2132.6098630000001</c:v>
                </c:pt>
                <c:pt idx="188">
                  <c:v>2131.155518</c:v>
                </c:pt>
                <c:pt idx="189">
                  <c:v>2130.835693</c:v>
                </c:pt>
                <c:pt idx="190">
                  <c:v>2130.2026369999999</c:v>
                </c:pt>
                <c:pt idx="191">
                  <c:v>2131.3100589999999</c:v>
                </c:pt>
                <c:pt idx="192">
                  <c:v>2132.5500489999999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6F-4FE6-8F8A-77050FD666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1622239"/>
        <c:axId val="1481622655"/>
      </c:scatterChart>
      <c:valAx>
        <c:axId val="1481622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655"/>
        <c:crosses val="autoZero"/>
        <c:crossBetween val="midCat"/>
      </c:valAx>
      <c:valAx>
        <c:axId val="1481622655"/>
        <c:scaling>
          <c:orientation val="minMax"/>
          <c:min val="19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ln(f(x)) -&gt; 0 - 1000 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6986723534558179"/>
                  <c:y val="-0.3534179060950714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Cu_2ndPhase!$G$2:$G$102</c:f>
              <c:numCache>
                <c:formatCode>General</c:formatCode>
                <c:ptCount val="10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</c:numCache>
            </c:numRef>
          </c:xVal>
          <c:yVal>
            <c:numRef>
              <c:f>Cu_2ndPhase!$I$2:$I$102</c:f>
              <c:numCache>
                <c:formatCode>General</c:formatCode>
                <c:ptCount val="101"/>
                <c:pt idx="0">
                  <c:v>7.8665745172245707</c:v>
                </c:pt>
                <c:pt idx="1">
                  <c:v>7.8605226717703403</c:v>
                </c:pt>
                <c:pt idx="2">
                  <c:v>7.8495728790659705</c:v>
                </c:pt>
                <c:pt idx="3">
                  <c:v>7.838945880035455</c:v>
                </c:pt>
                <c:pt idx="4">
                  <c:v>7.8307831286275063</c:v>
                </c:pt>
                <c:pt idx="5">
                  <c:v>7.8236863757953552</c:v>
                </c:pt>
                <c:pt idx="6">
                  <c:v>7.8133943657677749</c:v>
                </c:pt>
                <c:pt idx="7">
                  <c:v>7.8069612454571535</c:v>
                </c:pt>
                <c:pt idx="8">
                  <c:v>7.802555005876326</c:v>
                </c:pt>
                <c:pt idx="9">
                  <c:v>7.7965901013251697</c:v>
                </c:pt>
                <c:pt idx="10">
                  <c:v>7.7911867163935362</c:v>
                </c:pt>
                <c:pt idx="11">
                  <c:v>7.7872328971082068</c:v>
                </c:pt>
                <c:pt idx="12">
                  <c:v>7.7830456758509845</c:v>
                </c:pt>
                <c:pt idx="13">
                  <c:v>7.7800940213417329</c:v>
                </c:pt>
                <c:pt idx="14">
                  <c:v>7.7772031195598048</c:v>
                </c:pt>
                <c:pt idx="15">
                  <c:v>7.7731562123164997</c:v>
                </c:pt>
                <c:pt idx="16">
                  <c:v>7.7696150893662201</c:v>
                </c:pt>
                <c:pt idx="17">
                  <c:v>7.7667232684563219</c:v>
                </c:pt>
                <c:pt idx="18">
                  <c:v>7.7629133499598559</c:v>
                </c:pt>
                <c:pt idx="19">
                  <c:v>7.7607141572425489</c:v>
                </c:pt>
                <c:pt idx="20">
                  <c:v>7.7578546664251942</c:v>
                </c:pt>
                <c:pt idx="21">
                  <c:v>7.7553644397674866</c:v>
                </c:pt>
                <c:pt idx="22">
                  <c:v>7.7521539560816448</c:v>
                </c:pt>
                <c:pt idx="23">
                  <c:v>7.7499499828158545</c:v>
                </c:pt>
                <c:pt idx="24">
                  <c:v>7.7480842630602194</c:v>
                </c:pt>
                <c:pt idx="25">
                  <c:v>7.7473181884745559</c:v>
                </c:pt>
                <c:pt idx="26">
                  <c:v>7.7458041304196081</c:v>
                </c:pt>
                <c:pt idx="27">
                  <c:v>7.7444899768046014</c:v>
                </c:pt>
                <c:pt idx="28">
                  <c:v>7.7436102326073044</c:v>
                </c:pt>
                <c:pt idx="29">
                  <c:v>7.7425238728985812</c:v>
                </c:pt>
                <c:pt idx="30">
                  <c:v>7.7402694530656451</c:v>
                </c:pt>
                <c:pt idx="31">
                  <c:v>7.7391271518231033</c:v>
                </c:pt>
                <c:pt idx="32">
                  <c:v>7.7382504428349508</c:v>
                </c:pt>
                <c:pt idx="33">
                  <c:v>7.7374962817636002</c:v>
                </c:pt>
                <c:pt idx="34">
                  <c:v>7.7368775194157422</c:v>
                </c:pt>
                <c:pt idx="35">
                  <c:v>7.7368867891927229</c:v>
                </c:pt>
                <c:pt idx="36">
                  <c:v>7.7340045148895449</c:v>
                </c:pt>
                <c:pt idx="37">
                  <c:v>7.7318477321014152</c:v>
                </c:pt>
                <c:pt idx="38">
                  <c:v>7.7317245730696875</c:v>
                </c:pt>
                <c:pt idx="39">
                  <c:v>7.7312021035003466</c:v>
                </c:pt>
                <c:pt idx="40">
                  <c:v>7.729051933526315</c:v>
                </c:pt>
                <c:pt idx="41">
                  <c:v>7.725455926681553</c:v>
                </c:pt>
                <c:pt idx="42">
                  <c:v>7.7217390966528221</c:v>
                </c:pt>
                <c:pt idx="43">
                  <c:v>7.7162418652987226</c:v>
                </c:pt>
                <c:pt idx="44">
                  <c:v>7.7134708590300534</c:v>
                </c:pt>
                <c:pt idx="45">
                  <c:v>7.7108014155816234</c:v>
                </c:pt>
                <c:pt idx="46">
                  <c:v>7.7112181218578817</c:v>
                </c:pt>
                <c:pt idx="47">
                  <c:v>7.709508204392832</c:v>
                </c:pt>
                <c:pt idx="48">
                  <c:v>7.7083701042434107</c:v>
                </c:pt>
                <c:pt idx="49">
                  <c:v>7.7069413463041929</c:v>
                </c:pt>
                <c:pt idx="50">
                  <c:v>7.7067379965593963</c:v>
                </c:pt>
                <c:pt idx="51">
                  <c:v>7.7055681538174294</c:v>
                </c:pt>
                <c:pt idx="52">
                  <c:v>7.703692474592156</c:v>
                </c:pt>
                <c:pt idx="53">
                  <c:v>7.7031831397719355</c:v>
                </c:pt>
                <c:pt idx="54">
                  <c:v>7.7023490023917107</c:v>
                </c:pt>
                <c:pt idx="55">
                  <c:v>7.701561192121039</c:v>
                </c:pt>
                <c:pt idx="56">
                  <c:v>7.7008244585413621</c:v>
                </c:pt>
                <c:pt idx="57">
                  <c:v>7.7003811847847272</c:v>
                </c:pt>
                <c:pt idx="58">
                  <c:v>7.6997223200237421</c:v>
                </c:pt>
                <c:pt idx="59">
                  <c:v>7.6986070096435615</c:v>
                </c:pt>
                <c:pt idx="60">
                  <c:v>7.6981022769470897</c:v>
                </c:pt>
                <c:pt idx="61">
                  <c:v>7.6966727384845637</c:v>
                </c:pt>
                <c:pt idx="62">
                  <c:v>7.696409929883349</c:v>
                </c:pt>
                <c:pt idx="63">
                  <c:v>7.6954568497184574</c:v>
                </c:pt>
                <c:pt idx="64">
                  <c:v>7.6953300144931189</c:v>
                </c:pt>
                <c:pt idx="65">
                  <c:v>7.6946512514690797</c:v>
                </c:pt>
                <c:pt idx="66">
                  <c:v>7.693621616908624</c:v>
                </c:pt>
                <c:pt idx="67">
                  <c:v>7.6930247465934007</c:v>
                </c:pt>
                <c:pt idx="68">
                  <c:v>7.6923091008985134</c:v>
                </c:pt>
                <c:pt idx="69">
                  <c:v>7.691258314649593</c:v>
                </c:pt>
                <c:pt idx="70">
                  <c:v>7.6913696098793638</c:v>
                </c:pt>
                <c:pt idx="71">
                  <c:v>7.6906870362812088</c:v>
                </c:pt>
                <c:pt idx="72">
                  <c:v>7.6897090481330022</c:v>
                </c:pt>
                <c:pt idx="73">
                  <c:v>7.689042106046216</c:v>
                </c:pt>
                <c:pt idx="74">
                  <c:v>7.6885439275243499</c:v>
                </c:pt>
                <c:pt idx="75">
                  <c:v>7.6882864682625511</c:v>
                </c:pt>
                <c:pt idx="76">
                  <c:v>7.6873603183687944</c:v>
                </c:pt>
                <c:pt idx="77">
                  <c:v>7.6876799121318662</c:v>
                </c:pt>
                <c:pt idx="78">
                  <c:v>7.6873558397971529</c:v>
                </c:pt>
                <c:pt idx="79">
                  <c:v>7.6875697730569961</c:v>
                </c:pt>
                <c:pt idx="80">
                  <c:v>7.6868728388816265</c:v>
                </c:pt>
                <c:pt idx="81">
                  <c:v>7.6872005389037685</c:v>
                </c:pt>
                <c:pt idx="82">
                  <c:v>7.6870164308169624</c:v>
                </c:pt>
                <c:pt idx="83">
                  <c:v>7.6869785744771395</c:v>
                </c:pt>
                <c:pt idx="84">
                  <c:v>7.6865872733273566</c:v>
                </c:pt>
                <c:pt idx="85">
                  <c:v>7.6869471015189648</c:v>
                </c:pt>
                <c:pt idx="86">
                  <c:v>7.6868054038220874</c:v>
                </c:pt>
                <c:pt idx="87">
                  <c:v>7.6868368816989809</c:v>
                </c:pt>
                <c:pt idx="88">
                  <c:v>7.6856502394444624</c:v>
                </c:pt>
                <c:pt idx="89">
                  <c:v>7.6845561653994094</c:v>
                </c:pt>
                <c:pt idx="90">
                  <c:v>7.6850548746337282</c:v>
                </c:pt>
                <c:pt idx="91">
                  <c:v>7.6844533169178089</c:v>
                </c:pt>
                <c:pt idx="92">
                  <c:v>7.6841974975739804</c:v>
                </c:pt>
                <c:pt idx="93">
                  <c:v>7.6837801622016872</c:v>
                </c:pt>
                <c:pt idx="94">
                  <c:v>7.6838636433948908</c:v>
                </c:pt>
                <c:pt idx="95">
                  <c:v>7.6828165372637605</c:v>
                </c:pt>
                <c:pt idx="96">
                  <c:v>7.6823508042294844</c:v>
                </c:pt>
                <c:pt idx="97">
                  <c:v>7.6823038817448355</c:v>
                </c:pt>
                <c:pt idx="98">
                  <c:v>7.6824792962991282</c:v>
                </c:pt>
                <c:pt idx="99">
                  <c:v>7.6825867351054802</c:v>
                </c:pt>
                <c:pt idx="100">
                  <c:v>7.6832515875360752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CE-41AB-8162-A86C83DAC0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709055"/>
        <c:axId val="1502709471"/>
      </c:scatterChart>
      <c:valAx>
        <c:axId val="1502709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471"/>
        <c:crosses val="autoZero"/>
        <c:crossBetween val="midCat"/>
      </c:valAx>
      <c:valAx>
        <c:axId val="150270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f(x) -&gt; 0 - 1000 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0.41752448764414579"/>
                  <c:y val="3.345581802274715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Cu_2ndPhase!$G$2:$G$102</c:f>
              <c:numCache>
                <c:formatCode>General</c:formatCode>
                <c:ptCount val="10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</c:numCache>
            </c:numRef>
          </c:xVal>
          <c:yVal>
            <c:numRef>
              <c:f>Cu_2ndPhase!$B$2:$B$102</c:f>
              <c:numCache>
                <c:formatCode>General</c:formatCode>
                <c:ptCount val="101"/>
                <c:pt idx="0">
                  <c:v>2608.6145019999999</c:v>
                </c:pt>
                <c:pt idx="1">
                  <c:v>2592.8752439999998</c:v>
                </c:pt>
                <c:pt idx="2">
                  <c:v>2564.638672</c:v>
                </c:pt>
                <c:pt idx="3">
                  <c:v>2537.5285640000002</c:v>
                </c:pt>
                <c:pt idx="4">
                  <c:v>2516.8996579999998</c:v>
                </c:pt>
                <c:pt idx="5">
                  <c:v>2499.1010740000002</c:v>
                </c:pt>
                <c:pt idx="6">
                  <c:v>2473.5122070000002</c:v>
                </c:pt>
                <c:pt idx="7">
                  <c:v>2457.6508789999998</c:v>
                </c:pt>
                <c:pt idx="8">
                  <c:v>2446.845703</c:v>
                </c:pt>
                <c:pt idx="9">
                  <c:v>2432.2939449999999</c:v>
                </c:pt>
                <c:pt idx="10">
                  <c:v>2419.186768</c:v>
                </c:pt>
                <c:pt idx="11">
                  <c:v>2409.640625</c:v>
                </c:pt>
                <c:pt idx="12">
                  <c:v>2399.5720209999999</c:v>
                </c:pt>
                <c:pt idx="13">
                  <c:v>2392.4997560000002</c:v>
                </c:pt>
                <c:pt idx="14">
                  <c:v>2385.5932619999999</c:v>
                </c:pt>
                <c:pt idx="15">
                  <c:v>2375.9584960000002</c:v>
                </c:pt>
                <c:pt idx="16">
                  <c:v>2367.5598140000002</c:v>
                </c:pt>
                <c:pt idx="17">
                  <c:v>2360.7231449999999</c:v>
                </c:pt>
                <c:pt idx="18">
                  <c:v>2351.7460940000001</c:v>
                </c:pt>
                <c:pt idx="19">
                  <c:v>2346.5798340000001</c:v>
                </c:pt>
                <c:pt idx="20">
                  <c:v>2339.8793949999999</c:v>
                </c:pt>
                <c:pt idx="21">
                  <c:v>2334.0598140000002</c:v>
                </c:pt>
                <c:pt idx="22">
                  <c:v>2326.5783689999998</c:v>
                </c:pt>
                <c:pt idx="23">
                  <c:v>2321.4562989999999</c:v>
                </c:pt>
                <c:pt idx="24">
                  <c:v>2317.1291500000002</c:v>
                </c:pt>
                <c:pt idx="25">
                  <c:v>2315.3547359999998</c:v>
                </c:pt>
                <c:pt idx="26">
                  <c:v>2311.851807</c:v>
                </c:pt>
                <c:pt idx="27">
                  <c:v>2308.8156739999999</c:v>
                </c:pt>
                <c:pt idx="28">
                  <c:v>2306.7854000000002</c:v>
                </c:pt>
                <c:pt idx="29">
                  <c:v>2304.2807619999999</c:v>
                </c:pt>
                <c:pt idx="30">
                  <c:v>2299.091797</c:v>
                </c:pt>
                <c:pt idx="31">
                  <c:v>2296.4670409999999</c:v>
                </c:pt>
                <c:pt idx="32">
                  <c:v>2294.4545899999998</c:v>
                </c:pt>
                <c:pt idx="33">
                  <c:v>2292.7248540000001</c:v>
                </c:pt>
                <c:pt idx="34">
                  <c:v>2291.3066410000001</c:v>
                </c:pt>
                <c:pt idx="35">
                  <c:v>2291.3278810000002</c:v>
                </c:pt>
                <c:pt idx="36">
                  <c:v>2284.733154</c:v>
                </c:pt>
                <c:pt idx="37">
                  <c:v>2279.8107909999999</c:v>
                </c:pt>
                <c:pt idx="38">
                  <c:v>2279.530029</c:v>
                </c:pt>
                <c:pt idx="39">
                  <c:v>2278.3393550000001</c:v>
                </c:pt>
                <c:pt idx="40">
                  <c:v>2273.4458009999998</c:v>
                </c:pt>
                <c:pt idx="41">
                  <c:v>2265.2851559999999</c:v>
                </c:pt>
                <c:pt idx="42">
                  <c:v>2256.8811040000001</c:v>
                </c:pt>
                <c:pt idx="43">
                  <c:v>2244.5085450000001</c:v>
                </c:pt>
                <c:pt idx="44">
                  <c:v>2238.297607</c:v>
                </c:pt>
                <c:pt idx="45">
                  <c:v>2232.3305660000001</c:v>
                </c:pt>
                <c:pt idx="46">
                  <c:v>2233.2609859999998</c:v>
                </c:pt>
                <c:pt idx="47">
                  <c:v>2229.445557</c:v>
                </c:pt>
                <c:pt idx="48">
                  <c:v>2226.9096679999998</c:v>
                </c:pt>
                <c:pt idx="49">
                  <c:v>2223.7302249999998</c:v>
                </c:pt>
                <c:pt idx="50">
                  <c:v>2223.2780760000001</c:v>
                </c:pt>
                <c:pt idx="51">
                  <c:v>2220.678711</c:v>
                </c:pt>
                <c:pt idx="52">
                  <c:v>2216.5173340000001</c:v>
                </c:pt>
                <c:pt idx="53">
                  <c:v>2215.388672</c:v>
                </c:pt>
                <c:pt idx="54">
                  <c:v>2213.5415039999998</c:v>
                </c:pt>
                <c:pt idx="55">
                  <c:v>2211.7983399999998</c:v>
                </c:pt>
                <c:pt idx="56">
                  <c:v>2210.1694339999999</c:v>
                </c:pt>
                <c:pt idx="57">
                  <c:v>2209.1899410000001</c:v>
                </c:pt>
                <c:pt idx="58">
                  <c:v>2207.7348630000001</c:v>
                </c:pt>
                <c:pt idx="59">
                  <c:v>2205.2739259999998</c:v>
                </c:pt>
                <c:pt idx="60">
                  <c:v>2204.1611330000001</c:v>
                </c:pt>
                <c:pt idx="61">
                  <c:v>2201.0124510000001</c:v>
                </c:pt>
                <c:pt idx="62">
                  <c:v>2200.4340820000002</c:v>
                </c:pt>
                <c:pt idx="63">
                  <c:v>2198.3378910000001</c:v>
                </c:pt>
                <c:pt idx="64">
                  <c:v>2198.0590820000002</c:v>
                </c:pt>
                <c:pt idx="65">
                  <c:v>2196.5676269999999</c:v>
                </c:pt>
                <c:pt idx="66">
                  <c:v>2194.3071289999998</c:v>
                </c:pt>
                <c:pt idx="67">
                  <c:v>2192.9978030000002</c:v>
                </c:pt>
                <c:pt idx="68">
                  <c:v>2191.4289549999999</c:v>
                </c:pt>
                <c:pt idx="69">
                  <c:v>2189.1274410000001</c:v>
                </c:pt>
                <c:pt idx="70">
                  <c:v>2189.3710940000001</c:v>
                </c:pt>
                <c:pt idx="71">
                  <c:v>2187.8771969999998</c:v>
                </c:pt>
                <c:pt idx="72">
                  <c:v>2185.7385250000002</c:v>
                </c:pt>
                <c:pt idx="73">
                  <c:v>2184.28125</c:v>
                </c:pt>
                <c:pt idx="74">
                  <c:v>2183.1933589999999</c:v>
                </c:pt>
                <c:pt idx="75">
                  <c:v>2182.6313479999999</c:v>
                </c:pt>
                <c:pt idx="76">
                  <c:v>2180.6108399999998</c:v>
                </c:pt>
                <c:pt idx="77">
                  <c:v>2181.3078609999998</c:v>
                </c:pt>
                <c:pt idx="78">
                  <c:v>2180.6010740000002</c:v>
                </c:pt>
                <c:pt idx="79">
                  <c:v>2181.0676269999999</c:v>
                </c:pt>
                <c:pt idx="80">
                  <c:v>2179.548096</c:v>
                </c:pt>
                <c:pt idx="81">
                  <c:v>2180.2624510000001</c:v>
                </c:pt>
                <c:pt idx="82">
                  <c:v>2179.8610840000001</c:v>
                </c:pt>
                <c:pt idx="83">
                  <c:v>2179.7785640000002</c:v>
                </c:pt>
                <c:pt idx="84">
                  <c:v>2178.9257809999999</c:v>
                </c:pt>
                <c:pt idx="85">
                  <c:v>2179.709961</c:v>
                </c:pt>
                <c:pt idx="86">
                  <c:v>2179.4011230000001</c:v>
                </c:pt>
                <c:pt idx="87">
                  <c:v>2179.4697270000001</c:v>
                </c:pt>
                <c:pt idx="88">
                  <c:v>2176.88501</c:v>
                </c:pt>
                <c:pt idx="89">
                  <c:v>2174.5046390000002</c:v>
                </c:pt>
                <c:pt idx="90">
                  <c:v>2175.5893550000001</c:v>
                </c:pt>
                <c:pt idx="91">
                  <c:v>2174.2810060000002</c:v>
                </c:pt>
                <c:pt idx="92">
                  <c:v>2173.7248540000001</c:v>
                </c:pt>
                <c:pt idx="93">
                  <c:v>2172.8178710000002</c:v>
                </c:pt>
                <c:pt idx="94">
                  <c:v>2172.999268</c:v>
                </c:pt>
                <c:pt idx="95">
                  <c:v>2170.7250979999999</c:v>
                </c:pt>
                <c:pt idx="96">
                  <c:v>2169.7143550000001</c:v>
                </c:pt>
                <c:pt idx="97">
                  <c:v>2169.6125489999999</c:v>
                </c:pt>
                <c:pt idx="98">
                  <c:v>2169.993164</c:v>
                </c:pt>
                <c:pt idx="99">
                  <c:v>2170.226318</c:v>
                </c:pt>
                <c:pt idx="100">
                  <c:v>2171.6696780000002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8C-4D61-91AF-1ACE743F62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1622239"/>
        <c:axId val="1481622655"/>
      </c:scatterChart>
      <c:valAx>
        <c:axId val="1481622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655"/>
        <c:crosses val="autoZero"/>
        <c:crossBetween val="midCat"/>
      </c:valAx>
      <c:valAx>
        <c:axId val="1481622655"/>
        <c:scaling>
          <c:orientation val="minMax"/>
          <c:min val="19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ln(f(x)) -&gt;</a:t>
            </a:r>
            <a:r>
              <a:rPr lang="fr-CH" baseline="0"/>
              <a:t> </a:t>
            </a:r>
            <a:r>
              <a:rPr lang="fr-CH" sz="1400" b="0" i="0" u="none" strike="noStrike" baseline="0">
                <a:effectLst/>
              </a:rPr>
              <a:t>0 to non negative f(x) with baseline</a:t>
            </a:r>
            <a:endParaRPr lang="fr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6146086086534385"/>
                  <c:y val="3.48946485855934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Cu_2ndPhase!$G$2:$G$194</c:f>
              <c:numCache>
                <c:formatCode>General</c:formatCode>
                <c:ptCount val="193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</c:numCache>
            </c:numRef>
          </c:xVal>
          <c:yVal>
            <c:numRef>
              <c:f>Cu_2ndPhase!$H$2:$H$148</c:f>
              <c:numCache>
                <c:formatCode>General</c:formatCode>
                <c:ptCount val="147"/>
                <c:pt idx="0">
                  <c:v>6.1528841130270049</c:v>
                </c:pt>
                <c:pt idx="1">
                  <c:v>6.118828019032347</c:v>
                </c:pt>
                <c:pt idx="2">
                  <c:v>6.0546631287399428</c:v>
                </c:pt>
                <c:pt idx="3">
                  <c:v>5.9889244086862723</c:v>
                </c:pt>
                <c:pt idx="4">
                  <c:v>5.9358364182550591</c:v>
                </c:pt>
                <c:pt idx="5">
                  <c:v>5.8876521214291602</c:v>
                </c:pt>
                <c:pt idx="6">
                  <c:v>5.8140376230315667</c:v>
                </c:pt>
                <c:pt idx="7">
                  <c:v>5.7655281901651358</c:v>
                </c:pt>
                <c:pt idx="8">
                  <c:v>5.7310810319108123</c:v>
                </c:pt>
                <c:pt idx="9">
                  <c:v>5.6827311590731977</c:v>
                </c:pt>
                <c:pt idx="10">
                  <c:v>5.6370849596789059</c:v>
                </c:pt>
                <c:pt idx="11">
                  <c:v>5.6024777785868949</c:v>
                </c:pt>
                <c:pt idx="12">
                  <c:v>5.5646303284842062</c:v>
                </c:pt>
                <c:pt idx="13">
                  <c:v>5.537162701120848</c:v>
                </c:pt>
                <c:pt idx="14">
                  <c:v>5.5095904700437952</c:v>
                </c:pt>
                <c:pt idx="15">
                  <c:v>5.4698103638756113</c:v>
                </c:pt>
                <c:pt idx="16">
                  <c:v>5.4337939834963738</c:v>
                </c:pt>
                <c:pt idx="17">
                  <c:v>5.4034870314950245</c:v>
                </c:pt>
                <c:pt idx="18">
                  <c:v>5.3622436565603744</c:v>
                </c:pt>
                <c:pt idx="19">
                  <c:v>5.3377135643029954</c:v>
                </c:pt>
                <c:pt idx="20">
                  <c:v>5.3049754770554571</c:v>
                </c:pt>
                <c:pt idx="21">
                  <c:v>5.2756446930064813</c:v>
                </c:pt>
                <c:pt idx="22">
                  <c:v>5.236628323123365</c:v>
                </c:pt>
                <c:pt idx="23">
                  <c:v>5.2090104604827765</c:v>
                </c:pt>
                <c:pt idx="24">
                  <c:v>5.185069269993674</c:v>
                </c:pt>
                <c:pt idx="25">
                  <c:v>5.1750836616972915</c:v>
                </c:pt>
                <c:pt idx="26">
                  <c:v>5.155073110701248</c:v>
                </c:pt>
                <c:pt idx="27">
                  <c:v>5.1373991787088542</c:v>
                </c:pt>
                <c:pt idx="28">
                  <c:v>5.1254038351703946</c:v>
                </c:pt>
                <c:pt idx="29">
                  <c:v>5.1104048011534005</c:v>
                </c:pt>
                <c:pt idx="30">
                  <c:v>5.0785958720626558</c:v>
                </c:pt>
                <c:pt idx="31">
                  <c:v>5.0621120746491899</c:v>
                </c:pt>
                <c:pt idx="32">
                  <c:v>5.0492869992413336</c:v>
                </c:pt>
                <c:pt idx="33">
                  <c:v>5.0381306355327906</c:v>
                </c:pt>
                <c:pt idx="34">
                  <c:v>5.0288897366445537</c:v>
                </c:pt>
                <c:pt idx="35">
                  <c:v>5.0290287655999206</c:v>
                </c:pt>
                <c:pt idx="36">
                  <c:v>4.9849059416100836</c:v>
                </c:pt>
                <c:pt idx="37">
                  <c:v>4.950654980085627</c:v>
                </c:pt>
                <c:pt idx="38">
                  <c:v>4.9486655525951662</c:v>
                </c:pt>
                <c:pt idx="39">
                  <c:v>4.9401843959190765</c:v>
                </c:pt>
                <c:pt idx="40">
                  <c:v>4.9045520803180036</c:v>
                </c:pt>
                <c:pt idx="41">
                  <c:v>4.8421521512399037</c:v>
                </c:pt>
                <c:pt idx="42">
                  <c:v>4.7735430268637593</c:v>
                </c:pt>
                <c:pt idx="43">
                  <c:v>4.6631108798783112</c:v>
                </c:pt>
                <c:pt idx="44">
                  <c:v>4.602709932043755</c:v>
                </c:pt>
                <c:pt idx="45">
                  <c:v>4.5410287699938365</c:v>
                </c:pt>
                <c:pt idx="46">
                  <c:v>4.5509004242078692</c:v>
                </c:pt>
                <c:pt idx="47">
                  <c:v>4.5097845003332724</c:v>
                </c:pt>
                <c:pt idx="48">
                  <c:v>4.4814911052687627</c:v>
                </c:pt>
                <c:pt idx="49">
                  <c:v>4.4448476074506056</c:v>
                </c:pt>
                <c:pt idx="50">
                  <c:v>4.4395257418601508</c:v>
                </c:pt>
                <c:pt idx="51">
                  <c:v>4.4083688736869764</c:v>
                </c:pt>
                <c:pt idx="52">
                  <c:v>4.3563754890875055</c:v>
                </c:pt>
                <c:pt idx="53">
                  <c:v>4.341794856566648</c:v>
                </c:pt>
                <c:pt idx="54">
                  <c:v>4.3174637665732565</c:v>
                </c:pt>
                <c:pt idx="55">
                  <c:v>4.2939466414627185</c:v>
                </c:pt>
                <c:pt idx="56">
                  <c:v>4.2714595885286801</c:v>
                </c:pt>
                <c:pt idx="57">
                  <c:v>4.2576901391194149</c:v>
                </c:pt>
                <c:pt idx="58">
                  <c:v>4.2368784996462532</c:v>
                </c:pt>
                <c:pt idx="59">
                  <c:v>4.2006635583906879</c:v>
                </c:pt>
                <c:pt idx="60">
                  <c:v>4.1838470463263233</c:v>
                </c:pt>
                <c:pt idx="61">
                  <c:v>4.1346723706525239</c:v>
                </c:pt>
                <c:pt idx="62">
                  <c:v>4.1253707662672126</c:v>
                </c:pt>
                <c:pt idx="63">
                  <c:v>4.0909147036428397</c:v>
                </c:pt>
                <c:pt idx="64">
                  <c:v>4.08624101701007</c:v>
                </c:pt>
                <c:pt idx="65">
                  <c:v>4.0608618366196358</c:v>
                </c:pt>
                <c:pt idx="66">
                  <c:v>4.0211248954083363</c:v>
                </c:pt>
                <c:pt idx="67">
                  <c:v>3.9973649947652796</c:v>
                </c:pt>
                <c:pt idx="68">
                  <c:v>3.9681315628060494</c:v>
                </c:pt>
                <c:pt idx="69">
                  <c:v>3.923637515123668</c:v>
                </c:pt>
                <c:pt idx="70">
                  <c:v>3.928442740721414</c:v>
                </c:pt>
                <c:pt idx="71">
                  <c:v>3.8986108026050599</c:v>
                </c:pt>
                <c:pt idx="72">
                  <c:v>3.8542920865619994</c:v>
                </c:pt>
                <c:pt idx="73">
                  <c:v>3.8229277131400043</c:v>
                </c:pt>
                <c:pt idx="74">
                  <c:v>3.7988549568183756</c:v>
                </c:pt>
                <c:pt idx="75">
                  <c:v>3.7861880448552094</c:v>
                </c:pt>
                <c:pt idx="76">
                  <c:v>3.7392757087816322</c:v>
                </c:pt>
                <c:pt idx="77">
                  <c:v>3.7557090440604091</c:v>
                </c:pt>
                <c:pt idx="78">
                  <c:v>3.7390435311755224</c:v>
                </c:pt>
                <c:pt idx="79">
                  <c:v>3.7500756066931911</c:v>
                </c:pt>
                <c:pt idx="80">
                  <c:v>3.7136883038509483</c:v>
                </c:pt>
                <c:pt idx="81">
                  <c:v>3.7309595608789792</c:v>
                </c:pt>
                <c:pt idx="82">
                  <c:v>3.7212922865301374</c:v>
                </c:pt>
                <c:pt idx="83">
                  <c:v>3.7192930850600554</c:v>
                </c:pt>
                <c:pt idx="84">
                  <c:v>3.6983953094081463</c:v>
                </c:pt>
                <c:pt idx="85">
                  <c:v>3.7176280010027871</c:v>
                </c:pt>
                <c:pt idx="86">
                  <c:v>3.710097574225351</c:v>
                </c:pt>
                <c:pt idx="87">
                  <c:v>3.7117752582885242</c:v>
                </c:pt>
                <c:pt idx="88">
                  <c:v>3.6465375551238512</c:v>
                </c:pt>
                <c:pt idx="89">
                  <c:v>3.582443610498192</c:v>
                </c:pt>
                <c:pt idx="90">
                  <c:v>3.6121610585369957</c:v>
                </c:pt>
                <c:pt idx="91">
                  <c:v>3.5762054824351894</c:v>
                </c:pt>
                <c:pt idx="92">
                  <c:v>3.5605210584393481</c:v>
                </c:pt>
                <c:pt idx="93">
                  <c:v>3.5344028336738136</c:v>
                </c:pt>
                <c:pt idx="94">
                  <c:v>3.5396813483538607</c:v>
                </c:pt>
                <c:pt idx="95">
                  <c:v>3.4714000810121517</c:v>
                </c:pt>
                <c:pt idx="96">
                  <c:v>3.4394889774220858</c:v>
                </c:pt>
                <c:pt idx="97">
                  <c:v>3.4362175863011224</c:v>
                </c:pt>
                <c:pt idx="98">
                  <c:v>3.4483937049131241</c:v>
                </c:pt>
                <c:pt idx="99">
                  <c:v>3.4557798806803639</c:v>
                </c:pt>
                <c:pt idx="100">
                  <c:v>3.500328977818024</c:v>
                </c:pt>
                <c:pt idx="101">
                  <c:v>3.4948528598692512</c:v>
                </c:pt>
                <c:pt idx="102">
                  <c:v>3.4574275462935686</c:v>
                </c:pt>
                <c:pt idx="103">
                  <c:v>3.3869155467083463</c:v>
                </c:pt>
                <c:pt idx="104">
                  <c:v>3.3023937301184811</c:v>
                </c:pt>
                <c:pt idx="105">
                  <c:v>3.210151558890225</c:v>
                </c:pt>
                <c:pt idx="106">
                  <c:v>3.1498953675899064</c:v>
                </c:pt>
                <c:pt idx="107">
                  <c:v>3.1293882209212462</c:v>
                </c:pt>
                <c:pt idx="108">
                  <c:v>3.0912035767408841</c:v>
                </c:pt>
                <c:pt idx="109">
                  <c:v>2.9535019440453998</c:v>
                </c:pt>
                <c:pt idx="110">
                  <c:v>2.9407252496964764</c:v>
                </c:pt>
                <c:pt idx="111">
                  <c:v>2.9702832261889585</c:v>
                </c:pt>
                <c:pt idx="112">
                  <c:v>2.888043215611281</c:v>
                </c:pt>
                <c:pt idx="113">
                  <c:v>2.93779326100849</c:v>
                </c:pt>
                <c:pt idx="114">
                  <c:v>2.7959722466406713</c:v>
                </c:pt>
                <c:pt idx="115">
                  <c:v>2.8167720411741599</c:v>
                </c:pt>
                <c:pt idx="116">
                  <c:v>2.7783630188544479</c:v>
                </c:pt>
                <c:pt idx="117">
                  <c:v>2.7254359231062986</c:v>
                </c:pt>
                <c:pt idx="118">
                  <c:v>2.7054837773188636</c:v>
                </c:pt>
                <c:pt idx="119">
                  <c:v>2.5647713416176687</c:v>
                </c:pt>
                <c:pt idx="120">
                  <c:v>2.5937253290993132</c:v>
                </c:pt>
                <c:pt idx="121">
                  <c:v>2.4853850353433673</c:v>
                </c:pt>
                <c:pt idx="122">
                  <c:v>2.4277092057746215</c:v>
                </c:pt>
                <c:pt idx="123">
                  <c:v>2.3934580793634828</c:v>
                </c:pt>
                <c:pt idx="124">
                  <c:v>2.477975937793492</c:v>
                </c:pt>
                <c:pt idx="125">
                  <c:v>2.4205313153347499</c:v>
                </c:pt>
                <c:pt idx="126">
                  <c:v>2.3165621571489163</c:v>
                </c:pt>
                <c:pt idx="127">
                  <c:v>2.2490926453986235</c:v>
                </c:pt>
                <c:pt idx="128">
                  <c:v>2.3319238710320613</c:v>
                </c:pt>
                <c:pt idx="129">
                  <c:v>2.4928204198094024</c:v>
                </c:pt>
                <c:pt idx="130">
                  <c:v>2.5150372949687121</c:v>
                </c:pt>
                <c:pt idx="131">
                  <c:v>2.4671830098990895</c:v>
                </c:pt>
                <c:pt idx="132">
                  <c:v>2.4975927564437064</c:v>
                </c:pt>
                <c:pt idx="133">
                  <c:v>2.315285401566284</c:v>
                </c:pt>
                <c:pt idx="134">
                  <c:v>2.4084159180390552</c:v>
                </c:pt>
                <c:pt idx="135">
                  <c:v>2.3728715008353229</c:v>
                </c:pt>
                <c:pt idx="136">
                  <c:v>2.2505853385960837</c:v>
                </c:pt>
                <c:pt idx="137">
                  <c:v>2.0779304004808883</c:v>
                </c:pt>
                <c:pt idx="138">
                  <c:v>2.0652891168833922</c:v>
                </c:pt>
                <c:pt idx="139">
                  <c:v>1.7732177965943021</c:v>
                </c:pt>
                <c:pt idx="140">
                  <c:v>1.9483319284645779</c:v>
                </c:pt>
                <c:pt idx="141">
                  <c:v>1.8771783149236982</c:v>
                </c:pt>
                <c:pt idx="142">
                  <c:v>1.7811862694322662</c:v>
                </c:pt>
                <c:pt idx="143">
                  <c:v>0.39161970128603757</c:v>
                </c:pt>
                <c:pt idx="144">
                  <c:v>0.42536969099088373</c:v>
                </c:pt>
                <c:pt idx="145">
                  <c:v>0.65843564576403124</c:v>
                </c:pt>
                <c:pt idx="146">
                  <c:v>-0.77157369497754935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9C-4BBA-947A-39DC50DC01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709055"/>
        <c:axId val="1502709471"/>
      </c:scatterChart>
      <c:valAx>
        <c:axId val="1502709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471"/>
        <c:crosses val="autoZero"/>
        <c:crossBetween val="midCat"/>
      </c:valAx>
      <c:valAx>
        <c:axId val="150270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f(x) -&gt; </a:t>
            </a:r>
            <a:r>
              <a:rPr lang="fr-CH" sz="1400" b="0" i="0" u="none" strike="noStrike" baseline="0">
                <a:effectLst/>
              </a:rPr>
              <a:t>0 to non negative f(x) with baseline</a:t>
            </a:r>
            <a:endParaRPr lang="fr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0.17967332966883001"/>
                  <c:y val="-0.3186654272382619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Cu_2ndPhase!$G$2:$G$197</c:f>
              <c:numCache>
                <c:formatCode>General</c:formatCode>
                <c:ptCount val="19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</c:numCache>
            </c:numRef>
          </c:xVal>
          <c:yVal>
            <c:numRef>
              <c:f>Cu_2ndPhase!$F$2:$F$148</c:f>
              <c:numCache>
                <c:formatCode>General</c:formatCode>
                <c:ptCount val="147"/>
                <c:pt idx="0">
                  <c:v>470.07117199999993</c:v>
                </c:pt>
                <c:pt idx="1">
                  <c:v>454.33191399999987</c:v>
                </c:pt>
                <c:pt idx="2">
                  <c:v>426.09534200000007</c:v>
                </c:pt>
                <c:pt idx="3">
                  <c:v>398.98523400000022</c:v>
                </c:pt>
                <c:pt idx="4">
                  <c:v>378.35632799999985</c:v>
                </c:pt>
                <c:pt idx="5">
                  <c:v>360.55774400000018</c:v>
                </c:pt>
                <c:pt idx="6">
                  <c:v>334.96887700000025</c:v>
                </c:pt>
                <c:pt idx="7">
                  <c:v>319.10754899999984</c:v>
                </c:pt>
                <c:pt idx="8">
                  <c:v>308.30237299999999</c:v>
                </c:pt>
                <c:pt idx="9">
                  <c:v>293.75061499999993</c:v>
                </c:pt>
                <c:pt idx="10">
                  <c:v>280.64343800000006</c:v>
                </c:pt>
                <c:pt idx="11">
                  <c:v>271.09729500000003</c:v>
                </c:pt>
                <c:pt idx="12">
                  <c:v>261.02869099999998</c:v>
                </c:pt>
                <c:pt idx="13">
                  <c:v>253.95642600000019</c:v>
                </c:pt>
                <c:pt idx="14">
                  <c:v>247.0499319999999</c:v>
                </c:pt>
                <c:pt idx="15">
                  <c:v>237.41516600000023</c:v>
                </c:pt>
                <c:pt idx="16">
                  <c:v>229.01648400000022</c:v>
                </c:pt>
                <c:pt idx="17">
                  <c:v>222.17981499999996</c:v>
                </c:pt>
                <c:pt idx="18">
                  <c:v>213.20276400000012</c:v>
                </c:pt>
                <c:pt idx="19">
                  <c:v>208.03650400000015</c:v>
                </c:pt>
                <c:pt idx="20">
                  <c:v>201.33606499999996</c:v>
                </c:pt>
                <c:pt idx="21">
                  <c:v>195.51648400000022</c:v>
                </c:pt>
                <c:pt idx="22">
                  <c:v>188.03503899999987</c:v>
                </c:pt>
                <c:pt idx="23">
                  <c:v>182.91296899999998</c:v>
                </c:pt>
                <c:pt idx="24">
                  <c:v>178.58582000000024</c:v>
                </c:pt>
                <c:pt idx="25">
                  <c:v>176.81140599999981</c:v>
                </c:pt>
                <c:pt idx="26">
                  <c:v>173.30847700000004</c:v>
                </c:pt>
                <c:pt idx="27">
                  <c:v>170.27234399999998</c:v>
                </c:pt>
                <c:pt idx="28">
                  <c:v>168.24207000000024</c:v>
                </c:pt>
                <c:pt idx="29">
                  <c:v>165.7374319999999</c:v>
                </c:pt>
                <c:pt idx="30">
                  <c:v>160.54846700000007</c:v>
                </c:pt>
                <c:pt idx="31">
                  <c:v>157.92371099999991</c:v>
                </c:pt>
                <c:pt idx="32">
                  <c:v>155.91125999999986</c:v>
                </c:pt>
                <c:pt idx="33">
                  <c:v>154.18152400000008</c:v>
                </c:pt>
                <c:pt idx="34">
                  <c:v>152.76331100000016</c:v>
                </c:pt>
                <c:pt idx="35">
                  <c:v>152.78455100000019</c:v>
                </c:pt>
                <c:pt idx="36">
                  <c:v>146.18982400000004</c:v>
                </c:pt>
                <c:pt idx="37">
                  <c:v>141.26746099999991</c:v>
                </c:pt>
                <c:pt idx="38">
                  <c:v>140.98669900000004</c:v>
                </c:pt>
                <c:pt idx="39">
                  <c:v>139.7960250000001</c:v>
                </c:pt>
                <c:pt idx="40">
                  <c:v>134.90247099999988</c:v>
                </c:pt>
                <c:pt idx="41">
                  <c:v>126.74182599999995</c:v>
                </c:pt>
                <c:pt idx="42">
                  <c:v>118.33777400000008</c:v>
                </c:pt>
                <c:pt idx="43">
                  <c:v>105.96521500000017</c:v>
                </c:pt>
                <c:pt idx="44">
                  <c:v>99.754277000000002</c:v>
                </c:pt>
                <c:pt idx="45">
                  <c:v>93.787236000000121</c:v>
                </c:pt>
                <c:pt idx="46">
                  <c:v>94.717655999999806</c:v>
                </c:pt>
                <c:pt idx="47">
                  <c:v>90.902227000000039</c:v>
                </c:pt>
                <c:pt idx="48">
                  <c:v>88.366337999999814</c:v>
                </c:pt>
                <c:pt idx="49">
                  <c:v>85.186894999999822</c:v>
                </c:pt>
                <c:pt idx="50">
                  <c:v>84.734746000000086</c:v>
                </c:pt>
                <c:pt idx="51">
                  <c:v>82.135381000000052</c:v>
                </c:pt>
                <c:pt idx="52">
                  <c:v>77.97400400000015</c:v>
                </c:pt>
                <c:pt idx="53">
                  <c:v>76.845342000000073</c:v>
                </c:pt>
                <c:pt idx="54">
                  <c:v>74.998173999999835</c:v>
                </c:pt>
                <c:pt idx="55">
                  <c:v>73.255009999999857</c:v>
                </c:pt>
                <c:pt idx="56">
                  <c:v>71.626103999999941</c:v>
                </c:pt>
                <c:pt idx="57">
                  <c:v>70.646611000000121</c:v>
                </c:pt>
                <c:pt idx="58">
                  <c:v>69.191533000000163</c:v>
                </c:pt>
                <c:pt idx="59">
                  <c:v>66.730595999999878</c:v>
                </c:pt>
                <c:pt idx="60">
                  <c:v>65.617803000000094</c:v>
                </c:pt>
                <c:pt idx="61">
                  <c:v>62.469121000000086</c:v>
                </c:pt>
                <c:pt idx="62">
                  <c:v>61.890752000000248</c:v>
                </c:pt>
                <c:pt idx="63">
                  <c:v>59.794561000000158</c:v>
                </c:pt>
                <c:pt idx="64">
                  <c:v>59.515752000000248</c:v>
                </c:pt>
                <c:pt idx="65">
                  <c:v>58.024296999999933</c:v>
                </c:pt>
                <c:pt idx="66">
                  <c:v>55.763798999999835</c:v>
                </c:pt>
                <c:pt idx="67">
                  <c:v>54.454473000000235</c:v>
                </c:pt>
                <c:pt idx="68">
                  <c:v>52.885624999999891</c:v>
                </c:pt>
                <c:pt idx="69">
                  <c:v>50.584111000000121</c:v>
                </c:pt>
                <c:pt idx="70">
                  <c:v>50.827764000000116</c:v>
                </c:pt>
                <c:pt idx="71">
                  <c:v>49.333866999999827</c:v>
                </c:pt>
                <c:pt idx="72">
                  <c:v>47.19519500000024</c:v>
                </c:pt>
                <c:pt idx="73">
                  <c:v>45.737920000000031</c:v>
                </c:pt>
                <c:pt idx="74">
                  <c:v>44.650028999999904</c:v>
                </c:pt>
                <c:pt idx="75">
                  <c:v>44.08801799999992</c:v>
                </c:pt>
                <c:pt idx="76">
                  <c:v>42.067509999999857</c:v>
                </c:pt>
                <c:pt idx="77">
                  <c:v>42.764530999999806</c:v>
                </c:pt>
                <c:pt idx="78">
                  <c:v>42.057744000000184</c:v>
                </c:pt>
                <c:pt idx="79">
                  <c:v>42.524296999999933</c:v>
                </c:pt>
                <c:pt idx="80">
                  <c:v>41.004766000000018</c:v>
                </c:pt>
                <c:pt idx="81">
                  <c:v>41.719121000000086</c:v>
                </c:pt>
                <c:pt idx="82">
                  <c:v>41.31775400000015</c:v>
                </c:pt>
                <c:pt idx="83">
                  <c:v>41.235234000000219</c:v>
                </c:pt>
                <c:pt idx="84">
                  <c:v>40.382450999999946</c:v>
                </c:pt>
                <c:pt idx="85">
                  <c:v>41.166631000000052</c:v>
                </c:pt>
                <c:pt idx="86">
                  <c:v>40.857793000000129</c:v>
                </c:pt>
                <c:pt idx="87">
                  <c:v>40.926397000000179</c:v>
                </c:pt>
                <c:pt idx="88">
                  <c:v>38.341679999999997</c:v>
                </c:pt>
                <c:pt idx="89">
                  <c:v>35.961309000000256</c:v>
                </c:pt>
                <c:pt idx="90">
                  <c:v>37.0460250000001</c:v>
                </c:pt>
                <c:pt idx="91">
                  <c:v>35.737676000000192</c:v>
                </c:pt>
                <c:pt idx="92">
                  <c:v>35.181524000000081</c:v>
                </c:pt>
                <c:pt idx="93">
                  <c:v>34.274541000000227</c:v>
                </c:pt>
                <c:pt idx="94">
                  <c:v>34.45593800000006</c:v>
                </c:pt>
                <c:pt idx="95">
                  <c:v>32.18176799999992</c:v>
                </c:pt>
                <c:pt idx="96">
                  <c:v>31.1710250000001</c:v>
                </c:pt>
                <c:pt idx="97">
                  <c:v>31.069218999999975</c:v>
                </c:pt>
                <c:pt idx="98">
                  <c:v>31.44983400000001</c:v>
                </c:pt>
                <c:pt idx="99">
                  <c:v>31.682988000000023</c:v>
                </c:pt>
                <c:pt idx="100">
                  <c:v>33.126348000000235</c:v>
                </c:pt>
                <c:pt idx="101">
                  <c:v>32.945439999999962</c:v>
                </c:pt>
                <c:pt idx="102">
                  <c:v>31.735234000000219</c:v>
                </c:pt>
                <c:pt idx="103">
                  <c:v>29.574590000000171</c:v>
                </c:pt>
                <c:pt idx="104">
                  <c:v>27.177616999999827</c:v>
                </c:pt>
                <c:pt idx="105">
                  <c:v>24.782842000000073</c:v>
                </c:pt>
                <c:pt idx="106">
                  <c:v>23.333622999999989</c:v>
                </c:pt>
                <c:pt idx="107">
                  <c:v>22.859989999999925</c:v>
                </c:pt>
                <c:pt idx="108">
                  <c:v>22.003545000000031</c:v>
                </c:pt>
                <c:pt idx="109">
                  <c:v>19.172978999999941</c:v>
                </c:pt>
                <c:pt idx="110">
                  <c:v>18.92957000000024</c:v>
                </c:pt>
                <c:pt idx="111">
                  <c:v>19.497440999999981</c:v>
                </c:pt>
                <c:pt idx="112">
                  <c:v>17.958134999999857</c:v>
                </c:pt>
                <c:pt idx="113">
                  <c:v>18.8741500000001</c:v>
                </c:pt>
                <c:pt idx="114">
                  <c:v>16.378545000000031</c:v>
                </c:pt>
                <c:pt idx="115">
                  <c:v>16.722783000000163</c:v>
                </c:pt>
                <c:pt idx="116">
                  <c:v>16.092655999999806</c:v>
                </c:pt>
                <c:pt idx="117">
                  <c:v>15.263065999999981</c:v>
                </c:pt>
                <c:pt idx="118">
                  <c:v>14.961553000000094</c:v>
                </c:pt>
                <c:pt idx="119">
                  <c:v>12.997686000000158</c:v>
                </c:pt>
                <c:pt idx="120">
                  <c:v>13.379522000000179</c:v>
                </c:pt>
                <c:pt idx="121">
                  <c:v>12.005741999999827</c:v>
                </c:pt>
                <c:pt idx="122">
                  <c:v>11.332891000000018</c:v>
                </c:pt>
                <c:pt idx="123">
                  <c:v>10.951298999999835</c:v>
                </c:pt>
                <c:pt idx="124">
                  <c:v>11.917119000000184</c:v>
                </c:pt>
                <c:pt idx="125">
                  <c:v>11.251835999999912</c:v>
                </c:pt>
                <c:pt idx="126">
                  <c:v>10.140752000000248</c:v>
                </c:pt>
                <c:pt idx="127">
                  <c:v>9.4791310000000522</c:v>
                </c:pt>
                <c:pt idx="128">
                  <c:v>10.297734000000219</c:v>
                </c:pt>
                <c:pt idx="129">
                  <c:v>12.095342000000073</c:v>
                </c:pt>
                <c:pt idx="130">
                  <c:v>12.36707000000024</c:v>
                </c:pt>
                <c:pt idx="131">
                  <c:v>11.789189999999962</c:v>
                </c:pt>
                <c:pt idx="132">
                  <c:v>12.153202999999849</c:v>
                </c:pt>
                <c:pt idx="133">
                  <c:v>10.12781300000006</c:v>
                </c:pt>
                <c:pt idx="134">
                  <c:v>11.116337999999814</c:v>
                </c:pt>
                <c:pt idx="135">
                  <c:v>10.728153999999904</c:v>
                </c:pt>
                <c:pt idx="136">
                  <c:v>9.4932910000002266</c:v>
                </c:pt>
                <c:pt idx="137">
                  <c:v>7.987920000000031</c:v>
                </c:pt>
                <c:pt idx="138">
                  <c:v>7.8875779999998485</c:v>
                </c:pt>
                <c:pt idx="139">
                  <c:v>5.8897750000000997</c:v>
                </c:pt>
                <c:pt idx="140">
                  <c:v>7.0169730000002346</c:v>
                </c:pt>
                <c:pt idx="141">
                  <c:v>6.5350389999998697</c:v>
                </c:pt>
                <c:pt idx="142">
                  <c:v>5.9368949999998222</c:v>
                </c:pt>
                <c:pt idx="143">
                  <c:v>1.4793749999998909</c:v>
                </c:pt>
                <c:pt idx="144">
                  <c:v>1.5301559999998062</c:v>
                </c:pt>
                <c:pt idx="145">
                  <c:v>1.93176799999992</c:v>
                </c:pt>
                <c:pt idx="146">
                  <c:v>0.46228500000006534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5E-47EC-95EF-E098E836D8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1622239"/>
        <c:axId val="1481622655"/>
      </c:scatterChart>
      <c:valAx>
        <c:axId val="1481622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655"/>
        <c:crosses val="autoZero"/>
        <c:crossBetween val="midCat"/>
      </c:valAx>
      <c:valAx>
        <c:axId val="148162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ln(f(x)) -&gt;</a:t>
            </a:r>
            <a:r>
              <a:rPr lang="fr-CH" baseline="0"/>
              <a:t> All Values</a:t>
            </a:r>
            <a:endParaRPr lang="fr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6986723534558179"/>
                  <c:y val="-0.3534179060950714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PANI_2ndPhase!$G$2:$G$194</c:f>
              <c:numCache>
                <c:formatCode>General</c:formatCode>
                <c:ptCount val="193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</c:numCache>
            </c:numRef>
          </c:xVal>
          <c:yVal>
            <c:numRef>
              <c:f>PANI_2ndPhase!$I$2:$I$194</c:f>
              <c:numCache>
                <c:formatCode>General</c:formatCode>
                <c:ptCount val="193"/>
                <c:pt idx="0">
                  <c:v>7.6764718355391164</c:v>
                </c:pt>
                <c:pt idx="1">
                  <c:v>7.6571204423709318</c:v>
                </c:pt>
                <c:pt idx="2">
                  <c:v>7.6515946456252308</c:v>
                </c:pt>
                <c:pt idx="3">
                  <c:v>7.6432731371134359</c:v>
                </c:pt>
                <c:pt idx="4">
                  <c:v>7.6384871495621178</c:v>
                </c:pt>
                <c:pt idx="5">
                  <c:v>7.6347477514518793</c:v>
                </c:pt>
                <c:pt idx="6">
                  <c:v>7.6318002940059113</c:v>
                </c:pt>
                <c:pt idx="7">
                  <c:v>7.6293871773944648</c:v>
                </c:pt>
                <c:pt idx="8">
                  <c:v>7.593304700026601</c:v>
                </c:pt>
                <c:pt idx="9">
                  <c:v>7.6065977584939244</c:v>
                </c:pt>
                <c:pt idx="10">
                  <c:v>7.6064962212446234</c:v>
                </c:pt>
                <c:pt idx="11">
                  <c:v>7.6055624225295126</c:v>
                </c:pt>
                <c:pt idx="12">
                  <c:v>7.6049483409149232</c:v>
                </c:pt>
                <c:pt idx="13">
                  <c:v>7.604748934363676</c:v>
                </c:pt>
                <c:pt idx="14">
                  <c:v>7.604243368983914</c:v>
                </c:pt>
                <c:pt idx="15">
                  <c:v>7.6036489893736112</c:v>
                </c:pt>
                <c:pt idx="16">
                  <c:v>7.6023862826319029</c:v>
                </c:pt>
                <c:pt idx="17">
                  <c:v>7.6026299705353617</c:v>
                </c:pt>
                <c:pt idx="18">
                  <c:v>7.602539180882653</c:v>
                </c:pt>
                <c:pt idx="19">
                  <c:v>7.6019423851319798</c:v>
                </c:pt>
                <c:pt idx="20">
                  <c:v>7.6016105827636435</c:v>
                </c:pt>
                <c:pt idx="21">
                  <c:v>7.6009488449662621</c:v>
                </c:pt>
                <c:pt idx="22">
                  <c:v>7.6005499804286174</c:v>
                </c:pt>
                <c:pt idx="23">
                  <c:v>7.6004124715175543</c:v>
                </c:pt>
                <c:pt idx="24">
                  <c:v>7.5999704458522244</c:v>
                </c:pt>
                <c:pt idx="25">
                  <c:v>7.599417287219449</c:v>
                </c:pt>
                <c:pt idx="26">
                  <c:v>7.599328711850541</c:v>
                </c:pt>
                <c:pt idx="27">
                  <c:v>7.5988625994413992</c:v>
                </c:pt>
                <c:pt idx="28">
                  <c:v>7.598531915020307</c:v>
                </c:pt>
                <c:pt idx="29">
                  <c:v>7.5980241757546425</c:v>
                </c:pt>
                <c:pt idx="30">
                  <c:v>7.5982422473130455</c:v>
                </c:pt>
                <c:pt idx="31">
                  <c:v>7.5982183184562695</c:v>
                </c:pt>
                <c:pt idx="32">
                  <c:v>7.5977309315598482</c:v>
                </c:pt>
                <c:pt idx="33">
                  <c:v>7.5975136675671644</c:v>
                </c:pt>
                <c:pt idx="34">
                  <c:v>7.5978190361744273</c:v>
                </c:pt>
                <c:pt idx="35">
                  <c:v>7.5976420230911001</c:v>
                </c:pt>
                <c:pt idx="36">
                  <c:v>7.5976840901427449</c:v>
                </c:pt>
                <c:pt idx="37">
                  <c:v>7.5970906995065119</c:v>
                </c:pt>
                <c:pt idx="38">
                  <c:v>7.59715637722908</c:v>
                </c:pt>
                <c:pt idx="39">
                  <c:v>7.5969567584917472</c:v>
                </c:pt>
                <c:pt idx="40">
                  <c:v>7.5968892292956358</c:v>
                </c:pt>
                <c:pt idx="41">
                  <c:v>7.596867658167489</c:v>
                </c:pt>
                <c:pt idx="42">
                  <c:v>7.5964496896602034</c:v>
                </c:pt>
                <c:pt idx="43">
                  <c:v>7.5964267605273212</c:v>
                </c:pt>
                <c:pt idx="44">
                  <c:v>7.5967135839400024</c:v>
                </c:pt>
                <c:pt idx="45">
                  <c:v>7.5961838860633986</c:v>
                </c:pt>
                <c:pt idx="46">
                  <c:v>7.5963157235327863</c:v>
                </c:pt>
                <c:pt idx="47">
                  <c:v>7.5958770970333385</c:v>
                </c:pt>
                <c:pt idx="48">
                  <c:v>7.5958357514274502</c:v>
                </c:pt>
                <c:pt idx="49">
                  <c:v>7.5956154363333761</c:v>
                </c:pt>
                <c:pt idx="50">
                  <c:v>7.5957894347808494</c:v>
                </c:pt>
                <c:pt idx="51">
                  <c:v>7.595834095054955</c:v>
                </c:pt>
                <c:pt idx="52">
                  <c:v>7.5957018256584758</c:v>
                </c:pt>
                <c:pt idx="53">
                  <c:v>7.5956373416027709</c:v>
                </c:pt>
                <c:pt idx="54">
                  <c:v>7.5951995221639317</c:v>
                </c:pt>
                <c:pt idx="55">
                  <c:v>7.5951342071155699</c:v>
                </c:pt>
                <c:pt idx="56">
                  <c:v>7.5950251142355372</c:v>
                </c:pt>
                <c:pt idx="57">
                  <c:v>7.5948290612393858</c:v>
                </c:pt>
                <c:pt idx="58">
                  <c:v>7.5952672882466388</c:v>
                </c:pt>
                <c:pt idx="59">
                  <c:v>7.5950712208686655</c:v>
                </c:pt>
                <c:pt idx="60">
                  <c:v>7.5949626125270617</c:v>
                </c:pt>
                <c:pt idx="61">
                  <c:v>7.5949620597532492</c:v>
                </c:pt>
                <c:pt idx="62">
                  <c:v>7.594896974662448</c:v>
                </c:pt>
                <c:pt idx="63">
                  <c:v>7.5952930059337991</c:v>
                </c:pt>
                <c:pt idx="64">
                  <c:v>7.5947666695234757</c:v>
                </c:pt>
                <c:pt idx="65">
                  <c:v>7.5951397937323071</c:v>
                </c:pt>
                <c:pt idx="66">
                  <c:v>7.5946598091838595</c:v>
                </c:pt>
                <c:pt idx="67">
                  <c:v>7.5949035449806948</c:v>
                </c:pt>
                <c:pt idx="68">
                  <c:v>7.5941360272851854</c:v>
                </c:pt>
                <c:pt idx="69">
                  <c:v>7.5943587571455247</c:v>
                </c:pt>
                <c:pt idx="70">
                  <c:v>7.5946649068950514</c:v>
                </c:pt>
                <c:pt idx="71">
                  <c:v>7.5941615289349169</c:v>
                </c:pt>
                <c:pt idx="72">
                  <c:v>7.5943825943375165</c:v>
                </c:pt>
                <c:pt idx="73">
                  <c:v>7.5940797995381386</c:v>
                </c:pt>
                <c:pt idx="74">
                  <c:v>7.5945414506538977</c:v>
                </c:pt>
                <c:pt idx="75">
                  <c:v>7.5939728043460475</c:v>
                </c:pt>
                <c:pt idx="76">
                  <c:v>7.5943464699291381</c:v>
                </c:pt>
                <c:pt idx="77">
                  <c:v>7.5941063466939083</c:v>
                </c:pt>
                <c:pt idx="78">
                  <c:v>7.5943053066038333</c:v>
                </c:pt>
                <c:pt idx="79">
                  <c:v>7.5943736245056881</c:v>
                </c:pt>
                <c:pt idx="80">
                  <c:v>7.5941792870821763</c:v>
                </c:pt>
                <c:pt idx="81">
                  <c:v>7.5937257061444319</c:v>
                </c:pt>
                <c:pt idx="82">
                  <c:v>7.5935090454892586</c:v>
                </c:pt>
                <c:pt idx="83">
                  <c:v>7.5939482202757214</c:v>
                </c:pt>
                <c:pt idx="84">
                  <c:v>7.5936246977625341</c:v>
                </c:pt>
                <c:pt idx="85">
                  <c:v>7.5939759384845917</c:v>
                </c:pt>
                <c:pt idx="86">
                  <c:v>7.5939771065465651</c:v>
                </c:pt>
                <c:pt idx="87">
                  <c:v>7.5938027924433573</c:v>
                </c:pt>
                <c:pt idx="88">
                  <c:v>7.5940016899067677</c:v>
                </c:pt>
                <c:pt idx="89">
                  <c:v>7.5934808221969137</c:v>
                </c:pt>
                <c:pt idx="90">
                  <c:v>7.5937303166035584</c:v>
                </c:pt>
                <c:pt idx="91">
                  <c:v>7.5935330872979501</c:v>
                </c:pt>
                <c:pt idx="92">
                  <c:v>7.5937784499375347</c:v>
                </c:pt>
                <c:pt idx="93">
                  <c:v>7.5937791262381591</c:v>
                </c:pt>
                <c:pt idx="94">
                  <c:v>7.5937801097184439</c:v>
                </c:pt>
                <c:pt idx="95">
                  <c:v>7.5935222652814929</c:v>
                </c:pt>
                <c:pt idx="96">
                  <c:v>7.5936066839773284</c:v>
                </c:pt>
                <c:pt idx="97">
                  <c:v>7.5936104956782318</c:v>
                </c:pt>
                <c:pt idx="98">
                  <c:v>7.5936400066562415</c:v>
                </c:pt>
                <c:pt idx="99">
                  <c:v>7.5934200066814057</c:v>
                </c:pt>
                <c:pt idx="100">
                  <c:v>7.5939935770820757</c:v>
                </c:pt>
                <c:pt idx="101">
                  <c:v>7.5935560214257949</c:v>
                </c:pt>
                <c:pt idx="102">
                  <c:v>7.5941298823273478</c:v>
                </c:pt>
                <c:pt idx="103">
                  <c:v>7.5941531103414066</c:v>
                </c:pt>
                <c:pt idx="104">
                  <c:v>7.5940900622666261</c:v>
                </c:pt>
                <c:pt idx="105">
                  <c:v>7.5942036198326921</c:v>
                </c:pt>
                <c:pt idx="106">
                  <c:v>7.5939457003089101</c:v>
                </c:pt>
                <c:pt idx="107">
                  <c:v>7.5944269486034042</c:v>
                </c:pt>
                <c:pt idx="108">
                  <c:v>7.5941290834347495</c:v>
                </c:pt>
                <c:pt idx="109">
                  <c:v>7.5940185904904851</c:v>
                </c:pt>
                <c:pt idx="110">
                  <c:v>7.5943237995331003</c:v>
                </c:pt>
                <c:pt idx="111">
                  <c:v>7.594548084697311</c:v>
                </c:pt>
                <c:pt idx="112">
                  <c:v>7.5946128850713972</c:v>
                </c:pt>
                <c:pt idx="113">
                  <c:v>7.5945508487013482</c:v>
                </c:pt>
                <c:pt idx="114">
                  <c:v>7.5949021325319075</c:v>
                </c:pt>
                <c:pt idx="115">
                  <c:v>7.5949263249689105</c:v>
                </c:pt>
                <c:pt idx="116">
                  <c:v>7.5945121509431814</c:v>
                </c:pt>
                <c:pt idx="117">
                  <c:v>7.594782636064191</c:v>
                </c:pt>
                <c:pt idx="118">
                  <c:v>7.5945859825373052</c:v>
                </c:pt>
                <c:pt idx="119">
                  <c:v>7.5947670382790884</c:v>
                </c:pt>
                <c:pt idx="120">
                  <c:v>7.5949999419080276</c:v>
                </c:pt>
                <c:pt idx="121">
                  <c:v>7.5950963300468013</c:v>
                </c:pt>
                <c:pt idx="122">
                  <c:v>7.5955290395445152</c:v>
                </c:pt>
                <c:pt idx="123">
                  <c:v>7.5956417592915919</c:v>
                </c:pt>
                <c:pt idx="124">
                  <c:v>7.5954675511473999</c:v>
                </c:pt>
                <c:pt idx="125">
                  <c:v>7.5956910889081737</c:v>
                </c:pt>
                <c:pt idx="126">
                  <c:v>7.5957155688523157</c:v>
                </c:pt>
                <c:pt idx="127">
                  <c:v>7.5958912056574075</c:v>
                </c:pt>
                <c:pt idx="128">
                  <c:v>7.5958937820326797</c:v>
                </c:pt>
                <c:pt idx="129">
                  <c:v>7.5958313959056678</c:v>
                </c:pt>
                <c:pt idx="130">
                  <c:v>7.5961107239923047</c:v>
                </c:pt>
                <c:pt idx="131">
                  <c:v>7.5963742782864641</c:v>
                </c:pt>
                <c:pt idx="132">
                  <c:v>7.5965984103969104</c:v>
                </c:pt>
                <c:pt idx="133">
                  <c:v>7.5963594406412263</c:v>
                </c:pt>
                <c:pt idx="134">
                  <c:v>7.5967586317345157</c:v>
                </c:pt>
                <c:pt idx="135">
                  <c:v>7.5966221942622312</c:v>
                </c:pt>
                <c:pt idx="136">
                  <c:v>7.5968010427190693</c:v>
                </c:pt>
                <c:pt idx="137">
                  <c:v>7.5970404586075349</c:v>
                </c:pt>
                <c:pt idx="138">
                  <c:v>7.5974558528109908</c:v>
                </c:pt>
                <c:pt idx="139">
                  <c:v>7.5972185583026928</c:v>
                </c:pt>
                <c:pt idx="140">
                  <c:v>7.5972651149173469</c:v>
                </c:pt>
                <c:pt idx="141">
                  <c:v>7.5971077933947413</c:v>
                </c:pt>
                <c:pt idx="142">
                  <c:v>7.597481392359235</c:v>
                </c:pt>
                <c:pt idx="143">
                  <c:v>7.5976598424370856</c:v>
                </c:pt>
                <c:pt idx="144">
                  <c:v>7.5977459936409133</c:v>
                </c:pt>
                <c:pt idx="145">
                  <c:v>7.5980511083010578</c:v>
                </c:pt>
                <c:pt idx="146">
                  <c:v>7.5983145192113968</c:v>
                </c:pt>
                <c:pt idx="147">
                  <c:v>7.5981628091246902</c:v>
                </c:pt>
                <c:pt idx="148">
                  <c:v>7.5985791452363145</c:v>
                </c:pt>
                <c:pt idx="149">
                  <c:v>7.5985402356869232</c:v>
                </c:pt>
                <c:pt idx="150">
                  <c:v>7.598627290306303</c:v>
                </c:pt>
                <c:pt idx="151">
                  <c:v>7.598915317983427</c:v>
                </c:pt>
                <c:pt idx="152">
                  <c:v>7.5988038845731847</c:v>
                </c:pt>
                <c:pt idx="153">
                  <c:v>7.598715866689397</c:v>
                </c:pt>
                <c:pt idx="154">
                  <c:v>7.5989192933673477</c:v>
                </c:pt>
                <c:pt idx="155">
                  <c:v>7.5990709493507689</c:v>
                </c:pt>
                <c:pt idx="156">
                  <c:v>7.5992178138229933</c:v>
                </c:pt>
                <c:pt idx="157">
                  <c:v>7.5997221367351004</c:v>
                </c:pt>
                <c:pt idx="158">
                  <c:v>7.5998115326977231</c:v>
                </c:pt>
                <c:pt idx="159">
                  <c:v>7.5995096445254182</c:v>
                </c:pt>
                <c:pt idx="160">
                  <c:v>7.5999246256182804</c:v>
                </c:pt>
                <c:pt idx="161">
                  <c:v>7.5996626778302403</c:v>
                </c:pt>
                <c:pt idx="162">
                  <c:v>7.5999632371107495</c:v>
                </c:pt>
                <c:pt idx="163">
                  <c:v>7.6004908758531347</c:v>
                </c:pt>
                <c:pt idx="164">
                  <c:v>7.600100990951919</c:v>
                </c:pt>
                <c:pt idx="165">
                  <c:v>7.5999011649138888</c:v>
                </c:pt>
                <c:pt idx="166">
                  <c:v>7.6009452441268088</c:v>
                </c:pt>
                <c:pt idx="167">
                  <c:v>7.6009949237671339</c:v>
                </c:pt>
                <c:pt idx="168">
                  <c:v>7.6010171379662603</c:v>
                </c:pt>
                <c:pt idx="169">
                  <c:v>7.6009449391398114</c:v>
                </c:pt>
                <c:pt idx="170">
                  <c:v>7.6014726094757146</c:v>
                </c:pt>
                <c:pt idx="171">
                  <c:v>7.6013606065767005</c:v>
                </c:pt>
                <c:pt idx="172">
                  <c:v>7.6010575380167937</c:v>
                </c:pt>
                <c:pt idx="173">
                  <c:v>7.6016102170226576</c:v>
                </c:pt>
                <c:pt idx="174">
                  <c:v>7.6014585184126888</c:v>
                </c:pt>
                <c:pt idx="175">
                  <c:v>7.6018719599246722</c:v>
                </c:pt>
                <c:pt idx="176">
                  <c:v>7.602263836947202</c:v>
                </c:pt>
                <c:pt idx="177">
                  <c:v>7.6017214600695722</c:v>
                </c:pt>
                <c:pt idx="178">
                  <c:v>7.60158545374843</c:v>
                </c:pt>
                <c:pt idx="179">
                  <c:v>7.6017366450126156</c:v>
                </c:pt>
                <c:pt idx="180">
                  <c:v>7.6024396684308586</c:v>
                </c:pt>
                <c:pt idx="181">
                  <c:v>7.6024010920312408</c:v>
                </c:pt>
                <c:pt idx="182">
                  <c:v>7.6022875473649156</c:v>
                </c:pt>
                <c:pt idx="183">
                  <c:v>7.6029175788247327</c:v>
                </c:pt>
                <c:pt idx="184">
                  <c:v>7.6028923608745345</c:v>
                </c:pt>
                <c:pt idx="185">
                  <c:v>7.6026158957714642</c:v>
                </c:pt>
                <c:pt idx="186">
                  <c:v>7.6032682503508262</c:v>
                </c:pt>
                <c:pt idx="187">
                  <c:v>7.6034681962228756</c:v>
                </c:pt>
                <c:pt idx="188">
                  <c:v>7.6035081926688424</c:v>
                </c:pt>
                <c:pt idx="189">
                  <c:v>7.6035307774863901</c:v>
                </c:pt>
                <c:pt idx="190">
                  <c:v>7.6038186134291816</c:v>
                </c:pt>
                <c:pt idx="191">
                  <c:v>7.6038825725908019</c:v>
                </c:pt>
                <c:pt idx="192">
                  <c:v>7.6035068531628891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2A-42E6-9736-7B03FDD4A4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709055"/>
        <c:axId val="1502709471"/>
      </c:scatterChart>
      <c:valAx>
        <c:axId val="1502709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471"/>
        <c:crosses val="autoZero"/>
        <c:crossBetween val="midCat"/>
      </c:valAx>
      <c:valAx>
        <c:axId val="150270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f(x) -&gt; All Values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9.6724846894138239E-2"/>
                  <c:y val="-0.3857079323417906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PANI_2ndPhase!$G$2:$G$197</c:f>
              <c:numCache>
                <c:formatCode>General</c:formatCode>
                <c:ptCount val="19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</c:numCache>
            </c:numRef>
          </c:xVal>
          <c:yVal>
            <c:numRef>
              <c:f>PANI_2ndPhase!$B$2:$B$197</c:f>
              <c:numCache>
                <c:formatCode>General</c:formatCode>
                <c:ptCount val="196"/>
                <c:pt idx="0">
                  <c:v>2156.9960940000001</c:v>
                </c:pt>
                <c:pt idx="1">
                  <c:v>2115.6564939999998</c:v>
                </c:pt>
                <c:pt idx="2">
                  <c:v>2103.998047</c:v>
                </c:pt>
                <c:pt idx="3">
                  <c:v>2086.5622560000002</c:v>
                </c:pt>
                <c:pt idx="4">
                  <c:v>2076.5998540000001</c:v>
                </c:pt>
                <c:pt idx="5">
                  <c:v>2068.8491210000002</c:v>
                </c:pt>
                <c:pt idx="6">
                  <c:v>2062.7602539999998</c:v>
                </c:pt>
                <c:pt idx="7">
                  <c:v>2057.7885740000002</c:v>
                </c:pt>
                <c:pt idx="8">
                  <c:v>1984.862061</c:v>
                </c:pt>
                <c:pt idx="9">
                  <c:v>2011.423096</c:v>
                </c:pt>
                <c:pt idx="10">
                  <c:v>2011.2188719999999</c:v>
                </c:pt>
                <c:pt idx="11">
                  <c:v>2009.3416749999999</c:v>
                </c:pt>
                <c:pt idx="12">
                  <c:v>2008.108154</c:v>
                </c:pt>
                <c:pt idx="13">
                  <c:v>2007.707764</c:v>
                </c:pt>
                <c:pt idx="14">
                  <c:v>2006.6929929999999</c:v>
                </c:pt>
                <c:pt idx="15">
                  <c:v>2005.5006100000001</c:v>
                </c:pt>
                <c:pt idx="16">
                  <c:v>2002.9698490000001</c:v>
                </c:pt>
                <c:pt idx="17">
                  <c:v>2003.4580080000001</c:v>
                </c:pt>
                <c:pt idx="18">
                  <c:v>2003.2761230000001</c:v>
                </c:pt>
                <c:pt idx="19">
                  <c:v>2002.080933</c:v>
                </c:pt>
                <c:pt idx="20">
                  <c:v>2001.4167480000001</c:v>
                </c:pt>
                <c:pt idx="21">
                  <c:v>2000.0927730000001</c:v>
                </c:pt>
                <c:pt idx="22">
                  <c:v>1999.2951660000001</c:v>
                </c:pt>
                <c:pt idx="23">
                  <c:v>1999.020264</c:v>
                </c:pt>
                <c:pt idx="24">
                  <c:v>1998.136841</c:v>
                </c:pt>
                <c:pt idx="25">
                  <c:v>1997.0318600000001</c:v>
                </c:pt>
                <c:pt idx="26">
                  <c:v>1996.8549800000001</c:v>
                </c:pt>
                <c:pt idx="27">
                  <c:v>1995.924438</c:v>
                </c:pt>
                <c:pt idx="28">
                  <c:v>1995.2645259999999</c:v>
                </c:pt>
                <c:pt idx="29">
                  <c:v>1994.2517089999999</c:v>
                </c:pt>
                <c:pt idx="30">
                  <c:v>1994.6866460000001</c:v>
                </c:pt>
                <c:pt idx="31">
                  <c:v>1994.6389160000001</c:v>
                </c:pt>
                <c:pt idx="32">
                  <c:v>1993.6669919999999</c:v>
                </c:pt>
                <c:pt idx="33">
                  <c:v>1993.2338870000001</c:v>
                </c:pt>
                <c:pt idx="34">
                  <c:v>1993.8426509999999</c:v>
                </c:pt>
                <c:pt idx="35">
                  <c:v>1993.489746</c:v>
                </c:pt>
                <c:pt idx="36">
                  <c:v>1993.5736079999999</c:v>
                </c:pt>
                <c:pt idx="37">
                  <c:v>1992.390991</c:v>
                </c:pt>
                <c:pt idx="38">
                  <c:v>1992.521851</c:v>
                </c:pt>
                <c:pt idx="39">
                  <c:v>1992.1241460000001</c:v>
                </c:pt>
                <c:pt idx="40">
                  <c:v>1991.989624</c:v>
                </c:pt>
                <c:pt idx="41">
                  <c:v>1991.946655</c:v>
                </c:pt>
                <c:pt idx="42">
                  <c:v>1991.1142580000001</c:v>
                </c:pt>
                <c:pt idx="43">
                  <c:v>1991.0686040000001</c:v>
                </c:pt>
                <c:pt idx="44">
                  <c:v>1991.6397710000001</c:v>
                </c:pt>
                <c:pt idx="45">
                  <c:v>1990.5850829999999</c:v>
                </c:pt>
                <c:pt idx="46">
                  <c:v>1990.847534</c:v>
                </c:pt>
                <c:pt idx="47">
                  <c:v>1989.974487</c:v>
                </c:pt>
                <c:pt idx="48">
                  <c:v>1989.892212</c:v>
                </c:pt>
                <c:pt idx="49">
                  <c:v>1989.453857</c:v>
                </c:pt>
                <c:pt idx="50">
                  <c:v>1989.8000489999999</c:v>
                </c:pt>
                <c:pt idx="51">
                  <c:v>1989.8889160000001</c:v>
                </c:pt>
                <c:pt idx="52">
                  <c:v>1989.625732</c:v>
                </c:pt>
                <c:pt idx="53">
                  <c:v>1989.497437</c:v>
                </c:pt>
                <c:pt idx="54">
                  <c:v>1988.626587</c:v>
                </c:pt>
                <c:pt idx="55">
                  <c:v>1988.4967039999999</c:v>
                </c:pt>
                <c:pt idx="56">
                  <c:v>1988.2797849999999</c:v>
                </c:pt>
                <c:pt idx="57">
                  <c:v>1987.8900149999999</c:v>
                </c:pt>
                <c:pt idx="58">
                  <c:v>1988.7613530000001</c:v>
                </c:pt>
                <c:pt idx="59">
                  <c:v>1988.3714600000001</c:v>
                </c:pt>
                <c:pt idx="60">
                  <c:v>1988.155518</c:v>
                </c:pt>
                <c:pt idx="61">
                  <c:v>1988.154419</c:v>
                </c:pt>
                <c:pt idx="62">
                  <c:v>1988.025024</c:v>
                </c:pt>
                <c:pt idx="63">
                  <c:v>1988.8125</c:v>
                </c:pt>
                <c:pt idx="64">
                  <c:v>1987.765991</c:v>
                </c:pt>
                <c:pt idx="65">
                  <c:v>1988.5078129999999</c:v>
                </c:pt>
                <c:pt idx="66">
                  <c:v>1987.5535890000001</c:v>
                </c:pt>
                <c:pt idx="67">
                  <c:v>1988.038086</c:v>
                </c:pt>
                <c:pt idx="68">
                  <c:v>1986.512817</c:v>
                </c:pt>
                <c:pt idx="69">
                  <c:v>1986.955322</c:v>
                </c:pt>
                <c:pt idx="70">
                  <c:v>1987.563721</c:v>
                </c:pt>
                <c:pt idx="71">
                  <c:v>1986.5634769999999</c:v>
                </c:pt>
                <c:pt idx="72">
                  <c:v>1987.002686</c:v>
                </c:pt>
                <c:pt idx="73">
                  <c:v>1986.4011230000001</c:v>
                </c:pt>
                <c:pt idx="74">
                  <c:v>1987.3183590000001</c:v>
                </c:pt>
                <c:pt idx="75">
                  <c:v>1986.1885990000001</c:v>
                </c:pt>
                <c:pt idx="76">
                  <c:v>1986.930908</c:v>
                </c:pt>
                <c:pt idx="77">
                  <c:v>1986.453857</c:v>
                </c:pt>
                <c:pt idx="78">
                  <c:v>1986.849121</c:v>
                </c:pt>
                <c:pt idx="79">
                  <c:v>1986.9848629999999</c:v>
                </c:pt>
                <c:pt idx="80">
                  <c:v>1986.598755</c:v>
                </c:pt>
                <c:pt idx="81">
                  <c:v>1985.697876</c:v>
                </c:pt>
                <c:pt idx="82">
                  <c:v>1985.2677000000001</c:v>
                </c:pt>
                <c:pt idx="83">
                  <c:v>1986.1397710000001</c:v>
                </c:pt>
                <c:pt idx="84">
                  <c:v>1985.497314</c:v>
                </c:pt>
                <c:pt idx="85">
                  <c:v>1986.1948239999999</c:v>
                </c:pt>
                <c:pt idx="86">
                  <c:v>1986.197144</c:v>
                </c:pt>
                <c:pt idx="87">
                  <c:v>1985.850952</c:v>
                </c:pt>
                <c:pt idx="88">
                  <c:v>1986.2459719999999</c:v>
                </c:pt>
                <c:pt idx="89">
                  <c:v>1985.2116699999999</c:v>
                </c:pt>
                <c:pt idx="90">
                  <c:v>1985.7070309999999</c:v>
                </c:pt>
                <c:pt idx="91">
                  <c:v>1985.3154300000001</c:v>
                </c:pt>
                <c:pt idx="92">
                  <c:v>1985.802612</c:v>
                </c:pt>
                <c:pt idx="93">
                  <c:v>1985.8039550000001</c:v>
                </c:pt>
                <c:pt idx="94">
                  <c:v>1985.805908</c:v>
                </c:pt>
                <c:pt idx="95">
                  <c:v>1985.2939449999999</c:v>
                </c:pt>
                <c:pt idx="96">
                  <c:v>1985.461548</c:v>
                </c:pt>
                <c:pt idx="97">
                  <c:v>1985.469116</c:v>
                </c:pt>
                <c:pt idx="98">
                  <c:v>1985.5277100000001</c:v>
                </c:pt>
                <c:pt idx="99">
                  <c:v>1985.090942</c:v>
                </c:pt>
                <c:pt idx="100">
                  <c:v>1986.2298579999999</c:v>
                </c:pt>
                <c:pt idx="101">
                  <c:v>1985.360962</c:v>
                </c:pt>
                <c:pt idx="102">
                  <c:v>1986.5006100000001</c:v>
                </c:pt>
                <c:pt idx="103">
                  <c:v>1986.5467530000001</c:v>
                </c:pt>
                <c:pt idx="104">
                  <c:v>1986.421509</c:v>
                </c:pt>
                <c:pt idx="105">
                  <c:v>1986.647095</c:v>
                </c:pt>
                <c:pt idx="106">
                  <c:v>1986.1347659999999</c:v>
                </c:pt>
                <c:pt idx="107">
                  <c:v>1987.0908199999999</c:v>
                </c:pt>
                <c:pt idx="108">
                  <c:v>1986.4990230000001</c:v>
                </c:pt>
                <c:pt idx="109">
                  <c:v>1986.2795410000001</c:v>
                </c:pt>
                <c:pt idx="110">
                  <c:v>1986.8858640000001</c:v>
                </c:pt>
                <c:pt idx="111">
                  <c:v>1987.331543</c:v>
                </c:pt>
                <c:pt idx="112">
                  <c:v>1987.460327</c:v>
                </c:pt>
                <c:pt idx="113">
                  <c:v>1987.3370359999999</c:v>
                </c:pt>
                <c:pt idx="114">
                  <c:v>1988.0352780000001</c:v>
                </c:pt>
                <c:pt idx="115">
                  <c:v>1988.083374</c:v>
                </c:pt>
                <c:pt idx="116">
                  <c:v>1987.2601320000001</c:v>
                </c:pt>
                <c:pt idx="117">
                  <c:v>1987.7977289999999</c:v>
                </c:pt>
                <c:pt idx="118">
                  <c:v>1987.4068600000001</c:v>
                </c:pt>
                <c:pt idx="119">
                  <c:v>1987.7667240000001</c:v>
                </c:pt>
                <c:pt idx="120">
                  <c:v>1988.229736</c:v>
                </c:pt>
                <c:pt idx="121">
                  <c:v>1988.4213870000001</c:v>
                </c:pt>
                <c:pt idx="122">
                  <c:v>1989.281982</c:v>
                </c:pt>
                <c:pt idx="123">
                  <c:v>1989.506226</c:v>
                </c:pt>
                <c:pt idx="124">
                  <c:v>1989.159668</c:v>
                </c:pt>
                <c:pt idx="125">
                  <c:v>1989.60437</c:v>
                </c:pt>
                <c:pt idx="126">
                  <c:v>1989.6530760000001</c:v>
                </c:pt>
                <c:pt idx="127">
                  <c:v>1990.002563</c:v>
                </c:pt>
                <c:pt idx="128">
                  <c:v>1990.0076899999999</c:v>
                </c:pt>
                <c:pt idx="129">
                  <c:v>1989.8835449999999</c:v>
                </c:pt>
                <c:pt idx="130">
                  <c:v>1990.439453</c:v>
                </c:pt>
                <c:pt idx="131">
                  <c:v>1990.964111</c:v>
                </c:pt>
                <c:pt idx="132">
                  <c:v>1991.4104</c:v>
                </c:pt>
                <c:pt idx="133">
                  <c:v>1990.9345699999999</c:v>
                </c:pt>
                <c:pt idx="134">
                  <c:v>1991.7294919999999</c:v>
                </c:pt>
                <c:pt idx="135">
                  <c:v>1991.457764</c:v>
                </c:pt>
                <c:pt idx="136">
                  <c:v>1991.8139650000001</c:v>
                </c:pt>
                <c:pt idx="137">
                  <c:v>1992.290894</c:v>
                </c:pt>
                <c:pt idx="138">
                  <c:v>1993.1186520000001</c:v>
                </c:pt>
                <c:pt idx="139">
                  <c:v>1992.6457519999999</c:v>
                </c:pt>
                <c:pt idx="140">
                  <c:v>1992.738525</c:v>
                </c:pt>
                <c:pt idx="141">
                  <c:v>1992.4250489999999</c:v>
                </c:pt>
                <c:pt idx="142">
                  <c:v>1993.1695560000001</c:v>
                </c:pt>
                <c:pt idx="143">
                  <c:v>1993.525269</c:v>
                </c:pt>
                <c:pt idx="144">
                  <c:v>1993.6970209999999</c:v>
                </c:pt>
                <c:pt idx="145">
                  <c:v>1994.3054199999999</c:v>
                </c:pt>
                <c:pt idx="146">
                  <c:v>1994.830811</c:v>
                </c:pt>
                <c:pt idx="147">
                  <c:v>1994.528198</c:v>
                </c:pt>
                <c:pt idx="148">
                  <c:v>1995.3587649999999</c:v>
                </c:pt>
                <c:pt idx="149">
                  <c:v>1995.2811280000001</c:v>
                </c:pt>
                <c:pt idx="150">
                  <c:v>1995.4548339999999</c:v>
                </c:pt>
                <c:pt idx="151">
                  <c:v>1996.029663</c:v>
                </c:pt>
                <c:pt idx="152">
                  <c:v>1995.807251</c:v>
                </c:pt>
                <c:pt idx="153">
                  <c:v>1995.631592</c:v>
                </c:pt>
                <c:pt idx="154">
                  <c:v>1996.0375979999999</c:v>
                </c:pt>
                <c:pt idx="155">
                  <c:v>1996.340332</c:v>
                </c:pt>
                <c:pt idx="156">
                  <c:v>1996.6335449999999</c:v>
                </c:pt>
                <c:pt idx="157">
                  <c:v>1997.6407469999999</c:v>
                </c:pt>
                <c:pt idx="158">
                  <c:v>1997.819336</c:v>
                </c:pt>
                <c:pt idx="159">
                  <c:v>1997.2163089999999</c:v>
                </c:pt>
                <c:pt idx="160">
                  <c:v>1998.045288</c:v>
                </c:pt>
                <c:pt idx="161">
                  <c:v>1997.5219729999999</c:v>
                </c:pt>
                <c:pt idx="162">
                  <c:v>1998.122437</c:v>
                </c:pt>
                <c:pt idx="163">
                  <c:v>1999.1770019999999</c:v>
                </c:pt>
                <c:pt idx="164">
                  <c:v>1998.3977050000001</c:v>
                </c:pt>
                <c:pt idx="165">
                  <c:v>1997.998413</c:v>
                </c:pt>
                <c:pt idx="166">
                  <c:v>2000.0855710000001</c:v>
                </c:pt>
                <c:pt idx="167">
                  <c:v>2000.184937</c:v>
                </c:pt>
                <c:pt idx="168">
                  <c:v>2000.22937</c:v>
                </c:pt>
                <c:pt idx="169">
                  <c:v>2000.084961</c:v>
                </c:pt>
                <c:pt idx="170">
                  <c:v>2001.140625</c:v>
                </c:pt>
                <c:pt idx="171">
                  <c:v>2000.916504</c:v>
                </c:pt>
                <c:pt idx="172">
                  <c:v>2000.3101810000001</c:v>
                </c:pt>
                <c:pt idx="173">
                  <c:v>2001.4160159999999</c:v>
                </c:pt>
                <c:pt idx="174">
                  <c:v>2001.112427</c:v>
                </c:pt>
                <c:pt idx="175">
                  <c:v>2001.9399410000001</c:v>
                </c:pt>
                <c:pt idx="176">
                  <c:v>2002.7246090000001</c:v>
                </c:pt>
                <c:pt idx="177">
                  <c:v>2001.638672</c:v>
                </c:pt>
                <c:pt idx="178">
                  <c:v>2001.3664550000001</c:v>
                </c:pt>
                <c:pt idx="179">
                  <c:v>2001.669067</c:v>
                </c:pt>
                <c:pt idx="180">
                  <c:v>2003.0767820000001</c:v>
                </c:pt>
                <c:pt idx="181">
                  <c:v>2002.9995120000001</c:v>
                </c:pt>
                <c:pt idx="182">
                  <c:v>2002.772095</c:v>
                </c:pt>
                <c:pt idx="183">
                  <c:v>2004.034302</c:v>
                </c:pt>
                <c:pt idx="184">
                  <c:v>2003.9837649999999</c:v>
                </c:pt>
                <c:pt idx="185">
                  <c:v>2003.4298100000001</c:v>
                </c:pt>
                <c:pt idx="186">
                  <c:v>2004.737183</c:v>
                </c:pt>
                <c:pt idx="187">
                  <c:v>2005.138062</c:v>
                </c:pt>
                <c:pt idx="188">
                  <c:v>2005.2182620000001</c:v>
                </c:pt>
                <c:pt idx="189">
                  <c:v>2005.2635499999999</c:v>
                </c:pt>
                <c:pt idx="190">
                  <c:v>2005.8408199999999</c:v>
                </c:pt>
                <c:pt idx="191">
                  <c:v>2005.969116</c:v>
                </c:pt>
                <c:pt idx="192">
                  <c:v>2005.2155760000001</c:v>
                </c:pt>
                <c:pt idx="193">
                  <c:v>2007.1804199999999</c:v>
                </c:pt>
                <c:pt idx="194">
                  <c:v>2006.8280030000001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5D-472B-A250-D903516F93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1622239"/>
        <c:axId val="1481622655"/>
      </c:scatterChart>
      <c:valAx>
        <c:axId val="1481622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655"/>
        <c:crosses val="autoZero"/>
        <c:crossBetween val="midCat"/>
      </c:valAx>
      <c:valAx>
        <c:axId val="1481622655"/>
        <c:scaling>
          <c:orientation val="minMax"/>
          <c:min val="18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ln(f(x)) -&gt; 0 - 1000 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6986723534558179"/>
                  <c:y val="-0.3534179060950714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PANI_2ndPhase!$G$2:$G$102</c:f>
              <c:numCache>
                <c:formatCode>General</c:formatCode>
                <c:ptCount val="10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</c:numCache>
            </c:numRef>
          </c:xVal>
          <c:yVal>
            <c:numRef>
              <c:f>PANI_2ndPhase!$I$2:$I$102</c:f>
              <c:numCache>
                <c:formatCode>General</c:formatCode>
                <c:ptCount val="101"/>
                <c:pt idx="0">
                  <c:v>7.6764718355391164</c:v>
                </c:pt>
                <c:pt idx="1">
                  <c:v>7.6571204423709318</c:v>
                </c:pt>
                <c:pt idx="2">
                  <c:v>7.6515946456252308</c:v>
                </c:pt>
                <c:pt idx="3">
                  <c:v>7.6432731371134359</c:v>
                </c:pt>
                <c:pt idx="4">
                  <c:v>7.6384871495621178</c:v>
                </c:pt>
                <c:pt idx="5">
                  <c:v>7.6347477514518793</c:v>
                </c:pt>
                <c:pt idx="6">
                  <c:v>7.6318002940059113</c:v>
                </c:pt>
                <c:pt idx="7">
                  <c:v>7.6293871773944648</c:v>
                </c:pt>
                <c:pt idx="8">
                  <c:v>7.593304700026601</c:v>
                </c:pt>
                <c:pt idx="9">
                  <c:v>7.6065977584939244</c:v>
                </c:pt>
                <c:pt idx="10">
                  <c:v>7.6064962212446234</c:v>
                </c:pt>
                <c:pt idx="11">
                  <c:v>7.6055624225295126</c:v>
                </c:pt>
                <c:pt idx="12">
                  <c:v>7.6049483409149232</c:v>
                </c:pt>
                <c:pt idx="13">
                  <c:v>7.604748934363676</c:v>
                </c:pt>
                <c:pt idx="14">
                  <c:v>7.604243368983914</c:v>
                </c:pt>
                <c:pt idx="15">
                  <c:v>7.6036489893736112</c:v>
                </c:pt>
                <c:pt idx="16">
                  <c:v>7.6023862826319029</c:v>
                </c:pt>
                <c:pt idx="17">
                  <c:v>7.6026299705353617</c:v>
                </c:pt>
                <c:pt idx="18">
                  <c:v>7.602539180882653</c:v>
                </c:pt>
                <c:pt idx="19">
                  <c:v>7.6019423851319798</c:v>
                </c:pt>
                <c:pt idx="20">
                  <c:v>7.6016105827636435</c:v>
                </c:pt>
                <c:pt idx="21">
                  <c:v>7.6009488449662621</c:v>
                </c:pt>
                <c:pt idx="22">
                  <c:v>7.6005499804286174</c:v>
                </c:pt>
                <c:pt idx="23">
                  <c:v>7.6004124715175543</c:v>
                </c:pt>
                <c:pt idx="24">
                  <c:v>7.5999704458522244</c:v>
                </c:pt>
                <c:pt idx="25">
                  <c:v>7.599417287219449</c:v>
                </c:pt>
                <c:pt idx="26">
                  <c:v>7.599328711850541</c:v>
                </c:pt>
                <c:pt idx="27">
                  <c:v>7.5988625994413992</c:v>
                </c:pt>
                <c:pt idx="28">
                  <c:v>7.598531915020307</c:v>
                </c:pt>
                <c:pt idx="29">
                  <c:v>7.5980241757546425</c:v>
                </c:pt>
                <c:pt idx="30">
                  <c:v>7.5982422473130455</c:v>
                </c:pt>
                <c:pt idx="31">
                  <c:v>7.5982183184562695</c:v>
                </c:pt>
                <c:pt idx="32">
                  <c:v>7.5977309315598482</c:v>
                </c:pt>
                <c:pt idx="33">
                  <c:v>7.5975136675671644</c:v>
                </c:pt>
                <c:pt idx="34">
                  <c:v>7.5978190361744273</c:v>
                </c:pt>
                <c:pt idx="35">
                  <c:v>7.5976420230911001</c:v>
                </c:pt>
                <c:pt idx="36">
                  <c:v>7.5976840901427449</c:v>
                </c:pt>
                <c:pt idx="37">
                  <c:v>7.5970906995065119</c:v>
                </c:pt>
                <c:pt idx="38">
                  <c:v>7.59715637722908</c:v>
                </c:pt>
                <c:pt idx="39">
                  <c:v>7.5969567584917472</c:v>
                </c:pt>
                <c:pt idx="40">
                  <c:v>7.5968892292956358</c:v>
                </c:pt>
                <c:pt idx="41">
                  <c:v>7.596867658167489</c:v>
                </c:pt>
                <c:pt idx="42">
                  <c:v>7.5964496896602034</c:v>
                </c:pt>
                <c:pt idx="43">
                  <c:v>7.5964267605273212</c:v>
                </c:pt>
                <c:pt idx="44">
                  <c:v>7.5967135839400024</c:v>
                </c:pt>
                <c:pt idx="45">
                  <c:v>7.5961838860633986</c:v>
                </c:pt>
                <c:pt idx="46">
                  <c:v>7.5963157235327863</c:v>
                </c:pt>
                <c:pt idx="47">
                  <c:v>7.5958770970333385</c:v>
                </c:pt>
                <c:pt idx="48">
                  <c:v>7.5958357514274502</c:v>
                </c:pt>
                <c:pt idx="49">
                  <c:v>7.5956154363333761</c:v>
                </c:pt>
                <c:pt idx="50">
                  <c:v>7.5957894347808494</c:v>
                </c:pt>
                <c:pt idx="51">
                  <c:v>7.595834095054955</c:v>
                </c:pt>
                <c:pt idx="52">
                  <c:v>7.5957018256584758</c:v>
                </c:pt>
                <c:pt idx="53">
                  <c:v>7.5956373416027709</c:v>
                </c:pt>
                <c:pt idx="54">
                  <c:v>7.5951995221639317</c:v>
                </c:pt>
                <c:pt idx="55">
                  <c:v>7.5951342071155699</c:v>
                </c:pt>
                <c:pt idx="56">
                  <c:v>7.5950251142355372</c:v>
                </c:pt>
                <c:pt idx="57">
                  <c:v>7.5948290612393858</c:v>
                </c:pt>
                <c:pt idx="58">
                  <c:v>7.5952672882466388</c:v>
                </c:pt>
                <c:pt idx="59">
                  <c:v>7.5950712208686655</c:v>
                </c:pt>
                <c:pt idx="60">
                  <c:v>7.5949626125270617</c:v>
                </c:pt>
                <c:pt idx="61">
                  <c:v>7.5949620597532492</c:v>
                </c:pt>
                <c:pt idx="62">
                  <c:v>7.594896974662448</c:v>
                </c:pt>
                <c:pt idx="63">
                  <c:v>7.5952930059337991</c:v>
                </c:pt>
                <c:pt idx="64">
                  <c:v>7.5947666695234757</c:v>
                </c:pt>
                <c:pt idx="65">
                  <c:v>7.5951397937323071</c:v>
                </c:pt>
                <c:pt idx="66">
                  <c:v>7.5946598091838595</c:v>
                </c:pt>
                <c:pt idx="67">
                  <c:v>7.5949035449806948</c:v>
                </c:pt>
                <c:pt idx="68">
                  <c:v>7.5941360272851854</c:v>
                </c:pt>
                <c:pt idx="69">
                  <c:v>7.5943587571455247</c:v>
                </c:pt>
                <c:pt idx="70">
                  <c:v>7.5946649068950514</c:v>
                </c:pt>
                <c:pt idx="71">
                  <c:v>7.5941615289349169</c:v>
                </c:pt>
                <c:pt idx="72">
                  <c:v>7.5943825943375165</c:v>
                </c:pt>
                <c:pt idx="73">
                  <c:v>7.5940797995381386</c:v>
                </c:pt>
                <c:pt idx="74">
                  <c:v>7.5945414506538977</c:v>
                </c:pt>
                <c:pt idx="75">
                  <c:v>7.5939728043460475</c:v>
                </c:pt>
                <c:pt idx="76">
                  <c:v>7.5943464699291381</c:v>
                </c:pt>
                <c:pt idx="77">
                  <c:v>7.5941063466939083</c:v>
                </c:pt>
                <c:pt idx="78">
                  <c:v>7.5943053066038333</c:v>
                </c:pt>
                <c:pt idx="79">
                  <c:v>7.5943736245056881</c:v>
                </c:pt>
                <c:pt idx="80">
                  <c:v>7.5941792870821763</c:v>
                </c:pt>
                <c:pt idx="81">
                  <c:v>7.5937257061444319</c:v>
                </c:pt>
                <c:pt idx="82">
                  <c:v>7.5935090454892586</c:v>
                </c:pt>
                <c:pt idx="83">
                  <c:v>7.5939482202757214</c:v>
                </c:pt>
                <c:pt idx="84">
                  <c:v>7.5936246977625341</c:v>
                </c:pt>
                <c:pt idx="85">
                  <c:v>7.5939759384845917</c:v>
                </c:pt>
                <c:pt idx="86">
                  <c:v>7.5939771065465651</c:v>
                </c:pt>
                <c:pt idx="87">
                  <c:v>7.5938027924433573</c:v>
                </c:pt>
                <c:pt idx="88">
                  <c:v>7.5940016899067677</c:v>
                </c:pt>
                <c:pt idx="89">
                  <c:v>7.5934808221969137</c:v>
                </c:pt>
                <c:pt idx="90">
                  <c:v>7.5937303166035584</c:v>
                </c:pt>
                <c:pt idx="91">
                  <c:v>7.5935330872979501</c:v>
                </c:pt>
                <c:pt idx="92">
                  <c:v>7.5937784499375347</c:v>
                </c:pt>
                <c:pt idx="93">
                  <c:v>7.5937791262381591</c:v>
                </c:pt>
                <c:pt idx="94">
                  <c:v>7.5937801097184439</c:v>
                </c:pt>
                <c:pt idx="95">
                  <c:v>7.5935222652814929</c:v>
                </c:pt>
                <c:pt idx="96">
                  <c:v>7.5936066839773284</c:v>
                </c:pt>
                <c:pt idx="97">
                  <c:v>7.5936104956782318</c:v>
                </c:pt>
                <c:pt idx="98">
                  <c:v>7.5936400066562415</c:v>
                </c:pt>
                <c:pt idx="99">
                  <c:v>7.5934200066814057</c:v>
                </c:pt>
                <c:pt idx="100">
                  <c:v>7.5939935770820757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64-4D9A-8DA3-420345F65F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709055"/>
        <c:axId val="1502709471"/>
      </c:scatterChart>
      <c:valAx>
        <c:axId val="1502709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471"/>
        <c:crosses val="autoZero"/>
        <c:crossBetween val="midCat"/>
      </c:valAx>
      <c:valAx>
        <c:axId val="150270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f(x) -&gt; 0 - 1000 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9.6724846894138239E-2"/>
                  <c:y val="-0.3857079323417906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PANI_2ndPhase!$G$2:$G$102</c:f>
              <c:numCache>
                <c:formatCode>General</c:formatCode>
                <c:ptCount val="10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</c:numCache>
            </c:numRef>
          </c:xVal>
          <c:yVal>
            <c:numRef>
              <c:f>PANI_2ndPhase!$B$2:$B$102</c:f>
              <c:numCache>
                <c:formatCode>General</c:formatCode>
                <c:ptCount val="101"/>
                <c:pt idx="0">
                  <c:v>2156.9960940000001</c:v>
                </c:pt>
                <c:pt idx="1">
                  <c:v>2115.6564939999998</c:v>
                </c:pt>
                <c:pt idx="2">
                  <c:v>2103.998047</c:v>
                </c:pt>
                <c:pt idx="3">
                  <c:v>2086.5622560000002</c:v>
                </c:pt>
                <c:pt idx="4">
                  <c:v>2076.5998540000001</c:v>
                </c:pt>
                <c:pt idx="5">
                  <c:v>2068.8491210000002</c:v>
                </c:pt>
                <c:pt idx="6">
                  <c:v>2062.7602539999998</c:v>
                </c:pt>
                <c:pt idx="7">
                  <c:v>2057.7885740000002</c:v>
                </c:pt>
                <c:pt idx="8">
                  <c:v>1984.862061</c:v>
                </c:pt>
                <c:pt idx="9">
                  <c:v>2011.423096</c:v>
                </c:pt>
                <c:pt idx="10">
                  <c:v>2011.2188719999999</c:v>
                </c:pt>
                <c:pt idx="11">
                  <c:v>2009.3416749999999</c:v>
                </c:pt>
                <c:pt idx="12">
                  <c:v>2008.108154</c:v>
                </c:pt>
                <c:pt idx="13">
                  <c:v>2007.707764</c:v>
                </c:pt>
                <c:pt idx="14">
                  <c:v>2006.6929929999999</c:v>
                </c:pt>
                <c:pt idx="15">
                  <c:v>2005.5006100000001</c:v>
                </c:pt>
                <c:pt idx="16">
                  <c:v>2002.9698490000001</c:v>
                </c:pt>
                <c:pt idx="17">
                  <c:v>2003.4580080000001</c:v>
                </c:pt>
                <c:pt idx="18">
                  <c:v>2003.2761230000001</c:v>
                </c:pt>
                <c:pt idx="19">
                  <c:v>2002.080933</c:v>
                </c:pt>
                <c:pt idx="20">
                  <c:v>2001.4167480000001</c:v>
                </c:pt>
                <c:pt idx="21">
                  <c:v>2000.0927730000001</c:v>
                </c:pt>
                <c:pt idx="22">
                  <c:v>1999.2951660000001</c:v>
                </c:pt>
                <c:pt idx="23">
                  <c:v>1999.020264</c:v>
                </c:pt>
                <c:pt idx="24">
                  <c:v>1998.136841</c:v>
                </c:pt>
                <c:pt idx="25">
                  <c:v>1997.0318600000001</c:v>
                </c:pt>
                <c:pt idx="26">
                  <c:v>1996.8549800000001</c:v>
                </c:pt>
                <c:pt idx="27">
                  <c:v>1995.924438</c:v>
                </c:pt>
                <c:pt idx="28">
                  <c:v>1995.2645259999999</c:v>
                </c:pt>
                <c:pt idx="29">
                  <c:v>1994.2517089999999</c:v>
                </c:pt>
                <c:pt idx="30">
                  <c:v>1994.6866460000001</c:v>
                </c:pt>
                <c:pt idx="31">
                  <c:v>1994.6389160000001</c:v>
                </c:pt>
                <c:pt idx="32">
                  <c:v>1993.6669919999999</c:v>
                </c:pt>
                <c:pt idx="33">
                  <c:v>1993.2338870000001</c:v>
                </c:pt>
                <c:pt idx="34">
                  <c:v>1993.8426509999999</c:v>
                </c:pt>
                <c:pt idx="35">
                  <c:v>1993.489746</c:v>
                </c:pt>
                <c:pt idx="36">
                  <c:v>1993.5736079999999</c:v>
                </c:pt>
                <c:pt idx="37">
                  <c:v>1992.390991</c:v>
                </c:pt>
                <c:pt idx="38">
                  <c:v>1992.521851</c:v>
                </c:pt>
                <c:pt idx="39">
                  <c:v>1992.1241460000001</c:v>
                </c:pt>
                <c:pt idx="40">
                  <c:v>1991.989624</c:v>
                </c:pt>
                <c:pt idx="41">
                  <c:v>1991.946655</c:v>
                </c:pt>
                <c:pt idx="42">
                  <c:v>1991.1142580000001</c:v>
                </c:pt>
                <c:pt idx="43">
                  <c:v>1991.0686040000001</c:v>
                </c:pt>
                <c:pt idx="44">
                  <c:v>1991.6397710000001</c:v>
                </c:pt>
                <c:pt idx="45">
                  <c:v>1990.5850829999999</c:v>
                </c:pt>
                <c:pt idx="46">
                  <c:v>1990.847534</c:v>
                </c:pt>
                <c:pt idx="47">
                  <c:v>1989.974487</c:v>
                </c:pt>
                <c:pt idx="48">
                  <c:v>1989.892212</c:v>
                </c:pt>
                <c:pt idx="49">
                  <c:v>1989.453857</c:v>
                </c:pt>
                <c:pt idx="50">
                  <c:v>1989.8000489999999</c:v>
                </c:pt>
                <c:pt idx="51">
                  <c:v>1989.8889160000001</c:v>
                </c:pt>
                <c:pt idx="52">
                  <c:v>1989.625732</c:v>
                </c:pt>
                <c:pt idx="53">
                  <c:v>1989.497437</c:v>
                </c:pt>
                <c:pt idx="54">
                  <c:v>1988.626587</c:v>
                </c:pt>
                <c:pt idx="55">
                  <c:v>1988.4967039999999</c:v>
                </c:pt>
                <c:pt idx="56">
                  <c:v>1988.2797849999999</c:v>
                </c:pt>
                <c:pt idx="57">
                  <c:v>1987.8900149999999</c:v>
                </c:pt>
                <c:pt idx="58">
                  <c:v>1988.7613530000001</c:v>
                </c:pt>
                <c:pt idx="59">
                  <c:v>1988.3714600000001</c:v>
                </c:pt>
                <c:pt idx="60">
                  <c:v>1988.155518</c:v>
                </c:pt>
                <c:pt idx="61">
                  <c:v>1988.154419</c:v>
                </c:pt>
                <c:pt idx="62">
                  <c:v>1988.025024</c:v>
                </c:pt>
                <c:pt idx="63">
                  <c:v>1988.8125</c:v>
                </c:pt>
                <c:pt idx="64">
                  <c:v>1987.765991</c:v>
                </c:pt>
                <c:pt idx="65">
                  <c:v>1988.5078129999999</c:v>
                </c:pt>
                <c:pt idx="66">
                  <c:v>1987.5535890000001</c:v>
                </c:pt>
                <c:pt idx="67">
                  <c:v>1988.038086</c:v>
                </c:pt>
                <c:pt idx="68">
                  <c:v>1986.512817</c:v>
                </c:pt>
                <c:pt idx="69">
                  <c:v>1986.955322</c:v>
                </c:pt>
                <c:pt idx="70">
                  <c:v>1987.563721</c:v>
                </c:pt>
                <c:pt idx="71">
                  <c:v>1986.5634769999999</c:v>
                </c:pt>
                <c:pt idx="72">
                  <c:v>1987.002686</c:v>
                </c:pt>
                <c:pt idx="73">
                  <c:v>1986.4011230000001</c:v>
                </c:pt>
                <c:pt idx="74">
                  <c:v>1987.3183590000001</c:v>
                </c:pt>
                <c:pt idx="75">
                  <c:v>1986.1885990000001</c:v>
                </c:pt>
                <c:pt idx="76">
                  <c:v>1986.930908</c:v>
                </c:pt>
                <c:pt idx="77">
                  <c:v>1986.453857</c:v>
                </c:pt>
                <c:pt idx="78">
                  <c:v>1986.849121</c:v>
                </c:pt>
                <c:pt idx="79">
                  <c:v>1986.9848629999999</c:v>
                </c:pt>
                <c:pt idx="80">
                  <c:v>1986.598755</c:v>
                </c:pt>
                <c:pt idx="81">
                  <c:v>1985.697876</c:v>
                </c:pt>
                <c:pt idx="82">
                  <c:v>1985.2677000000001</c:v>
                </c:pt>
                <c:pt idx="83">
                  <c:v>1986.1397710000001</c:v>
                </c:pt>
                <c:pt idx="84">
                  <c:v>1985.497314</c:v>
                </c:pt>
                <c:pt idx="85">
                  <c:v>1986.1948239999999</c:v>
                </c:pt>
                <c:pt idx="86">
                  <c:v>1986.197144</c:v>
                </c:pt>
                <c:pt idx="87">
                  <c:v>1985.850952</c:v>
                </c:pt>
                <c:pt idx="88">
                  <c:v>1986.2459719999999</c:v>
                </c:pt>
                <c:pt idx="89">
                  <c:v>1985.2116699999999</c:v>
                </c:pt>
                <c:pt idx="90">
                  <c:v>1985.7070309999999</c:v>
                </c:pt>
                <c:pt idx="91">
                  <c:v>1985.3154300000001</c:v>
                </c:pt>
                <c:pt idx="92">
                  <c:v>1985.802612</c:v>
                </c:pt>
                <c:pt idx="93">
                  <c:v>1985.8039550000001</c:v>
                </c:pt>
                <c:pt idx="94">
                  <c:v>1985.805908</c:v>
                </c:pt>
                <c:pt idx="95">
                  <c:v>1985.2939449999999</c:v>
                </c:pt>
                <c:pt idx="96">
                  <c:v>1985.461548</c:v>
                </c:pt>
                <c:pt idx="97">
                  <c:v>1985.469116</c:v>
                </c:pt>
                <c:pt idx="98">
                  <c:v>1985.5277100000001</c:v>
                </c:pt>
                <c:pt idx="99">
                  <c:v>1985.090942</c:v>
                </c:pt>
                <c:pt idx="100">
                  <c:v>1986.2298579999999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E6-425D-8355-A2827EF22A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1622239"/>
        <c:axId val="1481622655"/>
      </c:scatterChart>
      <c:valAx>
        <c:axId val="1481622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655"/>
        <c:crosses val="autoZero"/>
        <c:crossBetween val="midCat"/>
      </c:valAx>
      <c:valAx>
        <c:axId val="1481622655"/>
        <c:scaling>
          <c:orientation val="minMax"/>
          <c:min val="18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ln(f(x)) -&gt;</a:t>
            </a:r>
            <a:r>
              <a:rPr lang="fr-CH" baseline="0"/>
              <a:t> </a:t>
            </a:r>
            <a:r>
              <a:rPr lang="fr-CH" sz="1400" b="0" i="0" u="none" strike="noStrike" baseline="0">
                <a:effectLst/>
              </a:rPr>
              <a:t>0 to non negative f(x) with baseline</a:t>
            </a:r>
            <a:endParaRPr lang="fr-CH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7661428623939572"/>
                  <c:y val="-0.1360115923009623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PANI_2ndPhase!$G$2:$G$194</c:f>
              <c:numCache>
                <c:formatCode>General</c:formatCode>
                <c:ptCount val="193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</c:numCache>
            </c:numRef>
          </c:xVal>
          <c:yVal>
            <c:numRef>
              <c:f>PANI_2ndPhase!$H$2:$H$38</c:f>
              <c:numCache>
                <c:formatCode>General</c:formatCode>
                <c:ptCount val="37"/>
                <c:pt idx="0">
                  <c:v>5.1034731110378049</c:v>
                </c:pt>
                <c:pt idx="1">
                  <c:v>4.8142388613151752</c:v>
                </c:pt>
                <c:pt idx="2">
                  <c:v>4.7148719179158798</c:v>
                </c:pt>
                <c:pt idx="3">
                  <c:v>4.5449819326990619</c:v>
                </c:pt>
                <c:pt idx="4">
                  <c:v>4.4331512623380007</c:v>
                </c:pt>
                <c:pt idx="5">
                  <c:v>4.3365792590311614</c:v>
                </c:pt>
                <c:pt idx="6">
                  <c:v>4.2535783582396141</c:v>
                </c:pt>
                <c:pt idx="7">
                  <c:v>4.1802935472954594</c:v>
                </c:pt>
                <c:pt idx="8">
                  <c:v>0</c:v>
                </c:pt>
                <c:pt idx="9">
                  <c:v>2.9454682387706828</c:v>
                </c:pt>
                <c:pt idx="10">
                  <c:v>2.9346726008666444</c:v>
                </c:pt>
                <c:pt idx="11">
                  <c:v>2.8295681790956562</c:v>
                </c:pt>
                <c:pt idx="12">
                  <c:v>2.7539551912840809</c:v>
                </c:pt>
                <c:pt idx="13">
                  <c:v>2.7281295221412898</c:v>
                </c:pt>
                <c:pt idx="14">
                  <c:v>2.6595224125092889</c:v>
                </c:pt>
                <c:pt idx="15">
                  <c:v>2.5723893045976847</c:v>
                </c:pt>
                <c:pt idx="16">
                  <c:v>2.3576714894656412</c:v>
                </c:pt>
                <c:pt idx="17">
                  <c:v>2.4028355947414015</c:v>
                </c:pt>
                <c:pt idx="18">
                  <c:v>2.3862452191435874</c:v>
                </c:pt>
                <c:pt idx="19">
                  <c:v>2.2697935801696238</c:v>
                </c:pt>
                <c:pt idx="20">
                  <c:v>2.19869216656681</c:v>
                </c:pt>
                <c:pt idx="21">
                  <c:v>2.0398223391402159</c:v>
                </c:pt>
                <c:pt idx="22">
                  <c:v>1.9303085024131406</c:v>
                </c:pt>
                <c:pt idx="23">
                  <c:v>1.8896018947357307</c:v>
                </c:pt>
                <c:pt idx="24">
                  <c:v>1.7462931997948761</c:v>
                </c:pt>
                <c:pt idx="25">
                  <c:v>1.5321961118887508</c:v>
                </c:pt>
                <c:pt idx="26">
                  <c:v>1.4932298857995936</c:v>
                </c:pt>
                <c:pt idx="27">
                  <c:v>1.2587189108909125</c:v>
                </c:pt>
                <c:pt idx="28">
                  <c:v>1.051169815954428</c:v>
                </c:pt>
                <c:pt idx="29">
                  <c:v>0.61420083000053161</c:v>
                </c:pt>
                <c:pt idx="30">
                  <c:v>0.82554117659418536</c:v>
                </c:pt>
                <c:pt idx="31">
                  <c:v>0.8044139200885827</c:v>
                </c:pt>
                <c:pt idx="32">
                  <c:v>0.23385557220583264</c:v>
                </c:pt>
                <c:pt idx="33">
                  <c:v>-0.18589955018473658</c:v>
                </c:pt>
                <c:pt idx="34">
                  <c:v>0.36403251054109947</c:v>
                </c:pt>
                <c:pt idx="35">
                  <c:v>8.2700096762354958E-2</c:v>
                </c:pt>
                <c:pt idx="36">
                  <c:v>0.15707041325415041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02-4E1C-BBA6-F96606434D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709055"/>
        <c:axId val="1502709471"/>
      </c:scatterChart>
      <c:valAx>
        <c:axId val="1502709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471"/>
        <c:crosses val="autoZero"/>
        <c:crossBetween val="midCat"/>
      </c:valAx>
      <c:valAx>
        <c:axId val="150270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f(x) -&gt; </a:t>
            </a:r>
            <a:r>
              <a:rPr lang="fr-CH" sz="1400" b="0" i="0" u="none" strike="noStrike" baseline="0">
                <a:effectLst/>
              </a:rPr>
              <a:t>0 to non negative f(x) with baseline</a:t>
            </a:r>
            <a:endParaRPr lang="fr-CH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0.15066371957164174"/>
                  <c:y val="-0.2862580198308544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PANI_2ndPhase!$G$2:$G$197</c:f>
              <c:numCache>
                <c:formatCode>General</c:formatCode>
                <c:ptCount val="19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</c:numCache>
            </c:numRef>
          </c:xVal>
          <c:yVal>
            <c:numRef>
              <c:f>PANI_2ndPhase!$F$2:$F$38</c:f>
              <c:numCache>
                <c:formatCode>General</c:formatCode>
                <c:ptCount val="37"/>
                <c:pt idx="0">
                  <c:v>164.5925640000001</c:v>
                </c:pt>
                <c:pt idx="1">
                  <c:v>123.25296399999985</c:v>
                </c:pt>
                <c:pt idx="2">
                  <c:v>111.59451700000005</c:v>
                </c:pt>
                <c:pt idx="3">
                  <c:v>94.158726000000172</c:v>
                </c:pt>
                <c:pt idx="4">
                  <c:v>84.196324000000061</c:v>
                </c:pt>
                <c:pt idx="5">
                  <c:v>76.445591000000206</c:v>
                </c:pt>
                <c:pt idx="6">
                  <c:v>70.356723999999815</c:v>
                </c:pt>
                <c:pt idx="7">
                  <c:v>65.385044000000164</c:v>
                </c:pt>
                <c:pt idx="8">
                  <c:v>-7.5414689999999496</c:v>
                </c:pt>
                <c:pt idx="9">
                  <c:v>19.019565999999998</c:v>
                </c:pt>
                <c:pt idx="10">
                  <c:v>18.81534199999993</c:v>
                </c:pt>
                <c:pt idx="11">
                  <c:v>16.938144999999906</c:v>
                </c:pt>
                <c:pt idx="12">
                  <c:v>15.704624000000024</c:v>
                </c:pt>
                <c:pt idx="13">
                  <c:v>15.304234000000008</c:v>
                </c:pt>
                <c:pt idx="14">
                  <c:v>14.289462999999898</c:v>
                </c:pt>
                <c:pt idx="15">
                  <c:v>13.097080000000062</c:v>
                </c:pt>
                <c:pt idx="16">
                  <c:v>10.566319000000078</c:v>
                </c:pt>
                <c:pt idx="17">
                  <c:v>11.054478000000074</c:v>
                </c:pt>
                <c:pt idx="18">
                  <c:v>10.872593000000109</c:v>
                </c:pt>
                <c:pt idx="19">
                  <c:v>9.6774029999999698</c:v>
                </c:pt>
                <c:pt idx="20">
                  <c:v>9.0132180000001085</c:v>
                </c:pt>
                <c:pt idx="21">
                  <c:v>7.68924300000009</c:v>
                </c:pt>
                <c:pt idx="22">
                  <c:v>6.8916360000001191</c:v>
                </c:pt>
                <c:pt idx="23">
                  <c:v>6.6167340000000081</c:v>
                </c:pt>
                <c:pt idx="24">
                  <c:v>5.7333110000000147</c:v>
                </c:pt>
                <c:pt idx="25">
                  <c:v>4.6283300000000622</c:v>
                </c:pt>
                <c:pt idx="26">
                  <c:v>4.4514500000000794</c:v>
                </c:pt>
                <c:pt idx="27">
                  <c:v>3.5209080000000199</c:v>
                </c:pt>
                <c:pt idx="28">
                  <c:v>2.8609959999999433</c:v>
                </c:pt>
                <c:pt idx="29">
                  <c:v>1.8481789999999023</c:v>
                </c:pt>
                <c:pt idx="30">
                  <c:v>2.2831160000001205</c:v>
                </c:pt>
                <c:pt idx="31">
                  <c:v>2.2353860000001191</c:v>
                </c:pt>
                <c:pt idx="32">
                  <c:v>1.2634619999999472</c:v>
                </c:pt>
                <c:pt idx="33">
                  <c:v>0.83035700000010593</c:v>
                </c:pt>
                <c:pt idx="34">
                  <c:v>1.4391209999999433</c:v>
                </c:pt>
                <c:pt idx="35">
                  <c:v>1.086215999999979</c:v>
                </c:pt>
                <c:pt idx="36">
                  <c:v>1.1700779999999327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F4-4409-8E3B-96CCCD9846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1622239"/>
        <c:axId val="1481622655"/>
      </c:scatterChart>
      <c:valAx>
        <c:axId val="1481622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655"/>
        <c:crosses val="autoZero"/>
        <c:crossBetween val="midCat"/>
      </c:valAx>
      <c:valAx>
        <c:axId val="148162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ln(f(x)) -&gt;</a:t>
            </a:r>
            <a:r>
              <a:rPr lang="fr-CH" baseline="0"/>
              <a:t> All Values</a:t>
            </a:r>
            <a:endParaRPr lang="fr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6986723534558179"/>
                  <c:y val="-0.3534179060950714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Cu_3rdPhase!$G$2:$G$194</c:f>
              <c:numCache>
                <c:formatCode>General</c:formatCode>
                <c:ptCount val="193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</c:numCache>
            </c:numRef>
          </c:xVal>
          <c:yVal>
            <c:numRef>
              <c:f>Cu_3rdPhase!$I$2:$I$194</c:f>
              <c:numCache>
                <c:formatCode>General</c:formatCode>
                <c:ptCount val="193"/>
                <c:pt idx="0">
                  <c:v>8.0292910380195917</c:v>
                </c:pt>
                <c:pt idx="1">
                  <c:v>7.974851117288754</c:v>
                </c:pt>
                <c:pt idx="2">
                  <c:v>7.9396805595443407</c:v>
                </c:pt>
                <c:pt idx="3">
                  <c:v>7.913009298228797</c:v>
                </c:pt>
                <c:pt idx="4">
                  <c:v>7.8942510642071912</c:v>
                </c:pt>
                <c:pt idx="5">
                  <c:v>7.8790401976454598</c:v>
                </c:pt>
                <c:pt idx="6">
                  <c:v>7.8676620982609231</c:v>
                </c:pt>
                <c:pt idx="7">
                  <c:v>7.8569258624007698</c:v>
                </c:pt>
                <c:pt idx="8">
                  <c:v>7.8489181043146186</c:v>
                </c:pt>
                <c:pt idx="9">
                  <c:v>7.8411695585036316</c:v>
                </c:pt>
                <c:pt idx="10">
                  <c:v>7.8347171911419986</c:v>
                </c:pt>
                <c:pt idx="11">
                  <c:v>7.8294678099046724</c:v>
                </c:pt>
                <c:pt idx="12">
                  <c:v>7.823902348137298</c:v>
                </c:pt>
                <c:pt idx="13">
                  <c:v>7.8188532550062311</c:v>
                </c:pt>
                <c:pt idx="14">
                  <c:v>7.8143359342797538</c:v>
                </c:pt>
                <c:pt idx="15">
                  <c:v>7.8104650456190789</c:v>
                </c:pt>
                <c:pt idx="16">
                  <c:v>7.8054515439123895</c:v>
                </c:pt>
                <c:pt idx="17">
                  <c:v>7.8028960877245446</c:v>
                </c:pt>
                <c:pt idx="18">
                  <c:v>7.79944629452093</c:v>
                </c:pt>
                <c:pt idx="19">
                  <c:v>7.795325283915516</c:v>
                </c:pt>
                <c:pt idx="20">
                  <c:v>7.7926228642923769</c:v>
                </c:pt>
                <c:pt idx="21">
                  <c:v>7.7917124639769328</c:v>
                </c:pt>
                <c:pt idx="22">
                  <c:v>7.7905663796768803</c:v>
                </c:pt>
                <c:pt idx="23">
                  <c:v>7.7899785981160798</c:v>
                </c:pt>
                <c:pt idx="24">
                  <c:v>7.788313480513481</c:v>
                </c:pt>
                <c:pt idx="25">
                  <c:v>7.7870772601311407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BD-4736-A04E-63CC2B9A0A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709055"/>
        <c:axId val="1502709471"/>
      </c:scatterChart>
      <c:valAx>
        <c:axId val="1502709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471"/>
        <c:crosses val="autoZero"/>
        <c:crossBetween val="midCat"/>
      </c:valAx>
      <c:valAx>
        <c:axId val="150270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f(x) -&gt; All Values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0.14797944006999125"/>
                  <c:y val="-0.3046409303003791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Cu_3rdPhase!$G$2:$G$197</c:f>
              <c:numCache>
                <c:formatCode>General</c:formatCode>
                <c:ptCount val="19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</c:numCache>
            </c:numRef>
          </c:xVal>
          <c:yVal>
            <c:numRef>
              <c:f>Cu_3rdPhase!$B$2:$B$197</c:f>
              <c:numCache>
                <c:formatCode>General</c:formatCode>
                <c:ptCount val="196"/>
                <c:pt idx="0">
                  <c:v>3069.5646969999998</c:v>
                </c:pt>
                <c:pt idx="1">
                  <c:v>2906.9250489999999</c:v>
                </c:pt>
                <c:pt idx="2">
                  <c:v>2806.4638669999999</c:v>
                </c:pt>
                <c:pt idx="3">
                  <c:v>2732.601318</c:v>
                </c:pt>
                <c:pt idx="4">
                  <c:v>2681.8203130000002</c:v>
                </c:pt>
                <c:pt idx="5">
                  <c:v>2641.336182</c:v>
                </c:pt>
                <c:pt idx="6">
                  <c:v>2611.453125</c:v>
                </c:pt>
                <c:pt idx="7">
                  <c:v>2583.5659179999998</c:v>
                </c:pt>
                <c:pt idx="8">
                  <c:v>2562.959961</c:v>
                </c:pt>
                <c:pt idx="9">
                  <c:v>2543.17749</c:v>
                </c:pt>
                <c:pt idx="10">
                  <c:v>2526.8208009999998</c:v>
                </c:pt>
                <c:pt idx="11">
                  <c:v>2513.5913089999999</c:v>
                </c:pt>
                <c:pt idx="12">
                  <c:v>2499.6408689999998</c:v>
                </c:pt>
                <c:pt idx="13">
                  <c:v>2487.0517580000001</c:v>
                </c:pt>
                <c:pt idx="14">
                  <c:v>2475.8422850000002</c:v>
                </c:pt>
                <c:pt idx="15">
                  <c:v>2466.2770999999998</c:v>
                </c:pt>
                <c:pt idx="16">
                  <c:v>2453.9433589999999</c:v>
                </c:pt>
                <c:pt idx="17">
                  <c:v>2447.6804200000001</c:v>
                </c:pt>
                <c:pt idx="18">
                  <c:v>2439.2509770000001</c:v>
                </c:pt>
                <c:pt idx="19">
                  <c:v>2429.219482</c:v>
                </c:pt>
                <c:pt idx="20">
                  <c:v>2422.6635740000002</c:v>
                </c:pt>
                <c:pt idx="21">
                  <c:v>2420.4589839999999</c:v>
                </c:pt>
                <c:pt idx="22">
                  <c:v>2417.6865229999999</c:v>
                </c:pt>
                <c:pt idx="23">
                  <c:v>2416.2658689999998</c:v>
                </c:pt>
                <c:pt idx="24">
                  <c:v>2412.2458499999998</c:v>
                </c:pt>
                <c:pt idx="25">
                  <c:v>2409.265625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81-49DC-A8BC-776375EB5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1622239"/>
        <c:axId val="1481622655"/>
      </c:scatterChart>
      <c:valAx>
        <c:axId val="1481622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655"/>
        <c:crosses val="autoZero"/>
        <c:crossBetween val="midCat"/>
      </c:valAx>
      <c:valAx>
        <c:axId val="1481622655"/>
        <c:scaling>
          <c:orientation val="minMax"/>
          <c:min val="19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ln(f(x)) -&gt; </a:t>
            </a:r>
            <a:r>
              <a:rPr lang="fr-CH" sz="1400" b="0" i="0" u="none" strike="noStrike" baseline="0">
                <a:effectLst/>
              </a:rPr>
              <a:t>0 to non negative f(x) with baseline</a:t>
            </a:r>
            <a:endParaRPr lang="fr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970326811938481"/>
                  <c:y val="5.606918926800816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Cu_3rdPhase!$G$2:$G$194</c:f>
              <c:numCache>
                <c:formatCode>General</c:formatCode>
                <c:ptCount val="193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</c:numCache>
            </c:numRef>
          </c:xVal>
          <c:yVal>
            <c:numRef>
              <c:f>Cu_3rdPhase!$H$2:$H$22</c:f>
              <c:numCache>
                <c:formatCode>General</c:formatCode>
                <c:ptCount val="21"/>
                <c:pt idx="0">
                  <c:v>6.4747077343993489</c:v>
                </c:pt>
                <c:pt idx="1">
                  <c:v>6.1859822793564589</c:v>
                </c:pt>
                <c:pt idx="2">
                  <c:v>5.954356550795934</c:v>
                </c:pt>
                <c:pt idx="3">
                  <c:v>5.7416120860605719</c:v>
                </c:pt>
                <c:pt idx="4">
                  <c:v>5.5636973598998072</c:v>
                </c:pt>
                <c:pt idx="5">
                  <c:v>5.394995437635079</c:v>
                </c:pt>
                <c:pt idx="6">
                  <c:v>5.2492221020902452</c:v>
                </c:pt>
                <c:pt idx="7">
                  <c:v>5.090868002180108</c:v>
                </c:pt>
                <c:pt idx="8">
                  <c:v>4.9552981924246113</c:v>
                </c:pt>
                <c:pt idx="9">
                  <c:v>4.8051879865425589</c:v>
                </c:pt>
                <c:pt idx="10">
                  <c:v>4.6614159262459589</c:v>
                </c:pt>
                <c:pt idx="11">
                  <c:v>4.5278167730842274</c:v>
                </c:pt>
                <c:pt idx="12">
                  <c:v>4.3644458569907627</c:v>
                </c:pt>
                <c:pt idx="13">
                  <c:v>4.1899080129809336</c:v>
                </c:pt>
                <c:pt idx="14">
                  <c:v>4.0038223932444588</c:v>
                </c:pt>
                <c:pt idx="15">
                  <c:v>3.8120271851360776</c:v>
                </c:pt>
                <c:pt idx="16">
                  <c:v>3.4937254829512008</c:v>
                </c:pt>
                <c:pt idx="17">
                  <c:v>3.2826157772345961</c:v>
                </c:pt>
                <c:pt idx="18">
                  <c:v>2.9022968702574432</c:v>
                </c:pt>
                <c:pt idx="19">
                  <c:v>2.1022350350110912</c:v>
                </c:pt>
                <c:pt idx="20">
                  <c:v>0.48768022362500135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06-4977-BD42-2EBC65D646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709055"/>
        <c:axId val="1502709471"/>
      </c:scatterChart>
      <c:valAx>
        <c:axId val="1502709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471"/>
        <c:crosses val="autoZero"/>
        <c:crossBetween val="midCat"/>
      </c:valAx>
      <c:valAx>
        <c:axId val="150270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f(x) -&gt; </a:t>
            </a:r>
            <a:r>
              <a:rPr lang="fr-CH" sz="1400" b="0" i="0" u="none" strike="noStrike" baseline="0">
                <a:effectLst/>
              </a:rPr>
              <a:t>0 to non negative f(x) with baseline</a:t>
            </a:r>
            <a:endParaRPr lang="fr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0.14590063884474325"/>
                  <c:y val="-0.3232950568678915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Cu_3rdPhase!$G$2:$G$197</c:f>
              <c:numCache>
                <c:formatCode>General</c:formatCode>
                <c:ptCount val="19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</c:numCache>
            </c:numRef>
          </c:xVal>
          <c:yVal>
            <c:numRef>
              <c:f>Cu_3rdPhase!$F$2:$F$22</c:f>
              <c:numCache>
                <c:formatCode>General</c:formatCode>
                <c:ptCount val="21"/>
                <c:pt idx="0">
                  <c:v>648.52965699999982</c:v>
                </c:pt>
                <c:pt idx="1">
                  <c:v>485.89000899999996</c:v>
                </c:pt>
                <c:pt idx="2">
                  <c:v>385.42882699999996</c:v>
                </c:pt>
                <c:pt idx="3">
                  <c:v>311.56627800000001</c:v>
                </c:pt>
                <c:pt idx="4">
                  <c:v>260.78527300000019</c:v>
                </c:pt>
                <c:pt idx="5">
                  <c:v>220.30114200000003</c:v>
                </c:pt>
                <c:pt idx="6">
                  <c:v>190.41808500000002</c:v>
                </c:pt>
                <c:pt idx="7">
                  <c:v>162.5308779999998</c:v>
                </c:pt>
                <c:pt idx="8">
                  <c:v>141.92492100000004</c:v>
                </c:pt>
                <c:pt idx="9">
                  <c:v>122.14245000000005</c:v>
                </c:pt>
                <c:pt idx="10">
                  <c:v>105.78576099999987</c:v>
                </c:pt>
                <c:pt idx="11">
                  <c:v>92.556268999999929</c:v>
                </c:pt>
                <c:pt idx="12">
                  <c:v>78.605828999999858</c:v>
                </c:pt>
                <c:pt idx="13">
                  <c:v>66.016718000000083</c:v>
                </c:pt>
                <c:pt idx="14">
                  <c:v>54.807245000000194</c:v>
                </c:pt>
                <c:pt idx="15">
                  <c:v>45.24205999999981</c:v>
                </c:pt>
                <c:pt idx="16">
                  <c:v>32.908318999999892</c:v>
                </c:pt>
                <c:pt idx="17">
                  <c:v>26.645380000000159</c:v>
                </c:pt>
                <c:pt idx="18">
                  <c:v>18.215937000000167</c:v>
                </c:pt>
                <c:pt idx="19">
                  <c:v>8.18444199999999</c:v>
                </c:pt>
                <c:pt idx="20">
                  <c:v>1.6285340000001725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9C-4506-8F12-21EA4355F6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1622239"/>
        <c:axId val="1481622655"/>
      </c:scatterChart>
      <c:valAx>
        <c:axId val="1481622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655"/>
        <c:crosses val="autoZero"/>
        <c:crossBetween val="midCat"/>
      </c:valAx>
      <c:valAx>
        <c:axId val="148162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ln(f(x)) -&gt;</a:t>
            </a:r>
            <a:r>
              <a:rPr lang="fr-CH" baseline="0"/>
              <a:t> All Values</a:t>
            </a:r>
            <a:endParaRPr lang="fr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6986723534558179"/>
                  <c:y val="-0.3534179060950714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PANI_3rdPhase!$G$2:$G$194</c:f>
              <c:numCache>
                <c:formatCode>General</c:formatCode>
                <c:ptCount val="193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</c:numCache>
            </c:numRef>
          </c:xVal>
          <c:yVal>
            <c:numRef>
              <c:f>PANI_3rdPhase!$I$2:$I$194</c:f>
              <c:numCache>
                <c:formatCode>General</c:formatCode>
                <c:ptCount val="193"/>
                <c:pt idx="0">
                  <c:v>8.0817474532456828</c:v>
                </c:pt>
                <c:pt idx="1">
                  <c:v>7.9381811683771408</c:v>
                </c:pt>
                <c:pt idx="2">
                  <c:v>7.9084836439734811</c:v>
                </c:pt>
                <c:pt idx="3">
                  <c:v>7.8870298879107485</c:v>
                </c:pt>
                <c:pt idx="4">
                  <c:v>7.8705349803547131</c:v>
                </c:pt>
                <c:pt idx="5">
                  <c:v>7.8559617118751444</c:v>
                </c:pt>
                <c:pt idx="6">
                  <c:v>7.846514830113537</c:v>
                </c:pt>
                <c:pt idx="7">
                  <c:v>7.8355124413543171</c:v>
                </c:pt>
                <c:pt idx="8">
                  <c:v>7.8279940662191043</c:v>
                </c:pt>
                <c:pt idx="9">
                  <c:v>7.8193219793694366</c:v>
                </c:pt>
                <c:pt idx="10">
                  <c:v>7.8126950149656755</c:v>
                </c:pt>
                <c:pt idx="11">
                  <c:v>7.8066575199145749</c:v>
                </c:pt>
                <c:pt idx="12">
                  <c:v>7.8022025288160703</c:v>
                </c:pt>
                <c:pt idx="13">
                  <c:v>7.797167389949812</c:v>
                </c:pt>
                <c:pt idx="14">
                  <c:v>7.793336288696433</c:v>
                </c:pt>
                <c:pt idx="15">
                  <c:v>7.787940354822787</c:v>
                </c:pt>
                <c:pt idx="16">
                  <c:v>7.785857772453471</c:v>
                </c:pt>
                <c:pt idx="17">
                  <c:v>7.7816145472519169</c:v>
                </c:pt>
                <c:pt idx="18">
                  <c:v>7.7780565743251229</c:v>
                </c:pt>
                <c:pt idx="19">
                  <c:v>7.7749698290677198</c:v>
                </c:pt>
                <c:pt idx="20">
                  <c:v>7.7720460525247921</c:v>
                </c:pt>
                <c:pt idx="21">
                  <c:v>7.7692957818337609</c:v>
                </c:pt>
                <c:pt idx="22">
                  <c:v>7.7668688700174648</c:v>
                </c:pt>
                <c:pt idx="23">
                  <c:v>7.7651964849744441</c:v>
                </c:pt>
                <c:pt idx="24">
                  <c:v>7.7626050829526836</c:v>
                </c:pt>
                <c:pt idx="25">
                  <c:v>7.7610275839232266</c:v>
                </c:pt>
                <c:pt idx="26">
                  <c:v>7.7584347272080558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FF-4221-8542-0A7C289201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709055"/>
        <c:axId val="1502709471"/>
      </c:scatterChart>
      <c:valAx>
        <c:axId val="1502709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471"/>
        <c:crosses val="autoZero"/>
        <c:crossBetween val="midCat"/>
      </c:valAx>
      <c:valAx>
        <c:axId val="150270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f(x) -&gt; All Values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9.6724846894138239E-2"/>
                  <c:y val="-0.3857079323417906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PANI_3rdPhase!$G$2:$G$197</c:f>
              <c:numCache>
                <c:formatCode>General</c:formatCode>
                <c:ptCount val="19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</c:numCache>
            </c:numRef>
          </c:xVal>
          <c:yVal>
            <c:numRef>
              <c:f>PANI_3rdPhase!$B$2:$B$197</c:f>
              <c:numCache>
                <c:formatCode>General</c:formatCode>
                <c:ptCount val="196"/>
                <c:pt idx="0">
                  <c:v>3234.8811040000001</c:v>
                </c:pt>
                <c:pt idx="1">
                  <c:v>2802.2590329999998</c:v>
                </c:pt>
                <c:pt idx="2">
                  <c:v>2720.2624510000001</c:v>
                </c:pt>
                <c:pt idx="3">
                  <c:v>2662.5241700000001</c:v>
                </c:pt>
                <c:pt idx="4">
                  <c:v>2618.9663089999999</c:v>
                </c:pt>
                <c:pt idx="5">
                  <c:v>2581.076172</c:v>
                </c:pt>
                <c:pt idx="6">
                  <c:v>2556.8078609999998</c:v>
                </c:pt>
                <c:pt idx="7">
                  <c:v>2528.8310550000001</c:v>
                </c:pt>
                <c:pt idx="8">
                  <c:v>2509.8896479999999</c:v>
                </c:pt>
                <c:pt idx="9">
                  <c:v>2488.2177729999999</c:v>
                </c:pt>
                <c:pt idx="10">
                  <c:v>2471.7829590000001</c:v>
                </c:pt>
                <c:pt idx="11">
                  <c:v>2456.9045409999999</c:v>
                </c:pt>
                <c:pt idx="12">
                  <c:v>2445.9833979999999</c:v>
                </c:pt>
                <c:pt idx="13">
                  <c:v>2433.6984859999998</c:v>
                </c:pt>
                <c:pt idx="14">
                  <c:v>2424.392578</c:v>
                </c:pt>
                <c:pt idx="15">
                  <c:v>2411.3459469999998</c:v>
                </c:pt>
                <c:pt idx="16">
                  <c:v>2406.329346</c:v>
                </c:pt>
                <c:pt idx="17">
                  <c:v>2396.1403810000002</c:v>
                </c:pt>
                <c:pt idx="18">
                  <c:v>2387.6301269999999</c:v>
                </c:pt>
                <c:pt idx="19">
                  <c:v>2380.2714839999999</c:v>
                </c:pt>
                <c:pt idx="20">
                  <c:v>2373.3222660000001</c:v>
                </c:pt>
                <c:pt idx="21">
                  <c:v>2366.8039549999999</c:v>
                </c:pt>
                <c:pt idx="22">
                  <c:v>2361.0668949999999</c:v>
                </c:pt>
                <c:pt idx="23">
                  <c:v>2357.1215820000002</c:v>
                </c:pt>
                <c:pt idx="24">
                  <c:v>2351.02124</c:v>
                </c:pt>
                <c:pt idx="25">
                  <c:v>2347.3154300000001</c:v>
                </c:pt>
                <c:pt idx="26">
                  <c:v>2341.2370609999998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64-4BA3-BACE-E2C0D49E83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1622239"/>
        <c:axId val="1481622655"/>
      </c:scatterChart>
      <c:valAx>
        <c:axId val="1481622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655"/>
        <c:crosses val="autoZero"/>
        <c:crossBetween val="midCat"/>
      </c:valAx>
      <c:valAx>
        <c:axId val="1481622655"/>
        <c:scaling>
          <c:orientation val="minMax"/>
          <c:min val="2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ln(f(x)) -&gt;</a:t>
            </a:r>
            <a:r>
              <a:rPr lang="fr-CH" baseline="0"/>
              <a:t> </a:t>
            </a:r>
            <a:r>
              <a:rPr lang="fr-CH" sz="1400" b="0" i="0" u="none" strike="noStrike" baseline="0">
                <a:effectLst/>
              </a:rPr>
              <a:t>0 to non negative f(x) with baseline</a:t>
            </a:r>
            <a:endParaRPr lang="fr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8340265450943767"/>
                  <c:y val="-1.875801983085447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PANI_3rdPhase!$G$2:$G$194</c:f>
              <c:numCache>
                <c:formatCode>General</c:formatCode>
                <c:ptCount val="193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</c:numCache>
            </c:numRef>
          </c:xVal>
          <c:yVal>
            <c:numRef>
              <c:f>PANI_3rdPhase!$H$2:$H$23</c:f>
              <c:numCache>
                <c:formatCode>General</c:formatCode>
                <c:ptCount val="22"/>
                <c:pt idx="0">
                  <c:v>6.769698547008983</c:v>
                </c:pt>
                <c:pt idx="1">
                  <c:v>6.0831937843474302</c:v>
                </c:pt>
                <c:pt idx="2">
                  <c:v>5.8761396094143743</c:v>
                </c:pt>
                <c:pt idx="3">
                  <c:v>5.6994140804339164</c:v>
                </c:pt>
                <c:pt idx="4">
                  <c:v>5.5417907747759134</c:v>
                </c:pt>
                <c:pt idx="5">
                  <c:v>5.3810227200779348</c:v>
                </c:pt>
                <c:pt idx="6">
                  <c:v>5.2625659894826109</c:v>
                </c:pt>
                <c:pt idx="7">
                  <c:v>5.1059407769198533</c:v>
                </c:pt>
                <c:pt idx="8">
                  <c:v>4.9840025570142368</c:v>
                </c:pt>
                <c:pt idx="9">
                  <c:v>4.8233891755279963</c:v>
                </c:pt>
                <c:pt idx="10">
                  <c:v>4.6816786154517507</c:v>
                </c:pt>
                <c:pt idx="11">
                  <c:v>4.5333810263862606</c:v>
                </c:pt>
                <c:pt idx="12">
                  <c:v>4.40856593133703</c:v>
                </c:pt>
                <c:pt idx="13">
                  <c:v>4.2465885111070074</c:v>
                </c:pt>
                <c:pt idx="14">
                  <c:v>4.1036469604399697</c:v>
                </c:pt>
                <c:pt idx="15">
                  <c:v>3.8610268668854202</c:v>
                </c:pt>
                <c:pt idx="16">
                  <c:v>3.749445627163452</c:v>
                </c:pt>
                <c:pt idx="17">
                  <c:v>3.4753319320341078</c:v>
                </c:pt>
                <c:pt idx="18">
                  <c:v>3.1696140234954235</c:v>
                </c:pt>
                <c:pt idx="19">
                  <c:v>2.7996963431778426</c:v>
                </c:pt>
                <c:pt idx="20">
                  <c:v>2.2502845546644994</c:v>
                </c:pt>
                <c:pt idx="21">
                  <c:v>1.0892771851903931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AA-42E7-94F0-D1564AF43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709055"/>
        <c:axId val="1502709471"/>
      </c:scatterChart>
      <c:valAx>
        <c:axId val="1502709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471"/>
        <c:crosses val="autoZero"/>
        <c:crossBetween val="midCat"/>
      </c:valAx>
      <c:valAx>
        <c:axId val="150270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f(x) -&gt; </a:t>
            </a:r>
            <a:r>
              <a:rPr lang="fr-CH" sz="1400" b="0" i="0" u="none" strike="noStrike" baseline="0">
                <a:effectLst/>
              </a:rPr>
              <a:t>0 to non negative f(x) with baseline</a:t>
            </a:r>
            <a:endParaRPr lang="fr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9.6724846894138239E-2"/>
                  <c:y val="-0.3857079323417906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PANI_3rdPhase!$G$2:$G$197</c:f>
              <c:numCache>
                <c:formatCode>General</c:formatCode>
                <c:ptCount val="19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</c:numCache>
            </c:numRef>
          </c:xVal>
          <c:yVal>
            <c:numRef>
              <c:f>PANI_3rdPhase!$F$2:$F$23</c:f>
              <c:numCache>
                <c:formatCode>General</c:formatCode>
                <c:ptCount val="22"/>
                <c:pt idx="0">
                  <c:v>871.04927400000008</c:v>
                </c:pt>
                <c:pt idx="1">
                  <c:v>438.42720299999985</c:v>
                </c:pt>
                <c:pt idx="2">
                  <c:v>356.43062100000009</c:v>
                </c:pt>
                <c:pt idx="3">
                  <c:v>298.69234000000017</c:v>
                </c:pt>
                <c:pt idx="4">
                  <c:v>255.13447899999994</c:v>
                </c:pt>
                <c:pt idx="5">
                  <c:v>217.24434200000007</c:v>
                </c:pt>
                <c:pt idx="6">
                  <c:v>192.97603099999981</c:v>
                </c:pt>
                <c:pt idx="7">
                  <c:v>164.99922500000014</c:v>
                </c:pt>
                <c:pt idx="8">
                  <c:v>146.05781799999988</c:v>
                </c:pt>
                <c:pt idx="9">
                  <c:v>124.38594299999988</c:v>
                </c:pt>
                <c:pt idx="10">
                  <c:v>107.95112900000015</c:v>
                </c:pt>
                <c:pt idx="11">
                  <c:v>93.072710999999913</c:v>
                </c:pt>
                <c:pt idx="12">
                  <c:v>82.151567999999884</c:v>
                </c:pt>
                <c:pt idx="13">
                  <c:v>69.866655999999807</c:v>
                </c:pt>
                <c:pt idx="14">
                  <c:v>60.56074799999999</c:v>
                </c:pt>
                <c:pt idx="15">
                  <c:v>47.514116999999828</c:v>
                </c:pt>
                <c:pt idx="16">
                  <c:v>42.497516000000019</c:v>
                </c:pt>
                <c:pt idx="17">
                  <c:v>32.308551000000193</c:v>
                </c:pt>
                <c:pt idx="18">
                  <c:v>23.798296999999934</c:v>
                </c:pt>
                <c:pt idx="19">
                  <c:v>16.439653999999905</c:v>
                </c:pt>
                <c:pt idx="20">
                  <c:v>9.4904360000001589</c:v>
                </c:pt>
                <c:pt idx="21">
                  <c:v>2.9721249999998918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CD-49B1-B5BC-976EC21E5A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1622239"/>
        <c:axId val="1481622655"/>
      </c:scatterChart>
      <c:valAx>
        <c:axId val="1481622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655"/>
        <c:crosses val="autoZero"/>
        <c:crossBetween val="midCat"/>
      </c:valAx>
      <c:valAx>
        <c:axId val="148162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6" Type="http://schemas.openxmlformats.org/officeDocument/2006/relationships/chart" Target="../charts/chart24.xml"/><Relationship Id="rId5" Type="http://schemas.openxmlformats.org/officeDocument/2006/relationships/chart" Target="../charts/chart23.xml"/><Relationship Id="rId4" Type="http://schemas.openxmlformats.org/officeDocument/2006/relationships/chart" Target="../charts/chart2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4" Type="http://schemas.openxmlformats.org/officeDocument/2006/relationships/chart" Target="../charts/chart28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1.xml"/><Relationship Id="rId2" Type="http://schemas.openxmlformats.org/officeDocument/2006/relationships/chart" Target="../charts/chart30.xml"/><Relationship Id="rId1" Type="http://schemas.openxmlformats.org/officeDocument/2006/relationships/chart" Target="../charts/chart29.xml"/><Relationship Id="rId4" Type="http://schemas.openxmlformats.org/officeDocument/2006/relationships/chart" Target="../charts/chart3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6</xdr:row>
      <xdr:rowOff>0</xdr:rowOff>
    </xdr:from>
    <xdr:to>
      <xdr:col>15</xdr:col>
      <xdr:colOff>552450</xdr:colOff>
      <xdr:row>20</xdr:row>
      <xdr:rowOff>76200</xdr:rowOff>
    </xdr:to>
    <xdr:graphicFrame macro="">
      <xdr:nvGraphicFramePr>
        <xdr:cNvPr id="2" name="Graphique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20</xdr:row>
      <xdr:rowOff>77010</xdr:rowOff>
    </xdr:from>
    <xdr:to>
      <xdr:col>15</xdr:col>
      <xdr:colOff>561975</xdr:colOff>
      <xdr:row>34</xdr:row>
      <xdr:rowOff>152631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552450</xdr:colOff>
      <xdr:row>6</xdr:row>
      <xdr:rowOff>0</xdr:rowOff>
    </xdr:from>
    <xdr:to>
      <xdr:col>21</xdr:col>
      <xdr:colOff>198905</xdr:colOff>
      <xdr:row>20</xdr:row>
      <xdr:rowOff>76200</xdr:rowOff>
    </xdr:to>
    <xdr:graphicFrame macro="">
      <xdr:nvGraphicFramePr>
        <xdr:cNvPr id="4" name="Graphique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552682</xdr:colOff>
      <xdr:row>20</xdr:row>
      <xdr:rowOff>76432</xdr:rowOff>
    </xdr:from>
    <xdr:to>
      <xdr:col>21</xdr:col>
      <xdr:colOff>199137</xdr:colOff>
      <xdr:row>34</xdr:row>
      <xdr:rowOff>152632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0</xdr:colOff>
      <xdr:row>39</xdr:row>
      <xdr:rowOff>0</xdr:rowOff>
    </xdr:from>
    <xdr:to>
      <xdr:col>15</xdr:col>
      <xdr:colOff>710790</xdr:colOff>
      <xdr:row>53</xdr:row>
      <xdr:rowOff>76200</xdr:rowOff>
    </xdr:to>
    <xdr:graphicFrame macro="">
      <xdr:nvGraphicFramePr>
        <xdr:cNvPr id="6" name="Graphique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2956</xdr:colOff>
      <xdr:row>53</xdr:row>
      <xdr:rowOff>79156</xdr:rowOff>
    </xdr:from>
    <xdr:to>
      <xdr:col>15</xdr:col>
      <xdr:colOff>713746</xdr:colOff>
      <xdr:row>67</xdr:row>
      <xdr:rowOff>155356</xdr:rowOff>
    </xdr:to>
    <xdr:graphicFrame macro="">
      <xdr:nvGraphicFramePr>
        <xdr:cNvPr id="7" name="Graphique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6</xdr:row>
      <xdr:rowOff>0</xdr:rowOff>
    </xdr:from>
    <xdr:to>
      <xdr:col>16</xdr:col>
      <xdr:colOff>249892</xdr:colOff>
      <xdr:row>20</xdr:row>
      <xdr:rowOff>76200</xdr:rowOff>
    </xdr:to>
    <xdr:graphicFrame macro="">
      <xdr:nvGraphicFramePr>
        <xdr:cNvPr id="2" name="Graphique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866</xdr:colOff>
      <xdr:row>20</xdr:row>
      <xdr:rowOff>77066</xdr:rowOff>
    </xdr:from>
    <xdr:to>
      <xdr:col>16</xdr:col>
      <xdr:colOff>250758</xdr:colOff>
      <xdr:row>34</xdr:row>
      <xdr:rowOff>153266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250069</xdr:colOff>
      <xdr:row>6</xdr:row>
      <xdr:rowOff>0</xdr:rowOff>
    </xdr:from>
    <xdr:to>
      <xdr:col>22</xdr:col>
      <xdr:colOff>253431</xdr:colOff>
      <xdr:row>20</xdr:row>
      <xdr:rowOff>76200</xdr:rowOff>
    </xdr:to>
    <xdr:graphicFrame macro="">
      <xdr:nvGraphicFramePr>
        <xdr:cNvPr id="4" name="Graphique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249568</xdr:colOff>
      <xdr:row>20</xdr:row>
      <xdr:rowOff>75698</xdr:rowOff>
    </xdr:from>
    <xdr:to>
      <xdr:col>22</xdr:col>
      <xdr:colOff>252930</xdr:colOff>
      <xdr:row>34</xdr:row>
      <xdr:rowOff>151898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0</xdr:colOff>
      <xdr:row>38</xdr:row>
      <xdr:rowOff>0</xdr:rowOff>
    </xdr:from>
    <xdr:to>
      <xdr:col>16</xdr:col>
      <xdr:colOff>251349</xdr:colOff>
      <xdr:row>52</xdr:row>
      <xdr:rowOff>76200</xdr:rowOff>
    </xdr:to>
    <xdr:graphicFrame macro="">
      <xdr:nvGraphicFramePr>
        <xdr:cNvPr id="6" name="Graphique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2956</xdr:colOff>
      <xdr:row>52</xdr:row>
      <xdr:rowOff>79156</xdr:rowOff>
    </xdr:from>
    <xdr:to>
      <xdr:col>16</xdr:col>
      <xdr:colOff>254305</xdr:colOff>
      <xdr:row>66</xdr:row>
      <xdr:rowOff>155356</xdr:rowOff>
    </xdr:to>
    <xdr:graphicFrame macro="">
      <xdr:nvGraphicFramePr>
        <xdr:cNvPr id="7" name="Graphique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6</xdr:row>
      <xdr:rowOff>0</xdr:rowOff>
    </xdr:from>
    <xdr:to>
      <xdr:col>15</xdr:col>
      <xdr:colOff>552450</xdr:colOff>
      <xdr:row>20</xdr:row>
      <xdr:rowOff>76200</xdr:rowOff>
    </xdr:to>
    <xdr:graphicFrame macro="">
      <xdr:nvGraphicFramePr>
        <xdr:cNvPr id="6" name="Graphique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760639</xdr:colOff>
      <xdr:row>20</xdr:row>
      <xdr:rowOff>69396</xdr:rowOff>
    </xdr:from>
    <xdr:to>
      <xdr:col>15</xdr:col>
      <xdr:colOff>551089</xdr:colOff>
      <xdr:row>34</xdr:row>
      <xdr:rowOff>145596</xdr:rowOff>
    </xdr:to>
    <xdr:graphicFrame macro="">
      <xdr:nvGraphicFramePr>
        <xdr:cNvPr id="7" name="Graphique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549729</xdr:colOff>
      <xdr:row>5</xdr:row>
      <xdr:rowOff>185057</xdr:rowOff>
    </xdr:from>
    <xdr:to>
      <xdr:col>21</xdr:col>
      <xdr:colOff>194823</xdr:colOff>
      <xdr:row>20</xdr:row>
      <xdr:rowOff>70757</xdr:rowOff>
    </xdr:to>
    <xdr:graphicFrame macro="">
      <xdr:nvGraphicFramePr>
        <xdr:cNvPr id="8" name="Graphique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548368</xdr:colOff>
      <xdr:row>20</xdr:row>
      <xdr:rowOff>69396</xdr:rowOff>
    </xdr:from>
    <xdr:to>
      <xdr:col>21</xdr:col>
      <xdr:colOff>193462</xdr:colOff>
      <xdr:row>34</xdr:row>
      <xdr:rowOff>145596</xdr:rowOff>
    </xdr:to>
    <xdr:graphicFrame macro="">
      <xdr:nvGraphicFramePr>
        <xdr:cNvPr id="9" name="Graphique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0</xdr:colOff>
      <xdr:row>37</xdr:row>
      <xdr:rowOff>0</xdr:rowOff>
    </xdr:from>
    <xdr:to>
      <xdr:col>15</xdr:col>
      <xdr:colOff>719594</xdr:colOff>
      <xdr:row>51</xdr:row>
      <xdr:rowOff>76200</xdr:rowOff>
    </xdr:to>
    <xdr:graphicFrame macro="">
      <xdr:nvGraphicFramePr>
        <xdr:cNvPr id="10" name="Graphique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2956</xdr:colOff>
      <xdr:row>51</xdr:row>
      <xdr:rowOff>79156</xdr:rowOff>
    </xdr:from>
    <xdr:to>
      <xdr:col>15</xdr:col>
      <xdr:colOff>722550</xdr:colOff>
      <xdr:row>65</xdr:row>
      <xdr:rowOff>155356</xdr:rowOff>
    </xdr:to>
    <xdr:graphicFrame macro="">
      <xdr:nvGraphicFramePr>
        <xdr:cNvPr id="11" name="Graphique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6</xdr:row>
      <xdr:rowOff>0</xdr:rowOff>
    </xdr:from>
    <xdr:to>
      <xdr:col>16</xdr:col>
      <xdr:colOff>249892</xdr:colOff>
      <xdr:row>20</xdr:row>
      <xdr:rowOff>76200</xdr:rowOff>
    </xdr:to>
    <xdr:graphicFrame macro="">
      <xdr:nvGraphicFramePr>
        <xdr:cNvPr id="4" name="Graphique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761499</xdr:colOff>
      <xdr:row>20</xdr:row>
      <xdr:rowOff>75698</xdr:rowOff>
    </xdr:from>
    <xdr:to>
      <xdr:col>16</xdr:col>
      <xdr:colOff>249391</xdr:colOff>
      <xdr:row>34</xdr:row>
      <xdr:rowOff>151898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250069</xdr:colOff>
      <xdr:row>6</xdr:row>
      <xdr:rowOff>0</xdr:rowOff>
    </xdr:from>
    <xdr:to>
      <xdr:col>22</xdr:col>
      <xdr:colOff>253431</xdr:colOff>
      <xdr:row>20</xdr:row>
      <xdr:rowOff>76200</xdr:rowOff>
    </xdr:to>
    <xdr:graphicFrame macro="">
      <xdr:nvGraphicFramePr>
        <xdr:cNvPr id="6" name="Graphique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249568</xdr:colOff>
      <xdr:row>20</xdr:row>
      <xdr:rowOff>75698</xdr:rowOff>
    </xdr:from>
    <xdr:to>
      <xdr:col>22</xdr:col>
      <xdr:colOff>252930</xdr:colOff>
      <xdr:row>34</xdr:row>
      <xdr:rowOff>151898</xdr:rowOff>
    </xdr:to>
    <xdr:graphicFrame macro="">
      <xdr:nvGraphicFramePr>
        <xdr:cNvPr id="7" name="Graphique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0</xdr:colOff>
      <xdr:row>38</xdr:row>
      <xdr:rowOff>0</xdr:rowOff>
    </xdr:from>
    <xdr:to>
      <xdr:col>16</xdr:col>
      <xdr:colOff>243344</xdr:colOff>
      <xdr:row>52</xdr:row>
      <xdr:rowOff>76200</xdr:rowOff>
    </xdr:to>
    <xdr:graphicFrame macro="">
      <xdr:nvGraphicFramePr>
        <xdr:cNvPr id="8" name="Graphique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2956</xdr:colOff>
      <xdr:row>52</xdr:row>
      <xdr:rowOff>79156</xdr:rowOff>
    </xdr:from>
    <xdr:to>
      <xdr:col>16</xdr:col>
      <xdr:colOff>246300</xdr:colOff>
      <xdr:row>66</xdr:row>
      <xdr:rowOff>155356</xdr:rowOff>
    </xdr:to>
    <xdr:graphicFrame macro="">
      <xdr:nvGraphicFramePr>
        <xdr:cNvPr id="9" name="Graphique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4329</xdr:colOff>
      <xdr:row>6</xdr:row>
      <xdr:rowOff>4330</xdr:rowOff>
    </xdr:from>
    <xdr:to>
      <xdr:col>15</xdr:col>
      <xdr:colOff>556779</xdr:colOff>
      <xdr:row>20</xdr:row>
      <xdr:rowOff>80530</xdr:rowOff>
    </xdr:to>
    <xdr:graphicFrame macro="">
      <xdr:nvGraphicFramePr>
        <xdr:cNvPr id="2" name="Graphique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757670</xdr:colOff>
      <xdr:row>20</xdr:row>
      <xdr:rowOff>71871</xdr:rowOff>
    </xdr:from>
    <xdr:to>
      <xdr:col>15</xdr:col>
      <xdr:colOff>548120</xdr:colOff>
      <xdr:row>34</xdr:row>
      <xdr:rowOff>148071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-1</xdr:colOff>
      <xdr:row>37</xdr:row>
      <xdr:rowOff>0</xdr:rowOff>
    </xdr:from>
    <xdr:to>
      <xdr:col>15</xdr:col>
      <xdr:colOff>719593</xdr:colOff>
      <xdr:row>51</xdr:row>
      <xdr:rowOff>76200</xdr:rowOff>
    </xdr:to>
    <xdr:graphicFrame macro="">
      <xdr:nvGraphicFramePr>
        <xdr:cNvPr id="4" name="Graphique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2955</xdr:colOff>
      <xdr:row>51</xdr:row>
      <xdr:rowOff>79156</xdr:rowOff>
    </xdr:from>
    <xdr:to>
      <xdr:col>15</xdr:col>
      <xdr:colOff>722549</xdr:colOff>
      <xdr:row>65</xdr:row>
      <xdr:rowOff>155356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6</xdr:row>
      <xdr:rowOff>0</xdr:rowOff>
    </xdr:from>
    <xdr:to>
      <xdr:col>16</xdr:col>
      <xdr:colOff>249892</xdr:colOff>
      <xdr:row>20</xdr:row>
      <xdr:rowOff>76200</xdr:rowOff>
    </xdr:to>
    <xdr:graphicFrame macro="">
      <xdr:nvGraphicFramePr>
        <xdr:cNvPr id="2" name="Graphique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2956</xdr:colOff>
      <xdr:row>20</xdr:row>
      <xdr:rowOff>79156</xdr:rowOff>
    </xdr:from>
    <xdr:to>
      <xdr:col>16</xdr:col>
      <xdr:colOff>252848</xdr:colOff>
      <xdr:row>34</xdr:row>
      <xdr:rowOff>155356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-1</xdr:colOff>
      <xdr:row>37</xdr:row>
      <xdr:rowOff>0</xdr:rowOff>
    </xdr:from>
    <xdr:to>
      <xdr:col>16</xdr:col>
      <xdr:colOff>249891</xdr:colOff>
      <xdr:row>51</xdr:row>
      <xdr:rowOff>76200</xdr:rowOff>
    </xdr:to>
    <xdr:graphicFrame macro="">
      <xdr:nvGraphicFramePr>
        <xdr:cNvPr id="4" name="Graphique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2955</xdr:colOff>
      <xdr:row>51</xdr:row>
      <xdr:rowOff>79156</xdr:rowOff>
    </xdr:from>
    <xdr:to>
      <xdr:col>16</xdr:col>
      <xdr:colOff>252847</xdr:colOff>
      <xdr:row>65</xdr:row>
      <xdr:rowOff>155356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19"/>
  <sheetViews>
    <sheetView topLeftCell="E22" zoomScale="85" zoomScaleNormal="85" workbookViewId="0">
      <selection activeCell="S42" sqref="S42"/>
    </sheetView>
  </sheetViews>
  <sheetFormatPr baseColWidth="10" defaultRowHeight="15" x14ac:dyDescent="0.25"/>
  <cols>
    <col min="4" max="4" width="23" bestFit="1" customWidth="1"/>
    <col min="5" max="5" width="13.85546875" bestFit="1" customWidth="1"/>
    <col min="6" max="6" width="27.42578125" bestFit="1" customWidth="1"/>
    <col min="7" max="7" width="8" bestFit="1" customWidth="1"/>
    <col min="8" max="8" width="16.42578125" bestFit="1" customWidth="1"/>
    <col min="14" max="14" width="13.28515625" bestFit="1" customWidth="1"/>
    <col min="15" max="15" width="12.7109375" bestFit="1" customWidth="1"/>
    <col min="16" max="16" width="13.85546875" bestFit="1" customWidth="1"/>
    <col min="17" max="17" width="16.7109375" customWidth="1"/>
    <col min="18" max="18" width="9.42578125" bestFit="1" customWidth="1"/>
    <col min="26" max="26" width="23" bestFit="1" customWidth="1"/>
  </cols>
  <sheetData>
    <row r="1" spans="1:18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16</v>
      </c>
      <c r="G1" t="s">
        <v>12</v>
      </c>
      <c r="H1" t="s">
        <v>17</v>
      </c>
      <c r="I1" t="s">
        <v>13</v>
      </c>
    </row>
    <row r="2" spans="1:18" x14ac:dyDescent="0.25">
      <c r="A2">
        <v>1000</v>
      </c>
      <c r="B2">
        <v>1902.828125</v>
      </c>
      <c r="C2">
        <v>-13.54693</v>
      </c>
      <c r="D2" t="s">
        <v>27</v>
      </c>
      <c r="E2">
        <f t="shared" ref="E2:E65" si="0">B2-$P$3</f>
        <v>424.828125</v>
      </c>
      <c r="F2">
        <f>E2-$R$3</f>
        <v>75.696464999999989</v>
      </c>
      <c r="G2">
        <v>50</v>
      </c>
      <c r="H2">
        <f>LN(F2)</f>
        <v>4.3267314618629484</v>
      </c>
      <c r="I2">
        <f>LN(B2)</f>
        <v>7.5510965452981651</v>
      </c>
      <c r="L2" s="1" t="s">
        <v>0</v>
      </c>
      <c r="M2" s="1" t="s">
        <v>1</v>
      </c>
      <c r="P2" t="s">
        <v>14</v>
      </c>
      <c r="R2" t="s">
        <v>15</v>
      </c>
    </row>
    <row r="3" spans="1:18" x14ac:dyDescent="0.25">
      <c r="A3">
        <v>1000</v>
      </c>
      <c r="B3">
        <v>1902.602539</v>
      </c>
      <c r="C3">
        <v>-13.585124</v>
      </c>
      <c r="D3" t="s">
        <v>28</v>
      </c>
      <c r="E3">
        <f t="shared" si="0"/>
        <v>424.60253899999998</v>
      </c>
      <c r="F3">
        <f t="shared" ref="F3:F66" si="1">E3-$R$3</f>
        <v>75.470878999999968</v>
      </c>
      <c r="G3">
        <v>60</v>
      </c>
      <c r="H3">
        <f t="shared" ref="H3:H66" si="2">LN(F3)</f>
        <v>4.3237468732410083</v>
      </c>
      <c r="I3">
        <f t="shared" ref="I3:I66" si="3">LN(B3)</f>
        <v>7.5509779852611123</v>
      </c>
      <c r="K3" t="s">
        <v>2</v>
      </c>
      <c r="L3">
        <f>1/(0.00008)</f>
        <v>12499.999999999998</v>
      </c>
      <c r="M3">
        <f>1/(0.00009)</f>
        <v>11111.111111111111</v>
      </c>
      <c r="N3" s="3" t="s">
        <v>3</v>
      </c>
      <c r="P3">
        <v>1478</v>
      </c>
      <c r="R3" s="4">
        <v>349.13166000000001</v>
      </c>
    </row>
    <row r="4" spans="1:18" x14ac:dyDescent="0.25">
      <c r="A4">
        <v>1000</v>
      </c>
      <c r="B4">
        <v>1902.904297</v>
      </c>
      <c r="C4">
        <v>-13.622047</v>
      </c>
      <c r="D4" t="s">
        <v>29</v>
      </c>
      <c r="E4">
        <f t="shared" si="0"/>
        <v>424.90429700000004</v>
      </c>
      <c r="F4">
        <f t="shared" si="1"/>
        <v>75.772637000000032</v>
      </c>
      <c r="G4">
        <v>70</v>
      </c>
      <c r="H4">
        <f t="shared" si="2"/>
        <v>4.327737238030041</v>
      </c>
      <c r="I4">
        <f t="shared" si="3"/>
        <v>7.5511365754377362</v>
      </c>
      <c r="L4">
        <f>L3/60</f>
        <v>208.33333333333331</v>
      </c>
      <c r="M4">
        <f>M3/60</f>
        <v>185.18518518518519</v>
      </c>
      <c r="N4" s="3" t="s">
        <v>4</v>
      </c>
    </row>
    <row r="5" spans="1:18" x14ac:dyDescent="0.25">
      <c r="A5">
        <v>1000</v>
      </c>
      <c r="B5">
        <v>1901.5708010000001</v>
      </c>
      <c r="C5">
        <v>-13.586217</v>
      </c>
      <c r="D5" t="s">
        <v>30</v>
      </c>
      <c r="E5">
        <f t="shared" si="0"/>
        <v>423.57080100000007</v>
      </c>
      <c r="F5">
        <f t="shared" si="1"/>
        <v>74.439141000000063</v>
      </c>
      <c r="G5">
        <v>80</v>
      </c>
      <c r="H5">
        <f t="shared" si="2"/>
        <v>4.3099818922125754</v>
      </c>
      <c r="I5">
        <f t="shared" si="3"/>
        <v>7.5504355609638552</v>
      </c>
      <c r="L5">
        <f>L4/60</f>
        <v>3.4722222222222219</v>
      </c>
      <c r="M5">
        <f>M4/60</f>
        <v>3.0864197530864197</v>
      </c>
      <c r="N5" s="3" t="s">
        <v>5</v>
      </c>
    </row>
    <row r="6" spans="1:18" x14ac:dyDescent="0.25">
      <c r="A6">
        <v>1000</v>
      </c>
      <c r="B6">
        <v>1901.8482670000001</v>
      </c>
      <c r="C6">
        <v>-13.584578</v>
      </c>
      <c r="D6" t="s">
        <v>31</v>
      </c>
      <c r="E6">
        <f t="shared" si="0"/>
        <v>423.84826700000008</v>
      </c>
      <c r="F6">
        <f t="shared" si="1"/>
        <v>74.716607000000067</v>
      </c>
      <c r="G6">
        <v>90</v>
      </c>
      <c r="H6">
        <f t="shared" si="2"/>
        <v>4.3137023833606367</v>
      </c>
      <c r="I6">
        <f t="shared" si="3"/>
        <v>7.5505814644236269</v>
      </c>
    </row>
    <row r="7" spans="1:18" x14ac:dyDescent="0.25">
      <c r="A7">
        <v>1000</v>
      </c>
      <c r="B7">
        <v>1902.179077</v>
      </c>
      <c r="C7">
        <v>-13.618947</v>
      </c>
      <c r="D7" t="s">
        <v>32</v>
      </c>
      <c r="E7">
        <f t="shared" si="0"/>
        <v>424.17907700000001</v>
      </c>
      <c r="F7">
        <f t="shared" si="1"/>
        <v>75.047416999999996</v>
      </c>
      <c r="G7">
        <v>100</v>
      </c>
      <c r="H7">
        <f t="shared" si="2"/>
        <v>4.3181201404318941</v>
      </c>
      <c r="I7">
        <f t="shared" si="3"/>
        <v>7.5507553906186402</v>
      </c>
    </row>
    <row r="8" spans="1:18" x14ac:dyDescent="0.25">
      <c r="A8">
        <v>1000</v>
      </c>
      <c r="B8">
        <v>1901.4866939999999</v>
      </c>
      <c r="C8">
        <v>-13.580698</v>
      </c>
      <c r="D8" t="s">
        <v>33</v>
      </c>
      <c r="E8">
        <f t="shared" si="0"/>
        <v>423.48669399999994</v>
      </c>
      <c r="F8">
        <f t="shared" si="1"/>
        <v>74.355033999999932</v>
      </c>
      <c r="G8">
        <v>110</v>
      </c>
      <c r="H8">
        <f t="shared" si="2"/>
        <v>4.308851377406361</v>
      </c>
      <c r="I8">
        <f t="shared" si="3"/>
        <v>7.5503913297103837</v>
      </c>
    </row>
    <row r="9" spans="1:18" x14ac:dyDescent="0.25">
      <c r="A9">
        <v>1000</v>
      </c>
      <c r="B9">
        <v>1900.411621</v>
      </c>
      <c r="C9">
        <v>-13.547188999999999</v>
      </c>
      <c r="D9" t="s">
        <v>34</v>
      </c>
      <c r="E9">
        <f t="shared" si="0"/>
        <v>422.41162099999997</v>
      </c>
      <c r="F9">
        <f t="shared" si="1"/>
        <v>73.279960999999957</v>
      </c>
      <c r="G9">
        <v>120</v>
      </c>
      <c r="H9">
        <f t="shared" si="2"/>
        <v>4.2942871881604923</v>
      </c>
      <c r="I9">
        <f t="shared" si="3"/>
        <v>7.5498257843224845</v>
      </c>
    </row>
    <row r="10" spans="1:18" x14ac:dyDescent="0.25">
      <c r="A10">
        <v>1000</v>
      </c>
      <c r="B10">
        <v>1900.6904300000001</v>
      </c>
      <c r="C10">
        <v>-13.542367</v>
      </c>
      <c r="D10" t="s">
        <v>35</v>
      </c>
      <c r="E10">
        <f t="shared" si="0"/>
        <v>422.69043000000011</v>
      </c>
      <c r="F10">
        <f t="shared" si="1"/>
        <v>73.558770000000095</v>
      </c>
      <c r="G10">
        <v>130</v>
      </c>
      <c r="H10">
        <f t="shared" si="2"/>
        <v>4.2980846785522777</v>
      </c>
      <c r="I10">
        <f t="shared" si="3"/>
        <v>7.5499724833570063</v>
      </c>
    </row>
    <row r="11" spans="1:18" x14ac:dyDescent="0.25">
      <c r="A11">
        <v>1000</v>
      </c>
      <c r="B11">
        <v>1899.2905270000001</v>
      </c>
      <c r="C11">
        <v>-13.488503</v>
      </c>
      <c r="D11" t="s">
        <v>36</v>
      </c>
      <c r="E11">
        <f t="shared" si="0"/>
        <v>421.29052700000011</v>
      </c>
      <c r="F11">
        <f t="shared" si="1"/>
        <v>72.1588670000001</v>
      </c>
      <c r="G11">
        <v>140</v>
      </c>
      <c r="H11">
        <f t="shared" si="2"/>
        <v>4.2788701744115922</v>
      </c>
      <c r="I11">
        <f t="shared" si="3"/>
        <v>7.5492356885787322</v>
      </c>
    </row>
    <row r="12" spans="1:18" x14ac:dyDescent="0.25">
      <c r="A12">
        <v>1000</v>
      </c>
      <c r="B12">
        <v>1898.6239009999999</v>
      </c>
      <c r="C12">
        <v>-13.439791</v>
      </c>
      <c r="D12" t="s">
        <v>37</v>
      </c>
      <c r="E12">
        <f t="shared" si="0"/>
        <v>420.62390099999993</v>
      </c>
      <c r="F12">
        <f t="shared" si="1"/>
        <v>71.492240999999922</v>
      </c>
      <c r="G12">
        <v>150</v>
      </c>
      <c r="H12">
        <f t="shared" si="2"/>
        <v>4.2695889263289954</v>
      </c>
      <c r="I12">
        <f t="shared" si="3"/>
        <v>7.5488846401180654</v>
      </c>
    </row>
    <row r="13" spans="1:18" x14ac:dyDescent="0.25">
      <c r="A13">
        <v>1000</v>
      </c>
      <c r="B13">
        <v>1897.1870120000001</v>
      </c>
      <c r="C13">
        <v>-13.391351</v>
      </c>
      <c r="D13" t="s">
        <v>38</v>
      </c>
      <c r="E13">
        <f t="shared" si="0"/>
        <v>419.1870120000001</v>
      </c>
      <c r="F13">
        <f t="shared" si="1"/>
        <v>70.055352000000084</v>
      </c>
      <c r="G13">
        <v>160</v>
      </c>
      <c r="H13">
        <f t="shared" si="2"/>
        <v>4.2492856724340831</v>
      </c>
      <c r="I13">
        <f t="shared" si="3"/>
        <v>7.5481275481018573</v>
      </c>
    </row>
    <row r="14" spans="1:18" x14ac:dyDescent="0.25">
      <c r="A14">
        <v>1000</v>
      </c>
      <c r="B14">
        <v>1896.078125</v>
      </c>
      <c r="C14">
        <v>-13.338663</v>
      </c>
      <c r="D14" t="s">
        <v>39</v>
      </c>
      <c r="E14">
        <f t="shared" si="0"/>
        <v>418.078125</v>
      </c>
      <c r="F14">
        <f t="shared" si="1"/>
        <v>68.946464999999989</v>
      </c>
      <c r="G14">
        <v>170</v>
      </c>
      <c r="H14">
        <f t="shared" si="2"/>
        <v>4.2333303338894757</v>
      </c>
      <c r="I14">
        <f t="shared" si="3"/>
        <v>7.547542887134834</v>
      </c>
    </row>
    <row r="15" spans="1:18" x14ac:dyDescent="0.25">
      <c r="A15">
        <v>1000</v>
      </c>
      <c r="B15">
        <v>1894.992432</v>
      </c>
      <c r="C15">
        <v>-13.287682999999999</v>
      </c>
      <c r="D15" t="s">
        <v>40</v>
      </c>
      <c r="E15">
        <f t="shared" si="0"/>
        <v>416.99243200000001</v>
      </c>
      <c r="F15">
        <f t="shared" si="1"/>
        <v>67.860771999999997</v>
      </c>
      <c r="G15">
        <v>180</v>
      </c>
      <c r="H15">
        <f t="shared" si="2"/>
        <v>4.217458135654474</v>
      </c>
      <c r="I15">
        <f t="shared" si="3"/>
        <v>7.5469701238410059</v>
      </c>
    </row>
    <row r="16" spans="1:18" x14ac:dyDescent="0.25">
      <c r="A16">
        <v>1000</v>
      </c>
      <c r="B16">
        <v>1893.044312</v>
      </c>
      <c r="C16">
        <v>-13.196978</v>
      </c>
      <c r="D16" t="s">
        <v>41</v>
      </c>
      <c r="E16">
        <f t="shared" si="0"/>
        <v>415.04431199999999</v>
      </c>
      <c r="F16">
        <f t="shared" si="1"/>
        <v>65.91265199999998</v>
      </c>
      <c r="G16">
        <v>190</v>
      </c>
      <c r="H16">
        <f t="shared" si="2"/>
        <v>4.1883304109415453</v>
      </c>
      <c r="I16">
        <f t="shared" si="3"/>
        <v>7.5459415592818919</v>
      </c>
    </row>
    <row r="17" spans="1:9" x14ac:dyDescent="0.25">
      <c r="A17">
        <v>1000</v>
      </c>
      <c r="B17">
        <v>1890.72876</v>
      </c>
      <c r="C17">
        <v>-13.058543999999999</v>
      </c>
      <c r="D17" t="s">
        <v>42</v>
      </c>
      <c r="E17">
        <f t="shared" si="0"/>
        <v>412.72875999999997</v>
      </c>
      <c r="F17">
        <f t="shared" si="1"/>
        <v>63.597099999999955</v>
      </c>
      <c r="G17">
        <v>200</v>
      </c>
      <c r="H17">
        <f t="shared" si="2"/>
        <v>4.1525678718222023</v>
      </c>
      <c r="I17">
        <f t="shared" si="3"/>
        <v>7.5447176210355957</v>
      </c>
    </row>
    <row r="18" spans="1:9" x14ac:dyDescent="0.25">
      <c r="A18">
        <v>1000</v>
      </c>
      <c r="B18">
        <v>1886.213379</v>
      </c>
      <c r="C18">
        <v>-12.767987</v>
      </c>
      <c r="D18" t="s">
        <v>43</v>
      </c>
      <c r="E18">
        <f t="shared" si="0"/>
        <v>408.21337900000003</v>
      </c>
      <c r="F18">
        <f t="shared" si="1"/>
        <v>59.081719000000021</v>
      </c>
      <c r="G18">
        <v>210</v>
      </c>
      <c r="H18">
        <f t="shared" si="2"/>
        <v>4.078921553380721</v>
      </c>
      <c r="I18">
        <f t="shared" si="3"/>
        <v>7.5423265951818612</v>
      </c>
    </row>
    <row r="19" spans="1:9" x14ac:dyDescent="0.25">
      <c r="A19">
        <v>1000</v>
      </c>
      <c r="B19">
        <v>1881.783081</v>
      </c>
      <c r="C19">
        <v>-12.541553</v>
      </c>
      <c r="D19" t="s">
        <v>44</v>
      </c>
      <c r="E19">
        <f t="shared" si="0"/>
        <v>403.78308100000004</v>
      </c>
      <c r="F19">
        <f t="shared" si="1"/>
        <v>54.651421000000028</v>
      </c>
      <c r="G19">
        <v>220</v>
      </c>
      <c r="H19">
        <f t="shared" si="2"/>
        <v>4.0009752161143322</v>
      </c>
      <c r="I19">
        <f t="shared" si="3"/>
        <v>7.5399750536724319</v>
      </c>
    </row>
    <row r="20" spans="1:9" x14ac:dyDescent="0.25">
      <c r="A20">
        <v>1000</v>
      </c>
      <c r="B20">
        <v>1878.8785399999999</v>
      </c>
      <c r="C20">
        <v>-12.357233000000001</v>
      </c>
      <c r="D20" t="s">
        <v>45</v>
      </c>
      <c r="E20">
        <f t="shared" si="0"/>
        <v>400.87853999999993</v>
      </c>
      <c r="F20">
        <f t="shared" si="1"/>
        <v>51.746879999999919</v>
      </c>
      <c r="G20">
        <v>230</v>
      </c>
      <c r="H20">
        <f t="shared" si="2"/>
        <v>3.9463641404728982</v>
      </c>
      <c r="I20">
        <f t="shared" si="3"/>
        <v>7.5384303565577957</v>
      </c>
    </row>
    <row r="21" spans="1:9" x14ac:dyDescent="0.25">
      <c r="A21">
        <v>1000</v>
      </c>
      <c r="B21">
        <v>1875.2573239999999</v>
      </c>
      <c r="C21">
        <v>-12.122835</v>
      </c>
      <c r="D21" t="s">
        <v>46</v>
      </c>
      <c r="E21">
        <f t="shared" si="0"/>
        <v>397.25732399999993</v>
      </c>
      <c r="F21">
        <f t="shared" si="1"/>
        <v>48.125663999999915</v>
      </c>
      <c r="G21">
        <v>240</v>
      </c>
      <c r="H21">
        <f t="shared" si="2"/>
        <v>3.8738155899153606</v>
      </c>
      <c r="I21">
        <f t="shared" si="3"/>
        <v>7.5365011684547039</v>
      </c>
    </row>
    <row r="22" spans="1:9" x14ac:dyDescent="0.25">
      <c r="A22">
        <v>1000</v>
      </c>
      <c r="B22">
        <v>1872.2955320000001</v>
      </c>
      <c r="C22">
        <v>-11.947463000000001</v>
      </c>
      <c r="D22" t="s">
        <v>47</v>
      </c>
      <c r="E22">
        <f t="shared" si="0"/>
        <v>394.29553200000009</v>
      </c>
      <c r="F22">
        <f t="shared" si="1"/>
        <v>45.163872000000083</v>
      </c>
      <c r="G22">
        <v>250</v>
      </c>
      <c r="H22">
        <f t="shared" si="2"/>
        <v>3.8102974751985941</v>
      </c>
      <c r="I22">
        <f t="shared" si="3"/>
        <v>7.5349205142355542</v>
      </c>
    </row>
    <row r="23" spans="1:9" x14ac:dyDescent="0.25">
      <c r="A23">
        <v>1000</v>
      </c>
      <c r="B23">
        <v>1870.5010990000001</v>
      </c>
      <c r="C23">
        <v>-11.818619</v>
      </c>
      <c r="D23" t="s">
        <v>48</v>
      </c>
      <c r="E23">
        <f t="shared" si="0"/>
        <v>392.50109900000007</v>
      </c>
      <c r="F23">
        <f t="shared" si="1"/>
        <v>43.369439000000057</v>
      </c>
      <c r="G23">
        <v>260</v>
      </c>
      <c r="H23">
        <f t="shared" si="2"/>
        <v>3.7697550225549459</v>
      </c>
      <c r="I23">
        <f t="shared" si="3"/>
        <v>7.5339616413314658</v>
      </c>
    </row>
    <row r="24" spans="1:9" x14ac:dyDescent="0.25">
      <c r="A24">
        <v>1000</v>
      </c>
      <c r="B24">
        <v>1868.9888920000001</v>
      </c>
      <c r="C24">
        <v>-11.693899</v>
      </c>
      <c r="D24" t="s">
        <v>49</v>
      </c>
      <c r="E24">
        <f t="shared" si="0"/>
        <v>390.98889200000008</v>
      </c>
      <c r="F24">
        <f t="shared" si="1"/>
        <v>41.857232000000067</v>
      </c>
      <c r="G24">
        <v>270</v>
      </c>
      <c r="H24">
        <f t="shared" si="2"/>
        <v>3.7342645896523208</v>
      </c>
      <c r="I24">
        <f t="shared" si="3"/>
        <v>7.5331528641527221</v>
      </c>
    </row>
    <row r="25" spans="1:9" x14ac:dyDescent="0.25">
      <c r="A25">
        <v>1000</v>
      </c>
      <c r="B25">
        <v>1867.7100829999999</v>
      </c>
      <c r="C25">
        <v>-11.652631</v>
      </c>
      <c r="D25" t="s">
        <v>50</v>
      </c>
      <c r="E25">
        <f t="shared" si="0"/>
        <v>389.71008299999994</v>
      </c>
      <c r="F25">
        <f t="shared" si="1"/>
        <v>40.57842299999993</v>
      </c>
      <c r="G25">
        <v>280</v>
      </c>
      <c r="H25">
        <f t="shared" si="2"/>
        <v>3.7032364721344071</v>
      </c>
      <c r="I25">
        <f t="shared" si="3"/>
        <v>7.5324684049236108</v>
      </c>
    </row>
    <row r="26" spans="1:9" x14ac:dyDescent="0.25">
      <c r="A26">
        <v>1000</v>
      </c>
      <c r="B26">
        <v>1867.4533690000001</v>
      </c>
      <c r="C26">
        <v>-11.630459999999999</v>
      </c>
      <c r="D26" t="s">
        <v>51</v>
      </c>
      <c r="E26">
        <f t="shared" si="0"/>
        <v>389.45336900000007</v>
      </c>
      <c r="F26">
        <f t="shared" si="1"/>
        <v>40.321709000000055</v>
      </c>
      <c r="G26">
        <v>290</v>
      </c>
      <c r="H26">
        <f t="shared" si="2"/>
        <v>3.6968900087775554</v>
      </c>
      <c r="I26">
        <f t="shared" si="3"/>
        <v>7.5323309469495738</v>
      </c>
    </row>
    <row r="27" spans="1:9" x14ac:dyDescent="0.25">
      <c r="A27">
        <v>1000</v>
      </c>
      <c r="B27">
        <v>1866.383789</v>
      </c>
      <c r="C27">
        <v>-11.605066000000001</v>
      </c>
      <c r="D27" t="s">
        <v>52</v>
      </c>
      <c r="E27">
        <f t="shared" si="0"/>
        <v>388.38378899999998</v>
      </c>
      <c r="F27">
        <f t="shared" si="1"/>
        <v>39.252128999999968</v>
      </c>
      <c r="G27">
        <v>300</v>
      </c>
      <c r="H27">
        <f t="shared" si="2"/>
        <v>3.6700056847955871</v>
      </c>
      <c r="I27">
        <f t="shared" si="3"/>
        <v>7.5317580349643984</v>
      </c>
    </row>
    <row r="28" spans="1:9" x14ac:dyDescent="0.25">
      <c r="A28">
        <v>1000</v>
      </c>
      <c r="B28">
        <v>1865.7329099999999</v>
      </c>
      <c r="C28">
        <v>-11.583496</v>
      </c>
      <c r="D28" t="s">
        <v>53</v>
      </c>
      <c r="E28">
        <f t="shared" si="0"/>
        <v>387.73290999999995</v>
      </c>
      <c r="F28">
        <f t="shared" si="1"/>
        <v>38.601249999999936</v>
      </c>
      <c r="G28">
        <v>310</v>
      </c>
      <c r="H28">
        <f t="shared" si="2"/>
        <v>3.653284659366141</v>
      </c>
      <c r="I28">
        <f t="shared" si="3"/>
        <v>7.5314092361142588</v>
      </c>
    </row>
    <row r="29" spans="1:9" x14ac:dyDescent="0.25">
      <c r="A29">
        <v>1000</v>
      </c>
      <c r="B29">
        <v>1865.8804929999999</v>
      </c>
      <c r="C29">
        <v>-11.582992000000001</v>
      </c>
      <c r="D29" t="s">
        <v>54</v>
      </c>
      <c r="E29">
        <f t="shared" si="0"/>
        <v>387.88049299999989</v>
      </c>
      <c r="F29">
        <f t="shared" si="1"/>
        <v>38.748832999999877</v>
      </c>
      <c r="G29">
        <v>320</v>
      </c>
      <c r="H29">
        <f t="shared" si="2"/>
        <v>3.657100639216821</v>
      </c>
      <c r="I29">
        <f t="shared" si="3"/>
        <v>7.5314883348761823</v>
      </c>
    </row>
    <row r="30" spans="1:9" x14ac:dyDescent="0.25">
      <c r="A30">
        <v>1000</v>
      </c>
      <c r="B30">
        <v>1865.673706</v>
      </c>
      <c r="C30">
        <v>-11.584725000000001</v>
      </c>
      <c r="D30" t="s">
        <v>55</v>
      </c>
      <c r="E30">
        <f t="shared" si="0"/>
        <v>387.67370600000004</v>
      </c>
      <c r="F30">
        <f t="shared" si="1"/>
        <v>38.542046000000028</v>
      </c>
      <c r="G30">
        <v>330</v>
      </c>
      <c r="H30">
        <f t="shared" si="2"/>
        <v>3.6517497492782085</v>
      </c>
      <c r="I30">
        <f t="shared" si="3"/>
        <v>7.5313775033088604</v>
      </c>
    </row>
    <row r="31" spans="1:9" x14ac:dyDescent="0.25">
      <c r="A31">
        <v>1000</v>
      </c>
      <c r="B31">
        <v>1865.0074460000001</v>
      </c>
      <c r="C31">
        <v>-11.566106</v>
      </c>
      <c r="D31" t="s">
        <v>56</v>
      </c>
      <c r="E31">
        <f t="shared" si="0"/>
        <v>387.00744600000007</v>
      </c>
      <c r="F31">
        <f t="shared" si="1"/>
        <v>37.875786000000062</v>
      </c>
      <c r="G31">
        <v>340</v>
      </c>
      <c r="H31">
        <f t="shared" si="2"/>
        <v>3.6343120160894529</v>
      </c>
      <c r="I31">
        <f t="shared" si="3"/>
        <v>7.5310203245632437</v>
      </c>
    </row>
    <row r="32" spans="1:9" x14ac:dyDescent="0.25">
      <c r="A32">
        <v>1000</v>
      </c>
      <c r="B32">
        <v>1864.2064210000001</v>
      </c>
      <c r="C32">
        <v>-11.545165000000001</v>
      </c>
      <c r="D32" t="s">
        <v>57</v>
      </c>
      <c r="E32">
        <f t="shared" si="0"/>
        <v>386.20642100000009</v>
      </c>
      <c r="F32">
        <f t="shared" si="1"/>
        <v>37.07476100000008</v>
      </c>
      <c r="G32">
        <v>350</v>
      </c>
      <c r="H32">
        <f t="shared" si="2"/>
        <v>3.6129364416107723</v>
      </c>
      <c r="I32">
        <f t="shared" si="3"/>
        <v>7.5305907299940467</v>
      </c>
    </row>
    <row r="33" spans="1:20" x14ac:dyDescent="0.25">
      <c r="A33">
        <v>1000</v>
      </c>
      <c r="B33">
        <v>1864.2573239999999</v>
      </c>
      <c r="C33">
        <v>-11.536477</v>
      </c>
      <c r="D33" t="s">
        <v>58</v>
      </c>
      <c r="E33">
        <f t="shared" si="0"/>
        <v>386.25732399999993</v>
      </c>
      <c r="F33">
        <f t="shared" si="1"/>
        <v>37.125663999999915</v>
      </c>
      <c r="G33">
        <v>360</v>
      </c>
      <c r="H33">
        <f t="shared" si="2"/>
        <v>3.6143084824848031</v>
      </c>
      <c r="I33">
        <f t="shared" si="3"/>
        <v>7.5306180350738243</v>
      </c>
    </row>
    <row r="34" spans="1:20" x14ac:dyDescent="0.25">
      <c r="A34">
        <v>1000</v>
      </c>
      <c r="B34">
        <v>1864.716797</v>
      </c>
      <c r="C34">
        <v>-11.516738</v>
      </c>
      <c r="D34" t="s">
        <v>59</v>
      </c>
      <c r="E34">
        <f t="shared" si="0"/>
        <v>386.71679700000004</v>
      </c>
      <c r="F34">
        <f t="shared" si="1"/>
        <v>37.585137000000032</v>
      </c>
      <c r="G34">
        <v>370</v>
      </c>
      <c r="H34">
        <f t="shared" si="2"/>
        <v>3.6266086796939616</v>
      </c>
      <c r="I34">
        <f t="shared" si="3"/>
        <v>7.5308644690727826</v>
      </c>
    </row>
    <row r="35" spans="1:20" x14ac:dyDescent="0.25">
      <c r="A35">
        <v>1000</v>
      </c>
      <c r="B35">
        <v>1863.647827</v>
      </c>
      <c r="C35">
        <v>-11.483815</v>
      </c>
      <c r="D35" t="s">
        <v>60</v>
      </c>
      <c r="E35">
        <f t="shared" si="0"/>
        <v>385.64782700000001</v>
      </c>
      <c r="F35">
        <f t="shared" si="1"/>
        <v>36.516166999999996</v>
      </c>
      <c r="G35">
        <v>380</v>
      </c>
      <c r="H35">
        <f t="shared" si="2"/>
        <v>3.5977550940300915</v>
      </c>
      <c r="I35">
        <f t="shared" si="3"/>
        <v>7.5302910433823822</v>
      </c>
    </row>
    <row r="36" spans="1:20" x14ac:dyDescent="0.25">
      <c r="A36">
        <v>1000</v>
      </c>
      <c r="B36">
        <v>1863.006226</v>
      </c>
      <c r="C36">
        <v>-11.484704000000001</v>
      </c>
      <c r="D36" t="s">
        <v>61</v>
      </c>
      <c r="E36">
        <f t="shared" si="0"/>
        <v>385.00622599999997</v>
      </c>
      <c r="F36">
        <f t="shared" si="1"/>
        <v>35.874565999999959</v>
      </c>
      <c r="G36">
        <v>390</v>
      </c>
      <c r="H36">
        <f t="shared" si="2"/>
        <v>3.5800285764456325</v>
      </c>
      <c r="I36">
        <f t="shared" si="3"/>
        <v>7.5299467125176358</v>
      </c>
    </row>
    <row r="37" spans="1:20" x14ac:dyDescent="0.25">
      <c r="A37">
        <v>1000</v>
      </c>
      <c r="B37">
        <v>1863.948486</v>
      </c>
      <c r="C37">
        <v>-11.490086</v>
      </c>
      <c r="D37" t="s">
        <v>62</v>
      </c>
      <c r="E37">
        <f t="shared" si="0"/>
        <v>385.948486</v>
      </c>
      <c r="F37">
        <f t="shared" si="1"/>
        <v>36.816825999999992</v>
      </c>
      <c r="G37">
        <v>400</v>
      </c>
      <c r="H37">
        <f t="shared" si="2"/>
        <v>3.6059549689387649</v>
      </c>
      <c r="I37">
        <f t="shared" si="3"/>
        <v>7.5304523585975538</v>
      </c>
    </row>
    <row r="38" spans="1:20" x14ac:dyDescent="0.25">
      <c r="A38">
        <v>1000</v>
      </c>
      <c r="B38">
        <v>1862.9487300000001</v>
      </c>
      <c r="C38">
        <v>-11.478365999999999</v>
      </c>
      <c r="D38" t="s">
        <v>63</v>
      </c>
      <c r="E38">
        <f t="shared" si="0"/>
        <v>384.94873000000007</v>
      </c>
      <c r="F38">
        <f t="shared" si="1"/>
        <v>35.817070000000058</v>
      </c>
      <c r="G38">
        <v>410</v>
      </c>
      <c r="H38">
        <f t="shared" si="2"/>
        <v>3.578424595408658</v>
      </c>
      <c r="I38">
        <f t="shared" si="3"/>
        <v>7.5299158500940786</v>
      </c>
    </row>
    <row r="39" spans="1:20" x14ac:dyDescent="0.25">
      <c r="A39">
        <v>1000</v>
      </c>
      <c r="B39">
        <v>1862.6164550000001</v>
      </c>
      <c r="C39">
        <v>-11.460101</v>
      </c>
      <c r="D39" t="s">
        <v>64</v>
      </c>
      <c r="E39">
        <f t="shared" si="0"/>
        <v>384.61645500000009</v>
      </c>
      <c r="F39">
        <f t="shared" si="1"/>
        <v>35.484795000000076</v>
      </c>
      <c r="G39">
        <v>420</v>
      </c>
      <c r="H39">
        <f t="shared" si="2"/>
        <v>3.5691042948713503</v>
      </c>
      <c r="I39">
        <f t="shared" si="3"/>
        <v>7.5297374744735315</v>
      </c>
    </row>
    <row r="40" spans="1:20" x14ac:dyDescent="0.25">
      <c r="A40">
        <v>1000</v>
      </c>
      <c r="B40">
        <v>1861.5708010000001</v>
      </c>
      <c r="C40">
        <v>-11.398793</v>
      </c>
      <c r="D40" t="s">
        <v>65</v>
      </c>
      <c r="E40">
        <f t="shared" si="0"/>
        <v>383.57080100000007</v>
      </c>
      <c r="F40">
        <f t="shared" si="1"/>
        <v>34.439141000000063</v>
      </c>
      <c r="G40">
        <v>430</v>
      </c>
      <c r="H40">
        <f t="shared" si="2"/>
        <v>3.539193737320486</v>
      </c>
      <c r="I40">
        <f t="shared" si="3"/>
        <v>7.5291759269703586</v>
      </c>
    </row>
    <row r="41" spans="1:20" x14ac:dyDescent="0.25">
      <c r="A41">
        <v>1000</v>
      </c>
      <c r="B41">
        <v>1861.0008539999999</v>
      </c>
      <c r="C41">
        <v>-11.347664</v>
      </c>
      <c r="D41" t="s">
        <v>66</v>
      </c>
      <c r="E41">
        <f t="shared" si="0"/>
        <v>383.00085399999989</v>
      </c>
      <c r="F41">
        <f t="shared" si="1"/>
        <v>33.869193999999879</v>
      </c>
      <c r="G41">
        <v>440</v>
      </c>
      <c r="H41">
        <f t="shared" si="2"/>
        <v>3.5225058696761402</v>
      </c>
      <c r="I41">
        <f t="shared" si="3"/>
        <v>7.5288697155352136</v>
      </c>
      <c r="S41">
        <v>-1.6999999999999999E-3</v>
      </c>
    </row>
    <row r="42" spans="1:20" x14ac:dyDescent="0.25">
      <c r="A42">
        <v>1000</v>
      </c>
      <c r="B42">
        <v>1860.424683</v>
      </c>
      <c r="C42">
        <v>-11.395296</v>
      </c>
      <c r="D42" t="s">
        <v>67</v>
      </c>
      <c r="E42">
        <f t="shared" si="0"/>
        <v>382.42468299999996</v>
      </c>
      <c r="F42">
        <f t="shared" si="1"/>
        <v>33.293022999999948</v>
      </c>
      <c r="G42">
        <v>450</v>
      </c>
      <c r="H42">
        <f t="shared" si="2"/>
        <v>3.505347855514596</v>
      </c>
      <c r="I42">
        <f t="shared" si="3"/>
        <v>7.5285600648387936</v>
      </c>
      <c r="R42" t="s">
        <v>2</v>
      </c>
      <c r="S42">
        <f>1/ABS(S41)</f>
        <v>588.23529411764707</v>
      </c>
      <c r="T42" s="3" t="s">
        <v>3</v>
      </c>
    </row>
    <row r="43" spans="1:20" x14ac:dyDescent="0.25">
      <c r="A43">
        <v>1000</v>
      </c>
      <c r="B43">
        <v>1860.836182</v>
      </c>
      <c r="C43">
        <v>-11.391690000000001</v>
      </c>
      <c r="D43" t="s">
        <v>68</v>
      </c>
      <c r="E43">
        <f t="shared" si="0"/>
        <v>382.83618200000001</v>
      </c>
      <c r="F43">
        <f t="shared" si="1"/>
        <v>33.704521999999997</v>
      </c>
      <c r="G43">
        <v>460</v>
      </c>
      <c r="H43">
        <f t="shared" si="2"/>
        <v>3.5176320123327125</v>
      </c>
      <c r="I43">
        <f t="shared" si="3"/>
        <v>7.5287812259003832</v>
      </c>
      <c r="S43">
        <f>S42/60</f>
        <v>9.8039215686274517</v>
      </c>
      <c r="T43" s="3" t="s">
        <v>4</v>
      </c>
    </row>
    <row r="44" spans="1:20" x14ac:dyDescent="0.25">
      <c r="A44">
        <v>1000</v>
      </c>
      <c r="B44">
        <v>1861.651001</v>
      </c>
      <c r="C44">
        <v>-11.409831000000001</v>
      </c>
      <c r="D44" t="s">
        <v>69</v>
      </c>
      <c r="E44">
        <f t="shared" si="0"/>
        <v>383.65100099999995</v>
      </c>
      <c r="F44">
        <f t="shared" si="1"/>
        <v>34.51934099999994</v>
      </c>
      <c r="G44">
        <v>470</v>
      </c>
      <c r="H44">
        <f t="shared" si="2"/>
        <v>3.5415197756506149</v>
      </c>
      <c r="I44">
        <f t="shared" si="3"/>
        <v>7.5292190079385506</v>
      </c>
      <c r="S44">
        <f>S43/60</f>
        <v>0.16339869281045752</v>
      </c>
      <c r="T44" s="3" t="s">
        <v>5</v>
      </c>
    </row>
    <row r="45" spans="1:20" x14ac:dyDescent="0.25">
      <c r="A45">
        <v>1000</v>
      </c>
      <c r="B45">
        <v>1861.677124</v>
      </c>
      <c r="C45">
        <v>-11.389013</v>
      </c>
      <c r="D45" t="s">
        <v>70</v>
      </c>
      <c r="E45">
        <f t="shared" si="0"/>
        <v>383.67712400000005</v>
      </c>
      <c r="F45">
        <f t="shared" si="1"/>
        <v>34.545464000000038</v>
      </c>
      <c r="G45">
        <v>480</v>
      </c>
      <c r="H45">
        <f t="shared" si="2"/>
        <v>3.5422762536062349</v>
      </c>
      <c r="I45">
        <f t="shared" si="3"/>
        <v>7.5292330400083136</v>
      </c>
    </row>
    <row r="46" spans="1:20" x14ac:dyDescent="0.25">
      <c r="A46">
        <v>1000</v>
      </c>
      <c r="B46">
        <v>1859.7456050000001</v>
      </c>
      <c r="C46">
        <v>-11.313608</v>
      </c>
      <c r="D46" t="s">
        <v>71</v>
      </c>
      <c r="E46">
        <f t="shared" si="0"/>
        <v>381.74560500000007</v>
      </c>
      <c r="F46">
        <f t="shared" si="1"/>
        <v>32.613945000000058</v>
      </c>
      <c r="G46">
        <v>490</v>
      </c>
      <c r="H46">
        <f t="shared" si="2"/>
        <v>3.4847399576453184</v>
      </c>
      <c r="I46">
        <f t="shared" si="3"/>
        <v>7.5281949858477955</v>
      </c>
    </row>
    <row r="47" spans="1:20" x14ac:dyDescent="0.25">
      <c r="A47">
        <v>1000</v>
      </c>
      <c r="B47">
        <v>1858.4182129999999</v>
      </c>
      <c r="C47">
        <v>-11.235580000000001</v>
      </c>
      <c r="D47" t="s">
        <v>72</v>
      </c>
      <c r="E47">
        <f t="shared" si="0"/>
        <v>380.41821299999992</v>
      </c>
      <c r="F47">
        <f t="shared" si="1"/>
        <v>31.286552999999913</v>
      </c>
      <c r="G47">
        <v>500</v>
      </c>
      <c r="H47">
        <f t="shared" si="2"/>
        <v>3.4431883886210288</v>
      </c>
      <c r="I47">
        <f t="shared" si="3"/>
        <v>7.5274809817740822</v>
      </c>
    </row>
    <row r="48" spans="1:20" x14ac:dyDescent="0.25">
      <c r="A48">
        <v>1000</v>
      </c>
      <c r="B48">
        <v>1857.6575929999999</v>
      </c>
      <c r="C48">
        <v>-11.168316000000001</v>
      </c>
      <c r="D48" t="s">
        <v>73</v>
      </c>
      <c r="E48">
        <f t="shared" si="0"/>
        <v>379.65759299999991</v>
      </c>
      <c r="F48">
        <f t="shared" si="1"/>
        <v>30.525932999999895</v>
      </c>
      <c r="G48">
        <v>510</v>
      </c>
      <c r="H48">
        <f t="shared" si="2"/>
        <v>3.4185765846402267</v>
      </c>
      <c r="I48">
        <f t="shared" si="3"/>
        <v>7.5270716144466485</v>
      </c>
    </row>
    <row r="49" spans="1:9" x14ac:dyDescent="0.25">
      <c r="A49">
        <v>1000</v>
      </c>
      <c r="B49">
        <v>1857.334595</v>
      </c>
      <c r="C49">
        <v>-11.149861</v>
      </c>
      <c r="D49" t="s">
        <v>74</v>
      </c>
      <c r="E49">
        <f t="shared" si="0"/>
        <v>379.33459500000004</v>
      </c>
      <c r="F49">
        <f t="shared" si="1"/>
        <v>30.202935000000025</v>
      </c>
      <c r="G49">
        <v>520</v>
      </c>
      <c r="H49">
        <f t="shared" si="2"/>
        <v>3.4079391050890901</v>
      </c>
      <c r="I49">
        <f t="shared" si="3"/>
        <v>7.5268977255206595</v>
      </c>
    </row>
    <row r="50" spans="1:9" x14ac:dyDescent="0.25">
      <c r="A50">
        <v>1000</v>
      </c>
      <c r="B50">
        <v>1856.9982910000001</v>
      </c>
      <c r="C50">
        <v>-11.108866000000001</v>
      </c>
      <c r="D50" t="s">
        <v>75</v>
      </c>
      <c r="E50">
        <f t="shared" si="0"/>
        <v>378.99829100000011</v>
      </c>
      <c r="F50">
        <f t="shared" si="1"/>
        <v>29.866631000000098</v>
      </c>
      <c r="G50">
        <v>530</v>
      </c>
      <c r="H50">
        <f t="shared" si="2"/>
        <v>3.3967418371156368</v>
      </c>
      <c r="I50">
        <f t="shared" si="3"/>
        <v>7.5267166410507205</v>
      </c>
    </row>
    <row r="51" spans="1:9" x14ac:dyDescent="0.25">
      <c r="A51">
        <v>1000</v>
      </c>
      <c r="B51">
        <v>1856.7540280000001</v>
      </c>
      <c r="C51">
        <v>-11.053406000000001</v>
      </c>
      <c r="D51" t="s">
        <v>76</v>
      </c>
      <c r="E51">
        <f t="shared" si="0"/>
        <v>378.75402800000006</v>
      </c>
      <c r="F51">
        <f t="shared" si="1"/>
        <v>29.622368000000051</v>
      </c>
      <c r="G51">
        <v>540</v>
      </c>
      <c r="H51">
        <f t="shared" si="2"/>
        <v>3.3885297516265891</v>
      </c>
      <c r="I51">
        <f t="shared" si="3"/>
        <v>7.526585095929037</v>
      </c>
    </row>
    <row r="52" spans="1:9" x14ac:dyDescent="0.25">
      <c r="A52">
        <v>1000</v>
      </c>
      <c r="B52">
        <v>1854.446289</v>
      </c>
      <c r="C52">
        <v>-10.900230000000001</v>
      </c>
      <c r="D52" t="s">
        <v>77</v>
      </c>
      <c r="E52">
        <f t="shared" si="0"/>
        <v>376.44628899999998</v>
      </c>
      <c r="F52">
        <f t="shared" si="1"/>
        <v>27.314628999999968</v>
      </c>
      <c r="G52">
        <v>550</v>
      </c>
      <c r="H52">
        <f t="shared" si="2"/>
        <v>3.3074224194746416</v>
      </c>
      <c r="I52">
        <f t="shared" si="3"/>
        <v>7.5253414339866325</v>
      </c>
    </row>
    <row r="53" spans="1:9" x14ac:dyDescent="0.25">
      <c r="A53">
        <v>1000</v>
      </c>
      <c r="B53">
        <v>1852.559937</v>
      </c>
      <c r="C53">
        <v>-10.735977999999999</v>
      </c>
      <c r="D53" t="s">
        <v>78</v>
      </c>
      <c r="E53">
        <f t="shared" si="0"/>
        <v>374.55993699999999</v>
      </c>
      <c r="F53">
        <f t="shared" si="1"/>
        <v>25.42827699999998</v>
      </c>
      <c r="G53">
        <v>560</v>
      </c>
      <c r="H53">
        <f t="shared" si="2"/>
        <v>3.2358618225180527</v>
      </c>
      <c r="I53">
        <f t="shared" si="3"/>
        <v>7.5243237113027117</v>
      </c>
    </row>
    <row r="54" spans="1:9" x14ac:dyDescent="0.25">
      <c r="A54">
        <v>1000</v>
      </c>
      <c r="B54">
        <v>1850.7727050000001</v>
      </c>
      <c r="C54">
        <v>-10.635287999999999</v>
      </c>
      <c r="D54" t="s">
        <v>79</v>
      </c>
      <c r="E54">
        <f t="shared" si="0"/>
        <v>372.77270500000009</v>
      </c>
      <c r="F54">
        <f t="shared" si="1"/>
        <v>23.641045000000076</v>
      </c>
      <c r="G54">
        <v>570</v>
      </c>
      <c r="H54">
        <f t="shared" si="2"/>
        <v>3.1629843962986328</v>
      </c>
      <c r="I54">
        <f t="shared" si="3"/>
        <v>7.5233585092474158</v>
      </c>
    </row>
    <row r="55" spans="1:9" x14ac:dyDescent="0.25">
      <c r="A55">
        <v>1000</v>
      </c>
      <c r="B55">
        <v>1849.655884</v>
      </c>
      <c r="C55">
        <v>-10.558175</v>
      </c>
      <c r="D55" t="s">
        <v>80</v>
      </c>
      <c r="E55">
        <f t="shared" si="0"/>
        <v>371.65588400000001</v>
      </c>
      <c r="F55">
        <f t="shared" si="1"/>
        <v>22.524224000000004</v>
      </c>
      <c r="G55">
        <v>580</v>
      </c>
      <c r="H55">
        <f t="shared" si="2"/>
        <v>3.1145913522905331</v>
      </c>
      <c r="I55">
        <f t="shared" si="3"/>
        <v>7.5227548921219674</v>
      </c>
    </row>
    <row r="56" spans="1:9" x14ac:dyDescent="0.25">
      <c r="A56">
        <v>1000</v>
      </c>
      <c r="B56">
        <v>1849.0585940000001</v>
      </c>
      <c r="C56">
        <v>-10.515432000000001</v>
      </c>
      <c r="D56" t="s">
        <v>81</v>
      </c>
      <c r="E56">
        <f t="shared" si="0"/>
        <v>371.05859400000008</v>
      </c>
      <c r="F56">
        <f t="shared" si="1"/>
        <v>21.926934000000074</v>
      </c>
      <c r="G56">
        <v>590</v>
      </c>
      <c r="H56">
        <f t="shared" si="2"/>
        <v>3.0877157441741514</v>
      </c>
      <c r="I56">
        <f t="shared" si="3"/>
        <v>7.5224319204469463</v>
      </c>
    </row>
    <row r="57" spans="1:9" x14ac:dyDescent="0.25">
      <c r="A57">
        <v>1000</v>
      </c>
      <c r="B57">
        <v>1848.3610839999999</v>
      </c>
      <c r="C57">
        <v>-10.457032999999999</v>
      </c>
      <c r="D57" t="s">
        <v>82</v>
      </c>
      <c r="E57">
        <f t="shared" si="0"/>
        <v>370.36108399999989</v>
      </c>
      <c r="F57">
        <f t="shared" si="1"/>
        <v>21.229423999999881</v>
      </c>
      <c r="G57">
        <v>600</v>
      </c>
      <c r="H57">
        <f t="shared" si="2"/>
        <v>3.0553881439292905</v>
      </c>
      <c r="I57">
        <f t="shared" si="3"/>
        <v>7.5220546248900346</v>
      </c>
    </row>
    <row r="58" spans="1:9" x14ac:dyDescent="0.25">
      <c r="A58">
        <v>1000</v>
      </c>
      <c r="B58">
        <v>1848.596802</v>
      </c>
      <c r="C58">
        <v>-10.444452</v>
      </c>
      <c r="D58" t="s">
        <v>83</v>
      </c>
      <c r="E58">
        <f t="shared" si="0"/>
        <v>370.59680200000003</v>
      </c>
      <c r="F58">
        <f t="shared" si="1"/>
        <v>21.465142000000014</v>
      </c>
      <c r="G58">
        <v>610</v>
      </c>
      <c r="H58">
        <f t="shared" si="2"/>
        <v>3.0664303170750946</v>
      </c>
      <c r="I58">
        <f t="shared" si="3"/>
        <v>7.5221821448713753</v>
      </c>
    </row>
    <row r="59" spans="1:9" x14ac:dyDescent="0.25">
      <c r="A59">
        <v>1000</v>
      </c>
      <c r="B59">
        <v>1847.855591</v>
      </c>
      <c r="C59">
        <v>-10.399633</v>
      </c>
      <c r="D59" t="s">
        <v>84</v>
      </c>
      <c r="E59">
        <f t="shared" si="0"/>
        <v>369.855591</v>
      </c>
      <c r="F59">
        <f t="shared" si="1"/>
        <v>20.723930999999993</v>
      </c>
      <c r="G59">
        <v>620</v>
      </c>
      <c r="H59">
        <f t="shared" si="2"/>
        <v>3.0312891194739242</v>
      </c>
      <c r="I59">
        <f t="shared" si="3"/>
        <v>7.5217811057500068</v>
      </c>
    </row>
    <row r="60" spans="1:9" x14ac:dyDescent="0.25">
      <c r="A60">
        <v>1000</v>
      </c>
      <c r="B60">
        <v>1848.4064940000001</v>
      </c>
      <c r="C60">
        <v>-10.398198000000001</v>
      </c>
      <c r="D60" t="s">
        <v>85</v>
      </c>
      <c r="E60">
        <f t="shared" si="0"/>
        <v>370.40649400000007</v>
      </c>
      <c r="F60">
        <f t="shared" si="1"/>
        <v>21.274834000000055</v>
      </c>
      <c r="G60">
        <v>630</v>
      </c>
      <c r="H60">
        <f t="shared" si="2"/>
        <v>3.0575248718438064</v>
      </c>
      <c r="I60">
        <f t="shared" si="3"/>
        <v>7.5220791922987473</v>
      </c>
    </row>
    <row r="61" spans="1:9" x14ac:dyDescent="0.25">
      <c r="A61">
        <v>1000</v>
      </c>
      <c r="B61">
        <v>1847.5992429999999</v>
      </c>
      <c r="C61">
        <v>-10.372503</v>
      </c>
      <c r="D61" t="s">
        <v>86</v>
      </c>
      <c r="E61">
        <f t="shared" si="0"/>
        <v>369.59924299999989</v>
      </c>
      <c r="F61">
        <f t="shared" si="1"/>
        <v>20.467582999999877</v>
      </c>
      <c r="G61">
        <v>640</v>
      </c>
      <c r="H61">
        <f t="shared" si="2"/>
        <v>3.0188423174697161</v>
      </c>
      <c r="I61">
        <f t="shared" si="3"/>
        <v>7.5216423688356473</v>
      </c>
    </row>
    <row r="62" spans="1:9" x14ac:dyDescent="0.25">
      <c r="A62">
        <v>1000</v>
      </c>
      <c r="B62">
        <v>1847.599976</v>
      </c>
      <c r="C62">
        <v>-10.349881</v>
      </c>
      <c r="D62" t="s">
        <v>87</v>
      </c>
      <c r="E62">
        <f t="shared" si="0"/>
        <v>369.59997599999997</v>
      </c>
      <c r="F62">
        <f t="shared" si="1"/>
        <v>20.468315999999959</v>
      </c>
      <c r="G62">
        <v>650</v>
      </c>
      <c r="H62">
        <f t="shared" si="2"/>
        <v>3.0188781295573004</v>
      </c>
      <c r="I62">
        <f t="shared" si="3"/>
        <v>7.5216427655666251</v>
      </c>
    </row>
    <row r="63" spans="1:9" x14ac:dyDescent="0.25">
      <c r="A63">
        <v>1000</v>
      </c>
      <c r="B63">
        <v>1847.5341800000001</v>
      </c>
      <c r="C63">
        <v>-10.346384</v>
      </c>
      <c r="D63" t="s">
        <v>88</v>
      </c>
      <c r="E63">
        <f t="shared" si="0"/>
        <v>369.53418000000011</v>
      </c>
      <c r="F63">
        <f t="shared" si="1"/>
        <v>20.402520000000095</v>
      </c>
      <c r="G63">
        <v>660</v>
      </c>
      <c r="H63">
        <f t="shared" si="2"/>
        <v>3.0156584226328107</v>
      </c>
      <c r="I63">
        <f t="shared" si="3"/>
        <v>7.5216071533278113</v>
      </c>
    </row>
    <row r="64" spans="1:9" x14ac:dyDescent="0.25">
      <c r="A64">
        <v>1000</v>
      </c>
      <c r="B64">
        <v>1847.073975</v>
      </c>
      <c r="C64">
        <v>-10.310553000000001</v>
      </c>
      <c r="D64" t="s">
        <v>89</v>
      </c>
      <c r="E64">
        <f t="shared" si="0"/>
        <v>369.07397500000002</v>
      </c>
      <c r="F64">
        <f t="shared" si="1"/>
        <v>19.942315000000008</v>
      </c>
      <c r="G64">
        <v>670</v>
      </c>
      <c r="H64">
        <f t="shared" si="2"/>
        <v>2.9928438560896917</v>
      </c>
      <c r="I64">
        <f t="shared" si="3"/>
        <v>7.5213580308319621</v>
      </c>
    </row>
    <row r="65" spans="1:9" x14ac:dyDescent="0.25">
      <c r="A65">
        <v>1000</v>
      </c>
      <c r="B65">
        <v>1846.8975829999999</v>
      </c>
      <c r="C65">
        <v>-10.294584</v>
      </c>
      <c r="D65" t="s">
        <v>90</v>
      </c>
      <c r="E65">
        <f t="shared" si="0"/>
        <v>368.89758299999994</v>
      </c>
      <c r="F65">
        <f t="shared" si="1"/>
        <v>19.76592299999993</v>
      </c>
      <c r="G65">
        <v>680</v>
      </c>
      <c r="H65">
        <f t="shared" si="2"/>
        <v>2.9839593943681351</v>
      </c>
      <c r="I65">
        <f t="shared" si="3"/>
        <v>7.5212625282016008</v>
      </c>
    </row>
    <row r="66" spans="1:9" x14ac:dyDescent="0.25">
      <c r="A66">
        <v>1000</v>
      </c>
      <c r="B66">
        <v>1846.394043</v>
      </c>
      <c r="C66">
        <v>-10.282372000000001</v>
      </c>
      <c r="D66" t="s">
        <v>91</v>
      </c>
      <c r="E66">
        <f t="shared" ref="E66:E119" si="4">B66-$P$3</f>
        <v>368.39404300000001</v>
      </c>
      <c r="F66">
        <f t="shared" si="1"/>
        <v>19.262383</v>
      </c>
      <c r="G66">
        <v>690</v>
      </c>
      <c r="H66">
        <f t="shared" si="2"/>
        <v>2.958154126649851</v>
      </c>
      <c r="I66">
        <f t="shared" si="3"/>
        <v>7.5209898500304133</v>
      </c>
    </row>
    <row r="67" spans="1:9" x14ac:dyDescent="0.25">
      <c r="A67">
        <v>1000</v>
      </c>
      <c r="B67">
        <v>1846.2514650000001</v>
      </c>
      <c r="C67">
        <v>-10.260474</v>
      </c>
      <c r="D67" t="s">
        <v>92</v>
      </c>
      <c r="E67">
        <f t="shared" si="4"/>
        <v>368.25146500000005</v>
      </c>
      <c r="F67">
        <f t="shared" ref="F67:F119" si="5">E67-$R$3</f>
        <v>19.119805000000042</v>
      </c>
      <c r="G67">
        <v>700</v>
      </c>
      <c r="H67">
        <f t="shared" ref="H67:H119" si="6">LN(F67)</f>
        <v>2.9507247088264799</v>
      </c>
      <c r="I67">
        <f t="shared" ref="I67:I119" si="7">LN(B67)</f>
        <v>7.5209126273456137</v>
      </c>
    </row>
    <row r="68" spans="1:9" x14ac:dyDescent="0.25">
      <c r="A68">
        <v>1000</v>
      </c>
      <c r="B68">
        <v>1844.7429199999999</v>
      </c>
      <c r="C68">
        <v>-10.15085</v>
      </c>
      <c r="D68" t="s">
        <v>93</v>
      </c>
      <c r="E68">
        <f t="shared" si="4"/>
        <v>366.74291999999991</v>
      </c>
      <c r="F68">
        <f t="shared" si="5"/>
        <v>17.611259999999902</v>
      </c>
      <c r="G68">
        <v>710</v>
      </c>
      <c r="H68">
        <f t="shared" si="6"/>
        <v>2.8685384702040482</v>
      </c>
      <c r="I68">
        <f t="shared" si="7"/>
        <v>7.5200952080126937</v>
      </c>
    </row>
    <row r="69" spans="1:9" x14ac:dyDescent="0.25">
      <c r="A69">
        <v>1000</v>
      </c>
      <c r="B69">
        <v>1843.0513920000001</v>
      </c>
      <c r="C69">
        <v>-10.084201</v>
      </c>
      <c r="D69" t="s">
        <v>94</v>
      </c>
      <c r="E69">
        <f t="shared" si="4"/>
        <v>365.05139200000008</v>
      </c>
      <c r="F69">
        <f t="shared" si="5"/>
        <v>15.919732000000067</v>
      </c>
      <c r="G69">
        <v>720</v>
      </c>
      <c r="H69">
        <f t="shared" si="6"/>
        <v>2.7675593461036905</v>
      </c>
      <c r="I69">
        <f t="shared" si="7"/>
        <v>7.5191778422512021</v>
      </c>
    </row>
    <row r="70" spans="1:9" x14ac:dyDescent="0.25">
      <c r="A70">
        <v>1000</v>
      </c>
      <c r="B70">
        <v>1842.274414</v>
      </c>
      <c r="C70">
        <v>-10.047482</v>
      </c>
      <c r="D70" t="s">
        <v>95</v>
      </c>
      <c r="E70">
        <f t="shared" si="4"/>
        <v>364.27441399999998</v>
      </c>
      <c r="F70">
        <f t="shared" si="5"/>
        <v>15.142753999999968</v>
      </c>
      <c r="G70">
        <v>730</v>
      </c>
      <c r="H70">
        <f t="shared" si="6"/>
        <v>2.7175221337127997</v>
      </c>
      <c r="I70">
        <f t="shared" si="7"/>
        <v>7.5187561818323339</v>
      </c>
    </row>
    <row r="71" spans="1:9" x14ac:dyDescent="0.25">
      <c r="A71">
        <v>1000</v>
      </c>
      <c r="B71">
        <v>1842.0251459999999</v>
      </c>
      <c r="C71">
        <v>-10.020311</v>
      </c>
      <c r="D71" t="s">
        <v>96</v>
      </c>
      <c r="E71">
        <f t="shared" si="4"/>
        <v>364.02514599999995</v>
      </c>
      <c r="F71">
        <f t="shared" si="5"/>
        <v>14.893485999999939</v>
      </c>
      <c r="G71">
        <v>740</v>
      </c>
      <c r="H71">
        <f t="shared" si="6"/>
        <v>2.7009239361517898</v>
      </c>
      <c r="I71">
        <f t="shared" si="7"/>
        <v>7.5186208681878695</v>
      </c>
    </row>
    <row r="72" spans="1:9" x14ac:dyDescent="0.25">
      <c r="A72">
        <v>1000</v>
      </c>
      <c r="B72">
        <v>1842.541504</v>
      </c>
      <c r="C72">
        <v>-9.9912279999999996</v>
      </c>
      <c r="D72" t="s">
        <v>97</v>
      </c>
      <c r="E72">
        <f t="shared" si="4"/>
        <v>364.54150400000003</v>
      </c>
      <c r="F72">
        <f t="shared" si="5"/>
        <v>15.409844000000021</v>
      </c>
      <c r="G72">
        <v>750</v>
      </c>
      <c r="H72">
        <f t="shared" si="6"/>
        <v>2.735006525984224</v>
      </c>
      <c r="I72">
        <f t="shared" si="7"/>
        <v>7.5189011497256626</v>
      </c>
    </row>
    <row r="73" spans="1:9" x14ac:dyDescent="0.25">
      <c r="A73">
        <v>1000</v>
      </c>
      <c r="B73">
        <v>1841.7303469999999</v>
      </c>
      <c r="C73">
        <v>-9.9759290000000007</v>
      </c>
      <c r="D73" t="s">
        <v>98</v>
      </c>
      <c r="E73">
        <f t="shared" si="4"/>
        <v>363.73034699999994</v>
      </c>
      <c r="F73">
        <f t="shared" si="5"/>
        <v>14.598686999999927</v>
      </c>
      <c r="G73">
        <v>760</v>
      </c>
      <c r="H73">
        <f t="shared" si="6"/>
        <v>2.6809315931633559</v>
      </c>
      <c r="I73">
        <f t="shared" si="7"/>
        <v>7.5184608146766152</v>
      </c>
    </row>
    <row r="74" spans="1:9" x14ac:dyDescent="0.25">
      <c r="A74">
        <v>1000</v>
      </c>
      <c r="B74">
        <v>1841.5002440000001</v>
      </c>
      <c r="C74">
        <v>-9.9758469999999999</v>
      </c>
      <c r="D74" t="s">
        <v>99</v>
      </c>
      <c r="E74">
        <f t="shared" si="4"/>
        <v>363.50024400000007</v>
      </c>
      <c r="F74">
        <f t="shared" si="5"/>
        <v>14.368584000000055</v>
      </c>
      <c r="G74">
        <v>770</v>
      </c>
      <c r="H74">
        <f t="shared" si="6"/>
        <v>2.665044156613559</v>
      </c>
      <c r="I74">
        <f t="shared" si="7"/>
        <v>7.5183358683857904</v>
      </c>
    </row>
    <row r="75" spans="1:9" x14ac:dyDescent="0.25">
      <c r="A75">
        <v>1000</v>
      </c>
      <c r="B75">
        <v>1841.5383300000001</v>
      </c>
      <c r="C75">
        <v>-9.9472149999999999</v>
      </c>
      <c r="D75" t="s">
        <v>100</v>
      </c>
      <c r="E75">
        <f t="shared" si="4"/>
        <v>363.53833000000009</v>
      </c>
      <c r="F75">
        <f t="shared" si="5"/>
        <v>14.406670000000076</v>
      </c>
      <c r="G75">
        <v>780</v>
      </c>
      <c r="H75">
        <f t="shared" si="6"/>
        <v>2.6676912937849724</v>
      </c>
      <c r="I75">
        <f t="shared" si="7"/>
        <v>7.5183565502218537</v>
      </c>
    </row>
    <row r="76" spans="1:9" x14ac:dyDescent="0.25">
      <c r="A76">
        <v>1000</v>
      </c>
      <c r="B76">
        <v>1841.2586670000001</v>
      </c>
      <c r="C76">
        <v>-9.9260140000000003</v>
      </c>
      <c r="D76" t="s">
        <v>101</v>
      </c>
      <c r="E76">
        <f t="shared" si="4"/>
        <v>363.25866700000006</v>
      </c>
      <c r="F76">
        <f t="shared" si="5"/>
        <v>14.127007000000049</v>
      </c>
      <c r="G76">
        <v>790</v>
      </c>
      <c r="H76">
        <f t="shared" si="6"/>
        <v>2.648088355434469</v>
      </c>
      <c r="I76">
        <f t="shared" si="7"/>
        <v>7.5182046748940712</v>
      </c>
    </row>
    <row r="77" spans="1:9" x14ac:dyDescent="0.25">
      <c r="A77">
        <v>1000</v>
      </c>
      <c r="B77">
        <v>1841.306274</v>
      </c>
      <c r="C77">
        <v>-9.8869179999999997</v>
      </c>
      <c r="D77" t="s">
        <v>102</v>
      </c>
      <c r="E77">
        <f t="shared" si="4"/>
        <v>363.30627400000003</v>
      </c>
      <c r="F77">
        <f t="shared" si="5"/>
        <v>14.17461400000002</v>
      </c>
      <c r="G77">
        <v>800</v>
      </c>
      <c r="H77">
        <f t="shared" si="6"/>
        <v>2.6514526182024811</v>
      </c>
      <c r="I77">
        <f t="shared" si="7"/>
        <v>7.5182305302425929</v>
      </c>
    </row>
    <row r="78" spans="1:9" x14ac:dyDescent="0.25">
      <c r="A78">
        <v>1000</v>
      </c>
      <c r="B78">
        <v>1839.3172609999999</v>
      </c>
      <c r="C78">
        <v>-9.8296259999999993</v>
      </c>
      <c r="D78" t="s">
        <v>103</v>
      </c>
      <c r="E78">
        <f t="shared" si="4"/>
        <v>361.31726099999992</v>
      </c>
      <c r="F78">
        <f t="shared" si="5"/>
        <v>12.185600999999906</v>
      </c>
      <c r="G78">
        <v>810</v>
      </c>
      <c r="H78">
        <f t="shared" si="6"/>
        <v>2.5002550087988644</v>
      </c>
      <c r="I78">
        <f t="shared" si="7"/>
        <v>7.5171497279411872</v>
      </c>
    </row>
    <row r="79" spans="1:9" x14ac:dyDescent="0.25">
      <c r="A79">
        <v>1000</v>
      </c>
      <c r="B79">
        <v>1840.342163</v>
      </c>
      <c r="C79">
        <v>-9.8297220000000003</v>
      </c>
      <c r="D79" t="s">
        <v>104</v>
      </c>
      <c r="E79">
        <f t="shared" si="4"/>
        <v>362.34216300000003</v>
      </c>
      <c r="F79">
        <f t="shared" si="5"/>
        <v>13.210503000000017</v>
      </c>
      <c r="G79">
        <v>820</v>
      </c>
      <c r="H79">
        <f t="shared" si="6"/>
        <v>2.5810121950235483</v>
      </c>
      <c r="I79">
        <f t="shared" si="7"/>
        <v>7.5177067914671314</v>
      </c>
    </row>
    <row r="80" spans="1:9" x14ac:dyDescent="0.25">
      <c r="A80">
        <v>1000</v>
      </c>
      <c r="B80">
        <v>1840.3498540000001</v>
      </c>
      <c r="C80">
        <v>-9.8070730000000008</v>
      </c>
      <c r="D80" t="s">
        <v>105</v>
      </c>
      <c r="E80">
        <f t="shared" si="4"/>
        <v>362.34985400000005</v>
      </c>
      <c r="F80">
        <f t="shared" si="5"/>
        <v>13.21819400000004</v>
      </c>
      <c r="G80">
        <v>830</v>
      </c>
      <c r="H80">
        <f t="shared" si="6"/>
        <v>2.5815942138962251</v>
      </c>
      <c r="I80">
        <f t="shared" si="7"/>
        <v>7.5177109705725629</v>
      </c>
    </row>
    <row r="81" spans="1:9" x14ac:dyDescent="0.25">
      <c r="A81">
        <v>1000</v>
      </c>
      <c r="B81">
        <v>1839.851318</v>
      </c>
      <c r="C81">
        <v>-9.7959949999999996</v>
      </c>
      <c r="D81" t="s">
        <v>106</v>
      </c>
      <c r="E81">
        <f t="shared" si="4"/>
        <v>361.85131799999999</v>
      </c>
      <c r="F81">
        <f t="shared" si="5"/>
        <v>12.719657999999981</v>
      </c>
      <c r="G81">
        <v>840</v>
      </c>
      <c r="H81">
        <f t="shared" si="6"/>
        <v>2.5431486707580655</v>
      </c>
      <c r="I81">
        <f t="shared" si="7"/>
        <v>7.5174400419033134</v>
      </c>
    </row>
    <row r="82" spans="1:9" x14ac:dyDescent="0.25">
      <c r="A82">
        <v>1000</v>
      </c>
      <c r="B82">
        <v>1840.0493160000001</v>
      </c>
      <c r="C82">
        <v>-9.7814599999999992</v>
      </c>
      <c r="D82" t="s">
        <v>107</v>
      </c>
      <c r="E82">
        <f t="shared" si="4"/>
        <v>362.04931600000009</v>
      </c>
      <c r="F82">
        <f t="shared" si="5"/>
        <v>12.917656000000079</v>
      </c>
      <c r="G82">
        <v>850</v>
      </c>
      <c r="H82">
        <f t="shared" si="6"/>
        <v>2.5585950577465035</v>
      </c>
      <c r="I82">
        <f t="shared" si="7"/>
        <v>7.5175476524177727</v>
      </c>
    </row>
    <row r="83" spans="1:9" x14ac:dyDescent="0.25">
      <c r="A83">
        <v>1000</v>
      </c>
      <c r="B83">
        <v>1839.686768</v>
      </c>
      <c r="C83">
        <v>-9.7716650000000005</v>
      </c>
      <c r="D83" t="s">
        <v>108</v>
      </c>
      <c r="E83">
        <f t="shared" si="4"/>
        <v>361.68676800000003</v>
      </c>
      <c r="F83">
        <f t="shared" si="5"/>
        <v>12.555108000000018</v>
      </c>
      <c r="G83">
        <v>860</v>
      </c>
      <c r="H83">
        <f t="shared" si="6"/>
        <v>2.5301275947230892</v>
      </c>
      <c r="I83">
        <f t="shared" si="7"/>
        <v>7.5173506013288369</v>
      </c>
    </row>
    <row r="84" spans="1:9" x14ac:dyDescent="0.25">
      <c r="A84">
        <v>1000</v>
      </c>
      <c r="B84">
        <v>1839.4267580000001</v>
      </c>
      <c r="C84">
        <v>-9.7418440000000004</v>
      </c>
      <c r="D84" t="s">
        <v>109</v>
      </c>
      <c r="E84">
        <f t="shared" si="4"/>
        <v>361.42675800000006</v>
      </c>
      <c r="F84">
        <f t="shared" si="5"/>
        <v>12.295098000000053</v>
      </c>
      <c r="G84">
        <v>870</v>
      </c>
      <c r="H84">
        <f t="shared" si="6"/>
        <v>2.5092006463561991</v>
      </c>
      <c r="I84">
        <f t="shared" si="7"/>
        <v>7.5172092574977238</v>
      </c>
    </row>
    <row r="85" spans="1:9" x14ac:dyDescent="0.25">
      <c r="A85">
        <v>1000</v>
      </c>
      <c r="B85">
        <v>1839.7384030000001</v>
      </c>
      <c r="C85">
        <v>-9.7254520000000007</v>
      </c>
      <c r="D85" t="s">
        <v>110</v>
      </c>
      <c r="E85">
        <f t="shared" si="4"/>
        <v>361.73840300000006</v>
      </c>
      <c r="F85">
        <f t="shared" si="5"/>
        <v>12.606743000000051</v>
      </c>
      <c r="G85">
        <v>880</v>
      </c>
      <c r="H85">
        <f t="shared" si="6"/>
        <v>2.5342318295412305</v>
      </c>
      <c r="I85">
        <f t="shared" si="7"/>
        <v>7.5173786682129853</v>
      </c>
    </row>
    <row r="86" spans="1:9" x14ac:dyDescent="0.25">
      <c r="A86">
        <v>1000</v>
      </c>
      <c r="B86">
        <v>1839.6685789999999</v>
      </c>
      <c r="C86">
        <v>-9.7037189999999995</v>
      </c>
      <c r="D86" t="s">
        <v>111</v>
      </c>
      <c r="E86">
        <f t="shared" si="4"/>
        <v>361.66857899999991</v>
      </c>
      <c r="F86">
        <f t="shared" si="5"/>
        <v>12.536918999999898</v>
      </c>
      <c r="G86">
        <v>890</v>
      </c>
      <c r="H86">
        <f t="shared" si="6"/>
        <v>2.5286778112372006</v>
      </c>
      <c r="I86">
        <f t="shared" si="7"/>
        <v>7.5173407142707607</v>
      </c>
    </row>
    <row r="87" spans="1:9" x14ac:dyDescent="0.25">
      <c r="A87">
        <v>1000</v>
      </c>
      <c r="B87">
        <v>1839.449707</v>
      </c>
      <c r="C87">
        <v>-9.6809600000000007</v>
      </c>
      <c r="D87" t="s">
        <v>112</v>
      </c>
      <c r="E87">
        <f t="shared" si="4"/>
        <v>361.44970699999999</v>
      </c>
      <c r="F87">
        <f t="shared" si="5"/>
        <v>12.318046999999979</v>
      </c>
      <c r="G87">
        <v>900</v>
      </c>
      <c r="H87">
        <f t="shared" si="6"/>
        <v>2.5110654228120439</v>
      </c>
      <c r="I87">
        <f t="shared" si="7"/>
        <v>7.5172217335893885</v>
      </c>
    </row>
    <row r="88" spans="1:9" x14ac:dyDescent="0.25">
      <c r="A88">
        <v>1000</v>
      </c>
      <c r="B88">
        <v>1839.669312</v>
      </c>
      <c r="C88">
        <v>-9.6915049999999994</v>
      </c>
      <c r="D88" t="s">
        <v>113</v>
      </c>
      <c r="E88">
        <f t="shared" si="4"/>
        <v>361.66931199999999</v>
      </c>
      <c r="F88">
        <f t="shared" si="5"/>
        <v>12.53765199999998</v>
      </c>
      <c r="G88">
        <v>910</v>
      </c>
      <c r="H88">
        <f t="shared" si="6"/>
        <v>2.5287362768436745</v>
      </c>
      <c r="I88">
        <f t="shared" si="7"/>
        <v>7.517341112712014</v>
      </c>
    </row>
    <row r="89" spans="1:9" x14ac:dyDescent="0.25">
      <c r="A89">
        <v>1000</v>
      </c>
      <c r="B89">
        <v>1839.8476559999999</v>
      </c>
      <c r="C89">
        <v>-9.6654280000000004</v>
      </c>
      <c r="D89" t="s">
        <v>114</v>
      </c>
      <c r="E89">
        <f t="shared" si="4"/>
        <v>361.84765599999992</v>
      </c>
      <c r="F89">
        <f t="shared" si="5"/>
        <v>12.715995999999905</v>
      </c>
      <c r="G89">
        <v>920</v>
      </c>
      <c r="H89">
        <f t="shared" si="6"/>
        <v>2.5428607284841709</v>
      </c>
      <c r="I89">
        <f t="shared" si="7"/>
        <v>7.5174380515231078</v>
      </c>
    </row>
    <row r="90" spans="1:9" x14ac:dyDescent="0.25">
      <c r="A90">
        <v>1000</v>
      </c>
      <c r="B90">
        <v>1839.1860349999999</v>
      </c>
      <c r="C90">
        <v>-9.6422880000000006</v>
      </c>
      <c r="D90" t="s">
        <v>115</v>
      </c>
      <c r="E90">
        <f t="shared" si="4"/>
        <v>361.18603499999995</v>
      </c>
      <c r="F90">
        <f t="shared" si="5"/>
        <v>12.054374999999936</v>
      </c>
      <c r="G90">
        <v>930</v>
      </c>
      <c r="H90">
        <f t="shared" si="6"/>
        <v>2.4894276645819184</v>
      </c>
      <c r="I90">
        <f t="shared" si="7"/>
        <v>7.5170783804449384</v>
      </c>
    </row>
    <row r="91" spans="1:9" x14ac:dyDescent="0.25">
      <c r="A91">
        <v>1000</v>
      </c>
      <c r="B91">
        <v>1840.1994629999999</v>
      </c>
      <c r="C91">
        <v>-9.6274390000000007</v>
      </c>
      <c r="D91" t="s">
        <v>116</v>
      </c>
      <c r="E91">
        <f t="shared" si="4"/>
        <v>362.19946299999992</v>
      </c>
      <c r="F91">
        <f t="shared" si="5"/>
        <v>13.067802999999913</v>
      </c>
      <c r="G91">
        <v>940</v>
      </c>
      <c r="H91">
        <f t="shared" si="6"/>
        <v>2.5701514186328405</v>
      </c>
      <c r="I91">
        <f t="shared" si="7"/>
        <v>7.5176292485321117</v>
      </c>
    </row>
    <row r="92" spans="1:9" x14ac:dyDescent="0.25">
      <c r="A92">
        <v>1000</v>
      </c>
      <c r="B92">
        <v>1838.842163</v>
      </c>
      <c r="C92">
        <v>-9.5993940000000002</v>
      </c>
      <c r="D92" t="s">
        <v>117</v>
      </c>
      <c r="E92">
        <f t="shared" si="4"/>
        <v>360.84216300000003</v>
      </c>
      <c r="F92">
        <f t="shared" si="5"/>
        <v>11.710503000000017</v>
      </c>
      <c r="G92">
        <v>950</v>
      </c>
      <c r="H92">
        <f t="shared" si="6"/>
        <v>2.460486131426638</v>
      </c>
      <c r="I92">
        <f t="shared" si="7"/>
        <v>7.516891393297211</v>
      </c>
    </row>
    <row r="93" spans="1:9" x14ac:dyDescent="0.25">
      <c r="A93">
        <v>1000</v>
      </c>
      <c r="B93">
        <v>1839.540649</v>
      </c>
      <c r="C93">
        <v>-9.5972220000000004</v>
      </c>
      <c r="D93" t="s">
        <v>118</v>
      </c>
      <c r="E93">
        <f t="shared" si="4"/>
        <v>361.54064900000003</v>
      </c>
      <c r="F93">
        <f t="shared" si="5"/>
        <v>12.40898900000002</v>
      </c>
      <c r="G93">
        <v>960</v>
      </c>
      <c r="H93">
        <f t="shared" si="6"/>
        <v>2.5184211293387104</v>
      </c>
      <c r="I93">
        <f t="shared" si="7"/>
        <v>7.5172711721533521</v>
      </c>
    </row>
    <row r="94" spans="1:9" x14ac:dyDescent="0.25">
      <c r="A94">
        <v>1000</v>
      </c>
      <c r="B94">
        <v>1839.6572269999999</v>
      </c>
      <c r="C94">
        <v>-9.5869079999999993</v>
      </c>
      <c r="D94" t="s">
        <v>119</v>
      </c>
      <c r="E94">
        <f t="shared" si="4"/>
        <v>361.65722699999992</v>
      </c>
      <c r="F94">
        <f t="shared" si="5"/>
        <v>12.52556699999991</v>
      </c>
      <c r="G94">
        <v>970</v>
      </c>
      <c r="H94">
        <f t="shared" si="6"/>
        <v>2.5277719154073681</v>
      </c>
      <c r="I94">
        <f t="shared" si="7"/>
        <v>7.5173345435750418</v>
      </c>
    </row>
    <row r="95" spans="1:9" x14ac:dyDescent="0.25">
      <c r="A95">
        <v>1000</v>
      </c>
      <c r="B95">
        <v>1838.87915</v>
      </c>
      <c r="C95">
        <v>-9.5689449999999994</v>
      </c>
      <c r="D95" t="s">
        <v>120</v>
      </c>
      <c r="E95">
        <f t="shared" si="4"/>
        <v>360.87914999999998</v>
      </c>
      <c r="F95">
        <f t="shared" si="5"/>
        <v>11.747489999999971</v>
      </c>
      <c r="G95">
        <v>980</v>
      </c>
      <c r="H95">
        <f t="shared" si="6"/>
        <v>2.4636396007495232</v>
      </c>
      <c r="I95">
        <f t="shared" si="7"/>
        <v>7.5169115073824582</v>
      </c>
    </row>
    <row r="96" spans="1:9" x14ac:dyDescent="0.25">
      <c r="A96">
        <v>1000</v>
      </c>
      <c r="B96">
        <v>1839.3286129999999</v>
      </c>
      <c r="C96">
        <v>-9.5710630000000005</v>
      </c>
      <c r="D96" t="s">
        <v>121</v>
      </c>
      <c r="E96">
        <f t="shared" si="4"/>
        <v>361.3286129999999</v>
      </c>
      <c r="F96">
        <f t="shared" si="5"/>
        <v>12.196952999999894</v>
      </c>
      <c r="G96">
        <v>990</v>
      </c>
      <c r="H96">
        <f t="shared" si="6"/>
        <v>2.5011861664470927</v>
      </c>
      <c r="I96">
        <f t="shared" si="7"/>
        <v>7.5171558997774488</v>
      </c>
    </row>
    <row r="97" spans="1:9" x14ac:dyDescent="0.25">
      <c r="A97">
        <v>1000</v>
      </c>
      <c r="B97">
        <v>1839.091187</v>
      </c>
      <c r="C97">
        <v>-9.5368300000000001</v>
      </c>
      <c r="D97" t="s">
        <v>122</v>
      </c>
      <c r="E97">
        <f t="shared" si="4"/>
        <v>361.09118699999999</v>
      </c>
      <c r="F97">
        <f t="shared" si="5"/>
        <v>11.95952699999998</v>
      </c>
      <c r="G97">
        <v>1000</v>
      </c>
      <c r="H97">
        <f t="shared" si="6"/>
        <v>2.4815281992454383</v>
      </c>
      <c r="I97">
        <f t="shared" si="7"/>
        <v>7.5170268084756184</v>
      </c>
    </row>
    <row r="98" spans="1:9" x14ac:dyDescent="0.25">
      <c r="A98">
        <v>1000</v>
      </c>
      <c r="B98">
        <v>1838.120361</v>
      </c>
      <c r="C98">
        <v>-9.5178829999999994</v>
      </c>
      <c r="D98" t="s">
        <v>123</v>
      </c>
      <c r="E98">
        <f t="shared" si="4"/>
        <v>360.120361</v>
      </c>
      <c r="F98">
        <f t="shared" si="5"/>
        <v>10.988700999999992</v>
      </c>
      <c r="G98">
        <v>1010</v>
      </c>
      <c r="H98">
        <f t="shared" si="6"/>
        <v>2.396867563067405</v>
      </c>
      <c r="I98">
        <f t="shared" si="7"/>
        <v>7.5164987855376486</v>
      </c>
    </row>
    <row r="99" spans="1:9" x14ac:dyDescent="0.25">
      <c r="A99">
        <v>1000</v>
      </c>
      <c r="B99">
        <v>1839.098999</v>
      </c>
      <c r="C99">
        <v>-9.5212160000000008</v>
      </c>
      <c r="D99" t="s">
        <v>124</v>
      </c>
      <c r="E99">
        <f t="shared" si="4"/>
        <v>361.09899900000005</v>
      </c>
      <c r="F99">
        <f t="shared" si="5"/>
        <v>11.967339000000038</v>
      </c>
      <c r="G99">
        <v>1020</v>
      </c>
      <c r="H99">
        <f t="shared" si="6"/>
        <v>2.4821811890918846</v>
      </c>
      <c r="I99">
        <f t="shared" si="7"/>
        <v>7.5170310562168199</v>
      </c>
    </row>
    <row r="100" spans="1:9" x14ac:dyDescent="0.25">
      <c r="A100">
        <v>1000</v>
      </c>
      <c r="B100">
        <v>1839.502686</v>
      </c>
      <c r="C100">
        <v>-9.5023099999999996</v>
      </c>
      <c r="D100" t="s">
        <v>125</v>
      </c>
      <c r="E100">
        <f t="shared" si="4"/>
        <v>361.50268600000004</v>
      </c>
      <c r="F100">
        <f t="shared" si="5"/>
        <v>12.371026000000029</v>
      </c>
      <c r="G100">
        <v>1030</v>
      </c>
      <c r="H100">
        <f t="shared" si="6"/>
        <v>2.5153571255679235</v>
      </c>
      <c r="I100">
        <f t="shared" si="7"/>
        <v>7.5172505347231597</v>
      </c>
    </row>
    <row r="101" spans="1:9" x14ac:dyDescent="0.25">
      <c r="A101">
        <v>1000</v>
      </c>
      <c r="B101">
        <v>1838.8911129999999</v>
      </c>
      <c r="C101">
        <v>-9.4931439999999991</v>
      </c>
      <c r="D101" t="s">
        <v>126</v>
      </c>
      <c r="E101">
        <f t="shared" si="4"/>
        <v>360.8911129999999</v>
      </c>
      <c r="F101">
        <f t="shared" si="5"/>
        <v>11.759452999999894</v>
      </c>
      <c r="G101">
        <v>1040</v>
      </c>
      <c r="H101">
        <f t="shared" si="6"/>
        <v>2.4646574277832385</v>
      </c>
      <c r="I101">
        <f t="shared" si="7"/>
        <v>7.5169180129546627</v>
      </c>
    </row>
    <row r="102" spans="1:9" x14ac:dyDescent="0.25">
      <c r="A102">
        <v>1000</v>
      </c>
      <c r="B102">
        <v>1839.619019</v>
      </c>
      <c r="C102">
        <v>-9.4883489999999995</v>
      </c>
      <c r="D102" t="s">
        <v>127</v>
      </c>
      <c r="E102">
        <f t="shared" si="4"/>
        <v>361.61901899999998</v>
      </c>
      <c r="F102">
        <f t="shared" si="5"/>
        <v>12.487358999999969</v>
      </c>
      <c r="G102">
        <v>1050</v>
      </c>
      <c r="H102">
        <f t="shared" si="6"/>
        <v>2.5247168526196311</v>
      </c>
      <c r="I102">
        <f t="shared" si="7"/>
        <v>7.5173137742729033</v>
      </c>
    </row>
    <row r="103" spans="1:9" x14ac:dyDescent="0.25">
      <c r="A103">
        <v>1000</v>
      </c>
      <c r="B103">
        <v>1839.358154</v>
      </c>
      <c r="C103">
        <v>-9.458501</v>
      </c>
      <c r="D103" t="s">
        <v>128</v>
      </c>
      <c r="E103">
        <f t="shared" si="4"/>
        <v>361.35815400000001</v>
      </c>
      <c r="F103">
        <f t="shared" si="5"/>
        <v>12.226494000000002</v>
      </c>
      <c r="G103">
        <v>1060</v>
      </c>
      <c r="H103">
        <f t="shared" si="6"/>
        <v>2.5036052364830317</v>
      </c>
      <c r="I103">
        <f t="shared" si="7"/>
        <v>7.5171719604000957</v>
      </c>
    </row>
    <row r="104" spans="1:9" x14ac:dyDescent="0.25">
      <c r="A104">
        <v>1000</v>
      </c>
      <c r="B104">
        <v>1839.4404300000001</v>
      </c>
      <c r="C104">
        <v>-9.4612459999999992</v>
      </c>
      <c r="D104" t="s">
        <v>129</v>
      </c>
      <c r="E104">
        <f t="shared" si="4"/>
        <v>361.44043000000011</v>
      </c>
      <c r="F104">
        <f t="shared" si="5"/>
        <v>12.308770000000095</v>
      </c>
      <c r="G104">
        <v>1070</v>
      </c>
      <c r="H104">
        <f t="shared" si="6"/>
        <v>2.5103120164389261</v>
      </c>
      <c r="I104">
        <f t="shared" si="7"/>
        <v>7.5172166902205166</v>
      </c>
    </row>
    <row r="105" spans="1:9" x14ac:dyDescent="0.25">
      <c r="A105">
        <v>1000</v>
      </c>
      <c r="B105">
        <v>1839.840332</v>
      </c>
      <c r="C105">
        <v>-9.4457559999999994</v>
      </c>
      <c r="D105" t="s">
        <v>130</v>
      </c>
      <c r="E105">
        <f t="shared" si="4"/>
        <v>361.84033199999999</v>
      </c>
      <c r="F105">
        <f t="shared" si="5"/>
        <v>12.708671999999979</v>
      </c>
      <c r="G105">
        <v>1080</v>
      </c>
      <c r="H105">
        <f t="shared" si="6"/>
        <v>2.5422845950847091</v>
      </c>
      <c r="I105">
        <f t="shared" si="7"/>
        <v>7.517434070750812</v>
      </c>
    </row>
    <row r="106" spans="1:9" x14ac:dyDescent="0.25">
      <c r="A106">
        <v>1000</v>
      </c>
      <c r="B106">
        <v>1839.5073239999999</v>
      </c>
      <c r="C106">
        <v>-9.4385019999999997</v>
      </c>
      <c r="D106" t="s">
        <v>131</v>
      </c>
      <c r="E106">
        <f t="shared" si="4"/>
        <v>361.50732399999993</v>
      </c>
      <c r="F106">
        <f t="shared" si="5"/>
        <v>12.375663999999915</v>
      </c>
      <c r="G106">
        <v>1090</v>
      </c>
      <c r="H106">
        <f t="shared" si="6"/>
        <v>2.5157319635809419</v>
      </c>
      <c r="I106">
        <f t="shared" si="7"/>
        <v>7.5172530560536197</v>
      </c>
    </row>
    <row r="107" spans="1:9" x14ac:dyDescent="0.25">
      <c r="A107">
        <v>1000</v>
      </c>
      <c r="B107">
        <v>1839.5645750000001</v>
      </c>
      <c r="C107">
        <v>-9.4368350000000003</v>
      </c>
      <c r="D107" t="s">
        <v>132</v>
      </c>
      <c r="E107">
        <f t="shared" si="4"/>
        <v>361.5645750000001</v>
      </c>
      <c r="F107">
        <f t="shared" si="5"/>
        <v>12.432915000000094</v>
      </c>
      <c r="G107">
        <v>1100</v>
      </c>
      <c r="H107">
        <f t="shared" si="6"/>
        <v>2.5203473913030239</v>
      </c>
      <c r="I107">
        <f t="shared" si="7"/>
        <v>7.517284178576678</v>
      </c>
    </row>
    <row r="108" spans="1:9" x14ac:dyDescent="0.25">
      <c r="A108">
        <v>1000</v>
      </c>
      <c r="B108">
        <v>1839.2508539999999</v>
      </c>
      <c r="C108">
        <v>-9.3964689999999997</v>
      </c>
      <c r="D108" t="s">
        <v>133</v>
      </c>
      <c r="E108">
        <f t="shared" si="4"/>
        <v>361.25085399999989</v>
      </c>
      <c r="F108">
        <f t="shared" si="5"/>
        <v>12.119193999999879</v>
      </c>
      <c r="G108">
        <v>1110</v>
      </c>
      <c r="H108">
        <f t="shared" si="6"/>
        <v>2.4947904767796607</v>
      </c>
      <c r="I108">
        <f t="shared" si="7"/>
        <v>7.5171136231319613</v>
      </c>
    </row>
    <row r="109" spans="1:9" x14ac:dyDescent="0.25">
      <c r="A109">
        <v>1000</v>
      </c>
      <c r="B109">
        <v>1839.0863039999999</v>
      </c>
      <c r="C109">
        <v>-9.3876989999999996</v>
      </c>
      <c r="D109" t="s">
        <v>134</v>
      </c>
      <c r="E109">
        <f t="shared" si="4"/>
        <v>361.08630399999993</v>
      </c>
      <c r="F109">
        <f t="shared" si="5"/>
        <v>11.954643999999917</v>
      </c>
      <c r="G109">
        <v>1120</v>
      </c>
      <c r="H109">
        <f t="shared" si="6"/>
        <v>2.4811198221314732</v>
      </c>
      <c r="I109">
        <f t="shared" si="7"/>
        <v>7.5170241533563313</v>
      </c>
    </row>
    <row r="110" spans="1:9" x14ac:dyDescent="0.25">
      <c r="A110">
        <v>1000</v>
      </c>
      <c r="B110">
        <v>1840.1789550000001</v>
      </c>
      <c r="C110">
        <v>-9.3892559999999996</v>
      </c>
      <c r="D110" t="s">
        <v>135</v>
      </c>
      <c r="E110">
        <f t="shared" si="4"/>
        <v>362.17895500000009</v>
      </c>
      <c r="F110">
        <f t="shared" si="5"/>
        <v>13.047295000000076</v>
      </c>
      <c r="G110">
        <v>1130</v>
      </c>
      <c r="H110">
        <f t="shared" si="6"/>
        <v>2.568580832589817</v>
      </c>
      <c r="I110">
        <f t="shared" si="7"/>
        <v>7.5176181040259378</v>
      </c>
    </row>
    <row r="111" spans="1:9" x14ac:dyDescent="0.25">
      <c r="A111">
        <v>1000</v>
      </c>
      <c r="B111">
        <v>1839.9567870000001</v>
      </c>
      <c r="C111">
        <v>-9.3821259999999995</v>
      </c>
      <c r="D111" t="s">
        <v>136</v>
      </c>
      <c r="E111">
        <f t="shared" si="4"/>
        <v>361.95678700000008</v>
      </c>
      <c r="F111">
        <f t="shared" si="5"/>
        <v>12.825127000000066</v>
      </c>
      <c r="G111">
        <v>1140</v>
      </c>
      <c r="H111">
        <f t="shared" si="6"/>
        <v>2.5514062935419215</v>
      </c>
      <c r="I111">
        <f t="shared" si="7"/>
        <v>7.5174973650011596</v>
      </c>
    </row>
    <row r="112" spans="1:9" x14ac:dyDescent="0.25">
      <c r="A112">
        <v>1000</v>
      </c>
      <c r="B112">
        <v>1839.236206</v>
      </c>
      <c r="C112">
        <v>-9.3677139999999994</v>
      </c>
      <c r="D112" t="s">
        <v>137</v>
      </c>
      <c r="E112">
        <f t="shared" si="4"/>
        <v>361.23620600000004</v>
      </c>
      <c r="F112">
        <f t="shared" si="5"/>
        <v>12.104546000000028</v>
      </c>
      <c r="G112">
        <v>1150</v>
      </c>
      <c r="H112">
        <f t="shared" si="6"/>
        <v>2.493581084523532</v>
      </c>
      <c r="I112">
        <f t="shared" si="7"/>
        <v>7.5171056589881378</v>
      </c>
    </row>
    <row r="113" spans="1:9" x14ac:dyDescent="0.25">
      <c r="A113">
        <v>1000</v>
      </c>
      <c r="B113">
        <v>1839.9157709999999</v>
      </c>
      <c r="C113">
        <v>-9.3576870000000003</v>
      </c>
      <c r="D113" t="s">
        <v>138</v>
      </c>
      <c r="E113">
        <f t="shared" si="4"/>
        <v>361.91577099999995</v>
      </c>
      <c r="F113">
        <f t="shared" si="5"/>
        <v>12.784110999999939</v>
      </c>
      <c r="G113">
        <v>1160</v>
      </c>
      <c r="H113">
        <f t="shared" si="6"/>
        <v>2.5482030717146298</v>
      </c>
      <c r="I113">
        <f t="shared" si="7"/>
        <v>7.5174750729248148</v>
      </c>
    </row>
    <row r="114" spans="1:9" x14ac:dyDescent="0.25">
      <c r="A114">
        <v>1000</v>
      </c>
      <c r="B114">
        <v>1839.110962</v>
      </c>
      <c r="C114">
        <v>-9.3388629999999999</v>
      </c>
      <c r="D114" t="s">
        <v>139</v>
      </c>
      <c r="E114">
        <f t="shared" si="4"/>
        <v>361.11096199999997</v>
      </c>
      <c r="F114">
        <f t="shared" si="5"/>
        <v>11.979301999999961</v>
      </c>
      <c r="G114">
        <v>1170</v>
      </c>
      <c r="H114">
        <f t="shared" si="6"/>
        <v>2.4831803272169455</v>
      </c>
      <c r="I114">
        <f t="shared" si="7"/>
        <v>7.5170375610113407</v>
      </c>
    </row>
    <row r="115" spans="1:9" x14ac:dyDescent="0.25">
      <c r="A115">
        <v>1000</v>
      </c>
      <c r="B115">
        <v>1839.765259</v>
      </c>
      <c r="C115">
        <v>-9.3244240000000005</v>
      </c>
      <c r="D115" t="s">
        <v>140</v>
      </c>
      <c r="E115">
        <f t="shared" si="4"/>
        <v>361.76525900000001</v>
      </c>
      <c r="F115">
        <f t="shared" si="5"/>
        <v>12.633599000000004</v>
      </c>
      <c r="G115">
        <v>1180</v>
      </c>
      <c r="H115">
        <f t="shared" si="6"/>
        <v>2.5363598522229109</v>
      </c>
      <c r="I115">
        <f t="shared" si="7"/>
        <v>7.5173932658340057</v>
      </c>
    </row>
    <row r="116" spans="1:9" x14ac:dyDescent="0.25">
      <c r="A116">
        <v>1000</v>
      </c>
      <c r="B116">
        <v>1840.268188</v>
      </c>
      <c r="C116">
        <v>-9.3282629999999997</v>
      </c>
      <c r="D116" t="s">
        <v>141</v>
      </c>
      <c r="E116">
        <f t="shared" si="4"/>
        <v>362.26818800000001</v>
      </c>
      <c r="F116">
        <f t="shared" si="5"/>
        <v>13.136527999999998</v>
      </c>
      <c r="G116">
        <v>1190</v>
      </c>
      <c r="H116">
        <f t="shared" si="6"/>
        <v>2.5753967467865668</v>
      </c>
      <c r="I116">
        <f t="shared" si="7"/>
        <v>7.5176665943297243</v>
      </c>
    </row>
    <row r="117" spans="1:9" x14ac:dyDescent="0.25">
      <c r="A117">
        <v>1000</v>
      </c>
      <c r="B117">
        <v>1840.540405</v>
      </c>
      <c r="C117">
        <v>-9.3369370000000007</v>
      </c>
      <c r="D117" t="s">
        <v>142</v>
      </c>
      <c r="E117">
        <f t="shared" si="4"/>
        <v>362.54040499999996</v>
      </c>
      <c r="F117">
        <f t="shared" si="5"/>
        <v>13.408744999999954</v>
      </c>
      <c r="G117">
        <v>1200</v>
      </c>
      <c r="H117">
        <f t="shared" si="6"/>
        <v>2.5959071060385925</v>
      </c>
      <c r="I117">
        <f t="shared" si="7"/>
        <v>7.517814505851673</v>
      </c>
    </row>
    <row r="118" spans="1:9" x14ac:dyDescent="0.25">
      <c r="A118">
        <v>1000</v>
      </c>
      <c r="B118">
        <v>1841.814087</v>
      </c>
      <c r="C118">
        <v>-9.3213229999999996</v>
      </c>
      <c r="D118" t="s">
        <v>143</v>
      </c>
      <c r="E118">
        <f t="shared" si="4"/>
        <v>363.81408699999997</v>
      </c>
      <c r="F118">
        <f t="shared" si="5"/>
        <v>14.682426999999961</v>
      </c>
      <c r="G118">
        <v>1210</v>
      </c>
      <c r="H118">
        <f t="shared" si="6"/>
        <v>2.6866513364968454</v>
      </c>
      <c r="I118">
        <f t="shared" si="7"/>
        <v>7.5185062817540533</v>
      </c>
    </row>
    <row r="119" spans="1:9" x14ac:dyDescent="0.25">
      <c r="A119">
        <v>1000</v>
      </c>
      <c r="B119">
        <v>1926.6694339999999</v>
      </c>
      <c r="C119">
        <v>-11.777177999999999</v>
      </c>
      <c r="D119" t="s">
        <v>144</v>
      </c>
      <c r="E119">
        <f t="shared" si="4"/>
        <v>448.66943399999991</v>
      </c>
      <c r="F119">
        <f t="shared" si="5"/>
        <v>99.537773999999899</v>
      </c>
      <c r="G119">
        <v>1220</v>
      </c>
      <c r="H119">
        <f t="shared" si="6"/>
        <v>4.6005372103111561</v>
      </c>
      <c r="I119">
        <f t="shared" si="7"/>
        <v>7.5635481093294619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5"/>
  <sheetViews>
    <sheetView topLeftCell="F32" zoomScale="70" zoomScaleNormal="70" workbookViewId="0">
      <selection activeCell="T53" sqref="T53"/>
    </sheetView>
  </sheetViews>
  <sheetFormatPr baseColWidth="10" defaultRowHeight="15" x14ac:dyDescent="0.25"/>
  <cols>
    <col min="4" max="4" width="25.7109375" bestFit="1" customWidth="1"/>
    <col min="5" max="5" width="13.85546875" bestFit="1" customWidth="1"/>
    <col min="6" max="6" width="27.42578125" bestFit="1" customWidth="1"/>
    <col min="8" max="8" width="16.42578125" bestFit="1" customWidth="1"/>
    <col min="12" max="12" width="9.5703125" bestFit="1" customWidth="1"/>
    <col min="13" max="13" width="9.140625" customWidth="1"/>
    <col min="14" max="14" width="11.5703125" bestFit="1" customWidth="1"/>
    <col min="15" max="15" width="11.7109375" bestFit="1" customWidth="1"/>
    <col min="16" max="16" width="13.85546875" bestFit="1" customWidth="1"/>
    <col min="18" max="18" width="9.42578125" bestFit="1" customWidth="1"/>
  </cols>
  <sheetData>
    <row r="1" spans="1:18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16</v>
      </c>
      <c r="G1" t="s">
        <v>12</v>
      </c>
      <c r="H1" t="s">
        <v>17</v>
      </c>
      <c r="I1" t="s">
        <v>13</v>
      </c>
    </row>
    <row r="2" spans="1:18" x14ac:dyDescent="0.25">
      <c r="A2">
        <v>1000</v>
      </c>
      <c r="B2">
        <v>1953.4761960000001</v>
      </c>
      <c r="C2">
        <v>-10.560504</v>
      </c>
      <c r="D2" t="s">
        <v>145</v>
      </c>
      <c r="E2">
        <f t="shared" ref="E2:E65" si="0">B2-$P$3</f>
        <v>469.47619600000007</v>
      </c>
      <c r="F2">
        <f>E2-$R$3</f>
        <v>91.066196000000048</v>
      </c>
      <c r="G2">
        <v>0</v>
      </c>
      <c r="H2">
        <f>LN(F2)</f>
        <v>4.5115866706403525</v>
      </c>
      <c r="I2">
        <f t="shared" ref="I2:I33" si="1">LN(B2)</f>
        <v>7.5773657291124632</v>
      </c>
      <c r="L2" s="1" t="s">
        <v>0</v>
      </c>
      <c r="M2" s="1" t="s">
        <v>6</v>
      </c>
      <c r="O2" s="2"/>
      <c r="P2" t="s">
        <v>14</v>
      </c>
      <c r="R2" t="s">
        <v>15</v>
      </c>
    </row>
    <row r="3" spans="1:18" x14ac:dyDescent="0.25">
      <c r="A3">
        <v>1000</v>
      </c>
      <c r="B3">
        <v>1946.03125</v>
      </c>
      <c r="C3">
        <v>-10.27455</v>
      </c>
      <c r="D3" t="s">
        <v>146</v>
      </c>
      <c r="E3">
        <f t="shared" si="0"/>
        <v>462.03125</v>
      </c>
      <c r="F3">
        <f t="shared" ref="F3:F66" si="2">E3-$R$3</f>
        <v>83.621249999999975</v>
      </c>
      <c r="G3">
        <v>10</v>
      </c>
      <c r="H3">
        <f t="shared" ref="H3:H66" si="3">LN(F3)</f>
        <v>4.4262976743935853</v>
      </c>
      <c r="I3">
        <f t="shared" si="1"/>
        <v>7.5735473211987188</v>
      </c>
      <c r="K3" t="s">
        <v>2</v>
      </c>
      <c r="L3">
        <f>1/(0.00003)</f>
        <v>33333.333333333336</v>
      </c>
      <c r="M3">
        <f>1/(0.00004)</f>
        <v>24999.999999999996</v>
      </c>
      <c r="N3" s="3" t="s">
        <v>3</v>
      </c>
      <c r="O3" s="2"/>
      <c r="P3">
        <v>1484</v>
      </c>
      <c r="R3">
        <v>378.41</v>
      </c>
    </row>
    <row r="4" spans="1:18" x14ac:dyDescent="0.25">
      <c r="A4">
        <v>1000</v>
      </c>
      <c r="B4">
        <v>1939.30603</v>
      </c>
      <c r="C4">
        <v>-10.050547999999999</v>
      </c>
      <c r="D4" t="s">
        <v>147</v>
      </c>
      <c r="E4">
        <f t="shared" si="0"/>
        <v>455.30602999999996</v>
      </c>
      <c r="F4">
        <f t="shared" si="2"/>
        <v>76.896029999999939</v>
      </c>
      <c r="G4">
        <v>20</v>
      </c>
      <c r="H4">
        <f t="shared" si="3"/>
        <v>4.3424542496913094</v>
      </c>
      <c r="I4">
        <f t="shared" si="1"/>
        <v>7.5700854715667214</v>
      </c>
      <c r="L4">
        <f>L3/60</f>
        <v>555.55555555555554</v>
      </c>
      <c r="M4">
        <f>M3/60</f>
        <v>416.66666666666663</v>
      </c>
      <c r="N4" s="3" t="s">
        <v>4</v>
      </c>
    </row>
    <row r="5" spans="1:18" x14ac:dyDescent="0.25">
      <c r="A5">
        <v>1000</v>
      </c>
      <c r="B5">
        <v>1932.601807</v>
      </c>
      <c r="C5">
        <v>-9.8800670000000004</v>
      </c>
      <c r="D5" t="s">
        <v>148</v>
      </c>
      <c r="E5">
        <f t="shared" si="0"/>
        <v>448.60180700000001</v>
      </c>
      <c r="F5">
        <f t="shared" si="2"/>
        <v>70.191806999999983</v>
      </c>
      <c r="G5">
        <v>30</v>
      </c>
      <c r="H5">
        <f t="shared" si="3"/>
        <v>4.251231594818984</v>
      </c>
      <c r="I5">
        <f t="shared" si="1"/>
        <v>7.5666224605746022</v>
      </c>
      <c r="L5">
        <f>L4/60</f>
        <v>9.2592592592592595</v>
      </c>
      <c r="M5">
        <f>M4/60</f>
        <v>6.9444444444444438</v>
      </c>
      <c r="N5" s="3" t="s">
        <v>5</v>
      </c>
    </row>
    <row r="6" spans="1:18" x14ac:dyDescent="0.25">
      <c r="A6">
        <v>1000</v>
      </c>
      <c r="B6">
        <v>1928.481689</v>
      </c>
      <c r="C6">
        <v>-9.7427650000000003</v>
      </c>
      <c r="D6" t="s">
        <v>149</v>
      </c>
      <c r="E6">
        <f t="shared" si="0"/>
        <v>444.48168899999996</v>
      </c>
      <c r="F6">
        <f t="shared" si="2"/>
        <v>66.071688999999935</v>
      </c>
      <c r="G6">
        <v>40</v>
      </c>
      <c r="H6">
        <f t="shared" si="3"/>
        <v>4.1907403495110191</v>
      </c>
      <c r="I6">
        <f t="shared" si="1"/>
        <v>7.5644882826589477</v>
      </c>
    </row>
    <row r="7" spans="1:18" x14ac:dyDescent="0.25">
      <c r="A7">
        <v>1000</v>
      </c>
      <c r="B7">
        <v>1924.998413</v>
      </c>
      <c r="C7">
        <v>-9.6489189999999994</v>
      </c>
      <c r="D7" t="s">
        <v>150</v>
      </c>
      <c r="E7">
        <f t="shared" si="0"/>
        <v>440.99841300000003</v>
      </c>
      <c r="F7">
        <f t="shared" si="2"/>
        <v>62.588413000000003</v>
      </c>
      <c r="G7">
        <v>50</v>
      </c>
      <c r="H7">
        <f t="shared" si="3"/>
        <v>4.1365801651270573</v>
      </c>
      <c r="I7">
        <f t="shared" si="1"/>
        <v>7.5626804223059603</v>
      </c>
    </row>
    <row r="8" spans="1:18" x14ac:dyDescent="0.25">
      <c r="A8">
        <v>1000</v>
      </c>
      <c r="B8">
        <v>1921.676025</v>
      </c>
      <c r="C8">
        <v>-9.5329560000000004</v>
      </c>
      <c r="D8" t="s">
        <v>151</v>
      </c>
      <c r="E8">
        <f t="shared" si="0"/>
        <v>437.67602499999998</v>
      </c>
      <c r="F8">
        <f t="shared" si="2"/>
        <v>59.266024999999956</v>
      </c>
      <c r="G8">
        <v>60</v>
      </c>
      <c r="H8">
        <f t="shared" si="3"/>
        <v>4.0820362075814307</v>
      </c>
      <c r="I8">
        <f t="shared" si="1"/>
        <v>7.5609530139277883</v>
      </c>
    </row>
    <row r="9" spans="1:18" x14ac:dyDescent="0.25">
      <c r="A9">
        <v>1000</v>
      </c>
      <c r="B9">
        <v>1918.9648440000001</v>
      </c>
      <c r="C9">
        <v>-9.4583159999999999</v>
      </c>
      <c r="D9" t="s">
        <v>152</v>
      </c>
      <c r="E9">
        <f t="shared" si="0"/>
        <v>434.96484400000008</v>
      </c>
      <c r="F9">
        <f t="shared" si="2"/>
        <v>56.55484400000006</v>
      </c>
      <c r="G9">
        <v>70</v>
      </c>
      <c r="H9">
        <f t="shared" si="3"/>
        <v>4.0352108576027401</v>
      </c>
      <c r="I9">
        <f t="shared" si="1"/>
        <v>7.5595411758815763</v>
      </c>
    </row>
    <row r="10" spans="1:18" x14ac:dyDescent="0.25">
      <c r="A10">
        <v>1000</v>
      </c>
      <c r="B10">
        <v>1915.903442</v>
      </c>
      <c r="C10">
        <v>-9.3801240000000004</v>
      </c>
      <c r="D10" t="s">
        <v>153</v>
      </c>
      <c r="E10">
        <f t="shared" si="0"/>
        <v>431.90344200000004</v>
      </c>
      <c r="F10">
        <f t="shared" si="2"/>
        <v>53.493442000000016</v>
      </c>
      <c r="G10">
        <v>80</v>
      </c>
      <c r="H10">
        <f t="shared" si="3"/>
        <v>3.9795590669492356</v>
      </c>
      <c r="I10">
        <f t="shared" si="1"/>
        <v>7.557944561645038</v>
      </c>
    </row>
    <row r="11" spans="1:18" x14ac:dyDescent="0.25">
      <c r="A11">
        <v>1000</v>
      </c>
      <c r="B11">
        <v>1914.1419679999999</v>
      </c>
      <c r="C11">
        <v>-9.3210420000000003</v>
      </c>
      <c r="D11" t="s">
        <v>154</v>
      </c>
      <c r="E11">
        <f t="shared" si="0"/>
        <v>430.14196799999991</v>
      </c>
      <c r="F11">
        <f t="shared" si="2"/>
        <v>51.731967999999881</v>
      </c>
      <c r="G11">
        <v>90</v>
      </c>
      <c r="H11">
        <f t="shared" si="3"/>
        <v>3.9460759269801606</v>
      </c>
      <c r="I11">
        <f t="shared" si="1"/>
        <v>7.5570247427209098</v>
      </c>
    </row>
    <row r="12" spans="1:18" x14ac:dyDescent="0.25">
      <c r="A12">
        <v>1000</v>
      </c>
      <c r="B12">
        <v>1911.1782229999999</v>
      </c>
      <c r="C12">
        <v>-9.2691330000000001</v>
      </c>
      <c r="D12" t="s">
        <v>155</v>
      </c>
      <c r="E12">
        <f t="shared" si="0"/>
        <v>427.17822299999989</v>
      </c>
      <c r="F12">
        <f t="shared" si="2"/>
        <v>48.768222999999864</v>
      </c>
      <c r="G12">
        <v>100</v>
      </c>
      <c r="H12">
        <f t="shared" si="3"/>
        <v>3.8870789327243274</v>
      </c>
      <c r="I12">
        <f t="shared" si="1"/>
        <v>7.5554752015347955</v>
      </c>
    </row>
    <row r="13" spans="1:18" x14ac:dyDescent="0.25">
      <c r="A13">
        <v>1000</v>
      </c>
      <c r="B13">
        <v>1911.2270510000001</v>
      </c>
      <c r="C13">
        <v>-9.2373309999999993</v>
      </c>
      <c r="D13" t="s">
        <v>156</v>
      </c>
      <c r="E13">
        <f t="shared" si="0"/>
        <v>427.22705100000007</v>
      </c>
      <c r="F13">
        <f t="shared" si="2"/>
        <v>48.817051000000049</v>
      </c>
      <c r="G13">
        <v>110</v>
      </c>
      <c r="H13">
        <f t="shared" si="3"/>
        <v>3.8880796575688379</v>
      </c>
      <c r="I13">
        <f t="shared" si="1"/>
        <v>7.5555007498461348</v>
      </c>
    </row>
    <row r="14" spans="1:18" x14ac:dyDescent="0.25">
      <c r="A14">
        <v>1000</v>
      </c>
      <c r="B14">
        <v>1907.732788</v>
      </c>
      <c r="C14">
        <v>-9.1745350000000006</v>
      </c>
      <c r="D14" t="s">
        <v>157</v>
      </c>
      <c r="E14">
        <f t="shared" si="0"/>
        <v>423.73278800000003</v>
      </c>
      <c r="F14">
        <f t="shared" si="2"/>
        <v>45.322788000000003</v>
      </c>
      <c r="G14">
        <v>120</v>
      </c>
      <c r="H14">
        <f t="shared" si="3"/>
        <v>3.8138099523612023</v>
      </c>
      <c r="I14">
        <f t="shared" si="1"/>
        <v>7.5536707939825352</v>
      </c>
    </row>
    <row r="15" spans="1:18" x14ac:dyDescent="0.25">
      <c r="A15">
        <v>1000</v>
      </c>
      <c r="B15">
        <v>1905.6175539999999</v>
      </c>
      <c r="C15">
        <v>-9.1344560000000001</v>
      </c>
      <c r="D15" t="s">
        <v>158</v>
      </c>
      <c r="E15">
        <f t="shared" si="0"/>
        <v>421.61755399999993</v>
      </c>
      <c r="F15">
        <f t="shared" si="2"/>
        <v>43.207553999999902</v>
      </c>
      <c r="G15">
        <v>130</v>
      </c>
      <c r="H15">
        <f t="shared" si="3"/>
        <v>3.7660153410747514</v>
      </c>
      <c r="I15">
        <f t="shared" si="1"/>
        <v>7.5525614103554171</v>
      </c>
    </row>
    <row r="16" spans="1:18" x14ac:dyDescent="0.25">
      <c r="A16">
        <v>1000</v>
      </c>
      <c r="B16">
        <v>1905.2677000000001</v>
      </c>
      <c r="C16">
        <v>-9.0980779999999992</v>
      </c>
      <c r="D16" t="s">
        <v>159</v>
      </c>
      <c r="E16">
        <f t="shared" si="0"/>
        <v>421.2677000000001</v>
      </c>
      <c r="F16">
        <f t="shared" si="2"/>
        <v>42.857700000000079</v>
      </c>
      <c r="G16">
        <v>140</v>
      </c>
      <c r="H16">
        <f t="shared" si="3"/>
        <v>3.7578853255163902</v>
      </c>
      <c r="I16">
        <f t="shared" si="1"/>
        <v>7.5523778026224813</v>
      </c>
    </row>
    <row r="17" spans="1:9" x14ac:dyDescent="0.25">
      <c r="A17">
        <v>1000</v>
      </c>
      <c r="B17">
        <v>1903.0407709999999</v>
      </c>
      <c r="C17">
        <v>-9.0484770000000001</v>
      </c>
      <c r="D17" t="s">
        <v>160</v>
      </c>
      <c r="E17">
        <f t="shared" si="0"/>
        <v>419.04077099999995</v>
      </c>
      <c r="F17">
        <f t="shared" si="2"/>
        <v>40.630770999999925</v>
      </c>
      <c r="G17">
        <v>150</v>
      </c>
      <c r="H17">
        <f t="shared" si="3"/>
        <v>3.7045256859456042</v>
      </c>
      <c r="I17">
        <f t="shared" si="1"/>
        <v>7.5512082916593943</v>
      </c>
    </row>
    <row r="18" spans="1:9" x14ac:dyDescent="0.25">
      <c r="A18">
        <v>1000</v>
      </c>
      <c r="B18">
        <v>1902.706909</v>
      </c>
      <c r="C18">
        <v>-9.0260879999999997</v>
      </c>
      <c r="D18" t="s">
        <v>161</v>
      </c>
      <c r="E18">
        <f t="shared" si="0"/>
        <v>418.706909</v>
      </c>
      <c r="F18">
        <f t="shared" si="2"/>
        <v>40.296908999999971</v>
      </c>
      <c r="G18">
        <v>160</v>
      </c>
      <c r="H18">
        <f t="shared" si="3"/>
        <v>3.696274766259199</v>
      </c>
      <c r="I18">
        <f t="shared" si="1"/>
        <v>7.5510328401954885</v>
      </c>
    </row>
    <row r="19" spans="1:9" x14ac:dyDescent="0.25">
      <c r="A19">
        <v>1000</v>
      </c>
      <c r="B19">
        <v>1901.5280760000001</v>
      </c>
      <c r="C19">
        <v>-9.0045319999999993</v>
      </c>
      <c r="D19" t="s">
        <v>162</v>
      </c>
      <c r="E19">
        <f t="shared" si="0"/>
        <v>417.52807600000006</v>
      </c>
      <c r="F19">
        <f t="shared" si="2"/>
        <v>39.11807600000003</v>
      </c>
      <c r="G19">
        <v>170</v>
      </c>
      <c r="H19">
        <f t="shared" si="3"/>
        <v>3.6665846619530531</v>
      </c>
      <c r="I19">
        <f t="shared" si="1"/>
        <v>7.5504130924446899</v>
      </c>
    </row>
    <row r="20" spans="1:9" x14ac:dyDescent="0.25">
      <c r="A20">
        <v>1000</v>
      </c>
      <c r="B20">
        <v>1900.768311</v>
      </c>
      <c r="C20">
        <v>-8.9588509999999992</v>
      </c>
      <c r="D20" t="s">
        <v>27</v>
      </c>
      <c r="E20">
        <f t="shared" si="0"/>
        <v>416.76831100000004</v>
      </c>
      <c r="F20">
        <f t="shared" si="2"/>
        <v>38.358311000000015</v>
      </c>
      <c r="G20">
        <v>180</v>
      </c>
      <c r="H20">
        <f t="shared" si="3"/>
        <v>3.646971218806045</v>
      </c>
      <c r="I20">
        <f t="shared" si="1"/>
        <v>7.5500134576278413</v>
      </c>
    </row>
    <row r="21" spans="1:9" x14ac:dyDescent="0.25">
      <c r="A21">
        <v>1000</v>
      </c>
      <c r="B21">
        <v>1899.0631100000001</v>
      </c>
      <c r="C21">
        <v>-8.9262029999999992</v>
      </c>
      <c r="D21" t="s">
        <v>28</v>
      </c>
      <c r="E21">
        <f t="shared" si="0"/>
        <v>415.06311000000005</v>
      </c>
      <c r="F21">
        <f t="shared" si="2"/>
        <v>36.653110000000027</v>
      </c>
      <c r="G21">
        <v>190</v>
      </c>
      <c r="H21">
        <f t="shared" si="3"/>
        <v>3.6014982814856</v>
      </c>
      <c r="I21">
        <f t="shared" si="1"/>
        <v>7.5491159435407464</v>
      </c>
    </row>
    <row r="22" spans="1:9" x14ac:dyDescent="0.25">
      <c r="A22">
        <v>1000</v>
      </c>
      <c r="B22">
        <v>1898.0079350000001</v>
      </c>
      <c r="C22">
        <v>-8.8983089999999994</v>
      </c>
      <c r="D22" t="s">
        <v>29</v>
      </c>
      <c r="E22">
        <f t="shared" si="0"/>
        <v>414.00793500000009</v>
      </c>
      <c r="F22">
        <f t="shared" si="2"/>
        <v>35.597935000000064</v>
      </c>
      <c r="G22">
        <v>200</v>
      </c>
      <c r="H22">
        <f t="shared" si="3"/>
        <v>3.5722876305576183</v>
      </c>
      <c r="I22">
        <f t="shared" si="1"/>
        <v>7.5485601598776775</v>
      </c>
    </row>
    <row r="23" spans="1:9" x14ac:dyDescent="0.25">
      <c r="A23">
        <v>1000</v>
      </c>
      <c r="B23">
        <v>1896.5155030000001</v>
      </c>
      <c r="C23">
        <v>-8.8637619999999995</v>
      </c>
      <c r="D23" t="s">
        <v>30</v>
      </c>
      <c r="E23">
        <f t="shared" si="0"/>
        <v>412.51550300000008</v>
      </c>
      <c r="F23">
        <f t="shared" si="2"/>
        <v>34.105503000000056</v>
      </c>
      <c r="G23">
        <v>210</v>
      </c>
      <c r="H23">
        <f t="shared" si="3"/>
        <v>3.5294587495685161</v>
      </c>
      <c r="I23">
        <f t="shared" si="1"/>
        <v>7.5477735356275755</v>
      </c>
    </row>
    <row r="24" spans="1:9" x14ac:dyDescent="0.25">
      <c r="A24">
        <v>1000</v>
      </c>
      <c r="B24">
        <v>1895.359375</v>
      </c>
      <c r="C24">
        <v>-8.8237229999999993</v>
      </c>
      <c r="D24" t="s">
        <v>163</v>
      </c>
      <c r="E24">
        <f t="shared" si="0"/>
        <v>411.359375</v>
      </c>
      <c r="F24">
        <f t="shared" si="2"/>
        <v>32.949374999999975</v>
      </c>
      <c r="G24">
        <v>220</v>
      </c>
      <c r="H24">
        <f t="shared" si="3"/>
        <v>3.4949722926350826</v>
      </c>
      <c r="I24">
        <f t="shared" si="1"/>
        <v>7.5471637433358865</v>
      </c>
    </row>
    <row r="25" spans="1:9" x14ac:dyDescent="0.25">
      <c r="A25">
        <v>1000</v>
      </c>
      <c r="B25">
        <v>1895.044067</v>
      </c>
      <c r="C25">
        <v>-8.8061699999999998</v>
      </c>
      <c r="D25" t="s">
        <v>32</v>
      </c>
      <c r="E25">
        <f t="shared" si="0"/>
        <v>411.04406700000004</v>
      </c>
      <c r="F25">
        <f t="shared" si="2"/>
        <v>32.634067000000016</v>
      </c>
      <c r="G25">
        <v>230</v>
      </c>
      <c r="H25">
        <f t="shared" si="3"/>
        <v>3.4853567427402532</v>
      </c>
      <c r="I25">
        <f t="shared" si="1"/>
        <v>7.5469973715997103</v>
      </c>
    </row>
    <row r="26" spans="1:9" x14ac:dyDescent="0.25">
      <c r="A26">
        <v>1000</v>
      </c>
      <c r="B26">
        <v>1894.5288089999999</v>
      </c>
      <c r="C26">
        <v>-8.7852549999999994</v>
      </c>
      <c r="D26" t="s">
        <v>33</v>
      </c>
      <c r="E26">
        <f t="shared" si="0"/>
        <v>410.52880899999991</v>
      </c>
      <c r="F26">
        <f t="shared" si="2"/>
        <v>32.118808999999885</v>
      </c>
      <c r="G26">
        <v>240</v>
      </c>
      <c r="H26">
        <f t="shared" si="3"/>
        <v>3.4694418086899677</v>
      </c>
      <c r="I26">
        <f t="shared" si="1"/>
        <v>7.5467254369938672</v>
      </c>
    </row>
    <row r="27" spans="1:9" x14ac:dyDescent="0.25">
      <c r="A27">
        <v>1000</v>
      </c>
      <c r="B27">
        <v>1893.425293</v>
      </c>
      <c r="C27">
        <v>-8.7549969999999995</v>
      </c>
      <c r="D27" t="s">
        <v>34</v>
      </c>
      <c r="E27">
        <f t="shared" si="0"/>
        <v>409.42529300000001</v>
      </c>
      <c r="F27">
        <f t="shared" si="2"/>
        <v>31.015292999999986</v>
      </c>
      <c r="G27">
        <v>250</v>
      </c>
      <c r="H27">
        <f t="shared" si="3"/>
        <v>3.4344804054222116</v>
      </c>
      <c r="I27">
        <f t="shared" si="1"/>
        <v>7.54614279211407</v>
      </c>
    </row>
    <row r="28" spans="1:9" x14ac:dyDescent="0.25">
      <c r="A28">
        <v>1000</v>
      </c>
      <c r="B28">
        <v>1892.1729740000001</v>
      </c>
      <c r="C28">
        <v>-8.7219800000000003</v>
      </c>
      <c r="D28" t="s">
        <v>164</v>
      </c>
      <c r="E28">
        <f t="shared" si="0"/>
        <v>408.17297400000007</v>
      </c>
      <c r="F28">
        <f t="shared" si="2"/>
        <v>29.762974000000042</v>
      </c>
      <c r="G28">
        <v>260</v>
      </c>
      <c r="H28">
        <f t="shared" si="3"/>
        <v>3.3932651377676422</v>
      </c>
      <c r="I28">
        <f t="shared" si="1"/>
        <v>7.5454811693229775</v>
      </c>
    </row>
    <row r="29" spans="1:9" x14ac:dyDescent="0.25">
      <c r="A29">
        <v>1000</v>
      </c>
      <c r="B29">
        <v>1891.5791019999999</v>
      </c>
      <c r="C29">
        <v>-8.7015170000000008</v>
      </c>
      <c r="D29" t="s">
        <v>36</v>
      </c>
      <c r="E29">
        <f t="shared" si="0"/>
        <v>407.57910199999992</v>
      </c>
      <c r="F29">
        <f t="shared" si="2"/>
        <v>29.169101999999896</v>
      </c>
      <c r="G29">
        <v>270</v>
      </c>
      <c r="H29">
        <f t="shared" si="3"/>
        <v>3.37310999835262</v>
      </c>
      <c r="I29">
        <f t="shared" si="1"/>
        <v>7.5451672629184632</v>
      </c>
    </row>
    <row r="30" spans="1:9" x14ac:dyDescent="0.25">
      <c r="A30">
        <v>1000</v>
      </c>
      <c r="B30">
        <v>1890.391357</v>
      </c>
      <c r="C30">
        <v>-8.6797970000000007</v>
      </c>
      <c r="D30" t="s">
        <v>37</v>
      </c>
      <c r="E30">
        <f t="shared" si="0"/>
        <v>406.39135699999997</v>
      </c>
      <c r="F30">
        <f t="shared" si="2"/>
        <v>27.981356999999946</v>
      </c>
      <c r="G30">
        <v>280</v>
      </c>
      <c r="H30">
        <f t="shared" si="3"/>
        <v>3.3315384669891039</v>
      </c>
      <c r="I30">
        <f t="shared" si="1"/>
        <v>7.5445391538140028</v>
      </c>
    </row>
    <row r="31" spans="1:9" x14ac:dyDescent="0.25">
      <c r="A31">
        <v>1000</v>
      </c>
      <c r="B31">
        <v>1890.241211</v>
      </c>
      <c r="C31">
        <v>-8.6747289999999992</v>
      </c>
      <c r="D31" t="s">
        <v>165</v>
      </c>
      <c r="E31">
        <f t="shared" si="0"/>
        <v>406.24121100000002</v>
      </c>
      <c r="F31">
        <f t="shared" si="2"/>
        <v>27.831210999999996</v>
      </c>
      <c r="G31">
        <v>290</v>
      </c>
      <c r="H31">
        <f t="shared" si="3"/>
        <v>3.3261580887844007</v>
      </c>
      <c r="I31">
        <f t="shared" si="1"/>
        <v>7.5444597247780525</v>
      </c>
    </row>
    <row r="32" spans="1:9" x14ac:dyDescent="0.25">
      <c r="A32">
        <v>1000</v>
      </c>
      <c r="B32">
        <v>1889.1301269999999</v>
      </c>
      <c r="C32">
        <v>-8.6328870000000002</v>
      </c>
      <c r="D32" t="s">
        <v>39</v>
      </c>
      <c r="E32">
        <f t="shared" si="0"/>
        <v>405.1301269999999</v>
      </c>
      <c r="F32">
        <f t="shared" si="2"/>
        <v>26.720126999999877</v>
      </c>
      <c r="G32">
        <v>300</v>
      </c>
      <c r="H32">
        <f t="shared" si="3"/>
        <v>3.2854171016511571</v>
      </c>
      <c r="I32">
        <f t="shared" si="1"/>
        <v>7.5438717518414755</v>
      </c>
    </row>
    <row r="33" spans="1:21" x14ac:dyDescent="0.25">
      <c r="A33">
        <v>1000</v>
      </c>
      <c r="B33">
        <v>1888.347168</v>
      </c>
      <c r="C33">
        <v>-8.6177240000000008</v>
      </c>
      <c r="D33" t="s">
        <v>40</v>
      </c>
      <c r="E33">
        <f t="shared" si="0"/>
        <v>404.34716800000001</v>
      </c>
      <c r="F33">
        <f t="shared" si="2"/>
        <v>25.937167999999986</v>
      </c>
      <c r="G33">
        <v>310</v>
      </c>
      <c r="H33">
        <f t="shared" si="3"/>
        <v>3.2556769979089957</v>
      </c>
      <c r="I33">
        <f t="shared" si="1"/>
        <v>7.543457211157274</v>
      </c>
    </row>
    <row r="34" spans="1:21" x14ac:dyDescent="0.25">
      <c r="A34">
        <v>1000</v>
      </c>
      <c r="B34">
        <v>1887.3718260000001</v>
      </c>
      <c r="C34">
        <v>-8.5811410000000006</v>
      </c>
      <c r="D34" t="s">
        <v>41</v>
      </c>
      <c r="E34">
        <f t="shared" si="0"/>
        <v>403.37182600000006</v>
      </c>
      <c r="F34">
        <f t="shared" si="2"/>
        <v>24.96182600000003</v>
      </c>
      <c r="G34">
        <v>320</v>
      </c>
      <c r="H34">
        <f t="shared" si="3"/>
        <v>3.2173476978766637</v>
      </c>
      <c r="I34">
        <f t="shared" ref="I34:I65" si="4">LN(B34)</f>
        <v>7.5429405720624452</v>
      </c>
    </row>
    <row r="35" spans="1:21" x14ac:dyDescent="0.25">
      <c r="A35">
        <v>1000</v>
      </c>
      <c r="B35">
        <v>1886.9003909999999</v>
      </c>
      <c r="C35">
        <v>-8.5632190000000001</v>
      </c>
      <c r="D35" t="s">
        <v>42</v>
      </c>
      <c r="E35">
        <f t="shared" si="0"/>
        <v>402.9003909999999</v>
      </c>
      <c r="F35">
        <f t="shared" si="2"/>
        <v>24.490390999999875</v>
      </c>
      <c r="G35">
        <v>330</v>
      </c>
      <c r="H35">
        <f t="shared" si="3"/>
        <v>3.1982808365369064</v>
      </c>
      <c r="I35">
        <f t="shared" si="4"/>
        <v>7.5426907570118358</v>
      </c>
    </row>
    <row r="36" spans="1:21" x14ac:dyDescent="0.25">
      <c r="A36">
        <v>1000</v>
      </c>
      <c r="B36">
        <v>1885.88147</v>
      </c>
      <c r="C36">
        <v>-8.5399419999999999</v>
      </c>
      <c r="D36" t="s">
        <v>43</v>
      </c>
      <c r="E36">
        <f t="shared" si="0"/>
        <v>401.88147000000004</v>
      </c>
      <c r="F36">
        <f t="shared" si="2"/>
        <v>23.471470000000011</v>
      </c>
      <c r="G36">
        <v>340</v>
      </c>
      <c r="H36">
        <f t="shared" si="3"/>
        <v>3.1557856410502594</v>
      </c>
      <c r="I36">
        <f t="shared" si="4"/>
        <v>7.5421506139225647</v>
      </c>
    </row>
    <row r="37" spans="1:21" x14ac:dyDescent="0.25">
      <c r="A37">
        <v>1000</v>
      </c>
      <c r="B37">
        <v>1885.039307</v>
      </c>
      <c r="C37">
        <v>-8.5225659999999994</v>
      </c>
      <c r="D37" t="s">
        <v>166</v>
      </c>
      <c r="E37">
        <f t="shared" si="0"/>
        <v>401.03930700000001</v>
      </c>
      <c r="F37">
        <f t="shared" si="2"/>
        <v>22.629306999999983</v>
      </c>
      <c r="G37">
        <v>350</v>
      </c>
      <c r="H37">
        <f t="shared" si="3"/>
        <v>3.1192458361098239</v>
      </c>
      <c r="I37">
        <f t="shared" si="4"/>
        <v>7.5417039521845943</v>
      </c>
    </row>
    <row r="38" spans="1:21" x14ac:dyDescent="0.25">
      <c r="A38">
        <v>1000</v>
      </c>
      <c r="B38">
        <v>1884.4025879999999</v>
      </c>
      <c r="C38">
        <v>-8.4806159999999995</v>
      </c>
      <c r="D38" t="s">
        <v>45</v>
      </c>
      <c r="E38">
        <f t="shared" si="0"/>
        <v>400.40258799999992</v>
      </c>
      <c r="F38">
        <f t="shared" si="2"/>
        <v>21.992587999999898</v>
      </c>
      <c r="G38">
        <v>360</v>
      </c>
      <c r="H38">
        <f t="shared" si="3"/>
        <v>3.090705487500784</v>
      </c>
      <c r="I38">
        <f t="shared" si="4"/>
        <v>7.5413661202063906</v>
      </c>
    </row>
    <row r="39" spans="1:21" x14ac:dyDescent="0.25">
      <c r="A39">
        <v>1000</v>
      </c>
      <c r="B39">
        <v>1883.1511230000001</v>
      </c>
      <c r="C39">
        <v>-8.4452079999999992</v>
      </c>
      <c r="D39" t="s">
        <v>46</v>
      </c>
      <c r="E39">
        <f t="shared" si="0"/>
        <v>399.1511230000001</v>
      </c>
      <c r="F39">
        <f t="shared" si="2"/>
        <v>20.741123000000073</v>
      </c>
      <c r="G39">
        <v>370</v>
      </c>
      <c r="H39">
        <f t="shared" si="3"/>
        <v>3.0321183479121752</v>
      </c>
      <c r="I39">
        <f t="shared" si="4"/>
        <v>7.5407017819423476</v>
      </c>
    </row>
    <row r="40" spans="1:21" x14ac:dyDescent="0.25">
      <c r="A40">
        <v>1000</v>
      </c>
      <c r="B40">
        <v>1882.727905</v>
      </c>
      <c r="C40">
        <v>-8.4190889999999996</v>
      </c>
      <c r="D40" t="s">
        <v>47</v>
      </c>
      <c r="E40">
        <f t="shared" si="0"/>
        <v>398.72790499999996</v>
      </c>
      <c r="F40">
        <f t="shared" si="2"/>
        <v>20.317904999999939</v>
      </c>
      <c r="G40">
        <v>380</v>
      </c>
      <c r="H40">
        <f t="shared" si="3"/>
        <v>3.0115025170013663</v>
      </c>
      <c r="I40">
        <f t="shared" si="4"/>
        <v>7.5404770174193052</v>
      </c>
      <c r="T40">
        <v>-4.0000000000000001E-3</v>
      </c>
    </row>
    <row r="41" spans="1:21" x14ac:dyDescent="0.25">
      <c r="A41">
        <v>1000</v>
      </c>
      <c r="B41">
        <v>1883.155518</v>
      </c>
      <c r="C41">
        <v>-8.4079549999999994</v>
      </c>
      <c r="D41" t="s">
        <v>48</v>
      </c>
      <c r="E41">
        <f t="shared" si="0"/>
        <v>399.15551800000003</v>
      </c>
      <c r="F41">
        <f t="shared" si="2"/>
        <v>20.745518000000004</v>
      </c>
      <c r="G41">
        <v>390</v>
      </c>
      <c r="H41">
        <f t="shared" si="3"/>
        <v>3.0323302233453475</v>
      </c>
      <c r="I41">
        <f t="shared" si="4"/>
        <v>7.5407041157937407</v>
      </c>
      <c r="S41" t="s">
        <v>2</v>
      </c>
      <c r="T41">
        <f>1/ABS(T40)</f>
        <v>250</v>
      </c>
      <c r="U41" s="3" t="s">
        <v>3</v>
      </c>
    </row>
    <row r="42" spans="1:21" x14ac:dyDescent="0.25">
      <c r="A42">
        <v>1000</v>
      </c>
      <c r="B42">
        <v>1882.5772710000001</v>
      </c>
      <c r="C42">
        <v>-8.4012069999999994</v>
      </c>
      <c r="D42" t="s">
        <v>49</v>
      </c>
      <c r="E42">
        <f t="shared" si="0"/>
        <v>398.57727100000011</v>
      </c>
      <c r="F42">
        <f t="shared" si="2"/>
        <v>20.167271000000085</v>
      </c>
      <c r="G42">
        <v>400</v>
      </c>
      <c r="H42">
        <f t="shared" si="3"/>
        <v>3.0040610428618391</v>
      </c>
      <c r="I42">
        <f t="shared" si="4"/>
        <v>7.5403970058435954</v>
      </c>
      <c r="T42">
        <f>T41/60</f>
        <v>4.166666666666667</v>
      </c>
      <c r="U42" s="3" t="s">
        <v>4</v>
      </c>
    </row>
    <row r="43" spans="1:21" x14ac:dyDescent="0.25">
      <c r="A43">
        <v>1000</v>
      </c>
      <c r="B43">
        <v>1881.1798100000001</v>
      </c>
      <c r="C43">
        <v>-8.3629300000000004</v>
      </c>
      <c r="D43" t="s">
        <v>50</v>
      </c>
      <c r="E43">
        <f t="shared" si="0"/>
        <v>397.17981000000009</v>
      </c>
      <c r="F43">
        <f t="shared" si="2"/>
        <v>18.769810000000064</v>
      </c>
      <c r="G43">
        <v>410</v>
      </c>
      <c r="H43">
        <f t="shared" si="3"/>
        <v>2.9322497280112261</v>
      </c>
      <c r="I43">
        <f t="shared" si="4"/>
        <v>7.5396544175021365</v>
      </c>
      <c r="T43">
        <f>T42/60</f>
        <v>6.9444444444444448E-2</v>
      </c>
      <c r="U43" s="3" t="s">
        <v>5</v>
      </c>
    </row>
    <row r="44" spans="1:21" x14ac:dyDescent="0.25">
      <c r="A44">
        <v>1000</v>
      </c>
      <c r="B44">
        <v>1880.113159</v>
      </c>
      <c r="C44">
        <v>-8.3194079999999992</v>
      </c>
      <c r="D44" t="s">
        <v>51</v>
      </c>
      <c r="E44">
        <f t="shared" si="0"/>
        <v>396.113159</v>
      </c>
      <c r="F44">
        <f t="shared" si="2"/>
        <v>17.703158999999971</v>
      </c>
      <c r="G44">
        <v>420</v>
      </c>
      <c r="H44">
        <f t="shared" si="3"/>
        <v>2.8737430982313605</v>
      </c>
      <c r="I44">
        <f t="shared" si="4"/>
        <v>7.5390872449700383</v>
      </c>
    </row>
    <row r="45" spans="1:21" x14ac:dyDescent="0.25">
      <c r="A45">
        <v>1000</v>
      </c>
      <c r="B45">
        <v>1879.646606</v>
      </c>
      <c r="C45">
        <v>-8.3066499999999994</v>
      </c>
      <c r="D45" t="s">
        <v>167</v>
      </c>
      <c r="E45">
        <f t="shared" si="0"/>
        <v>395.64660600000002</v>
      </c>
      <c r="F45">
        <f t="shared" si="2"/>
        <v>17.236605999999995</v>
      </c>
      <c r="G45">
        <v>430</v>
      </c>
      <c r="H45">
        <f t="shared" si="3"/>
        <v>2.8470353781051276</v>
      </c>
      <c r="I45">
        <f t="shared" si="4"/>
        <v>7.5388390626224657</v>
      </c>
    </row>
    <row r="46" spans="1:21" x14ac:dyDescent="0.25">
      <c r="A46">
        <v>1000</v>
      </c>
      <c r="B46">
        <v>1879.997314</v>
      </c>
      <c r="C46">
        <v>-8.2766789999999997</v>
      </c>
      <c r="D46" t="s">
        <v>168</v>
      </c>
      <c r="E46">
        <f t="shared" si="0"/>
        <v>395.99731399999996</v>
      </c>
      <c r="F46">
        <f t="shared" si="2"/>
        <v>17.587313999999935</v>
      </c>
      <c r="G46">
        <v>440</v>
      </c>
      <c r="H46">
        <f t="shared" si="3"/>
        <v>2.8671778466916171</v>
      </c>
      <c r="I46">
        <f t="shared" si="4"/>
        <v>7.5390256270995701</v>
      </c>
    </row>
    <row r="47" spans="1:21" x14ac:dyDescent="0.25">
      <c r="A47">
        <v>1000</v>
      </c>
      <c r="B47">
        <v>1878.7108149999999</v>
      </c>
      <c r="C47">
        <v>-8.2504229999999996</v>
      </c>
      <c r="D47" t="s">
        <v>169</v>
      </c>
      <c r="E47">
        <f t="shared" si="0"/>
        <v>394.71081499999991</v>
      </c>
      <c r="F47">
        <f t="shared" si="2"/>
        <v>16.300814999999886</v>
      </c>
      <c r="G47">
        <v>450</v>
      </c>
      <c r="H47">
        <f t="shared" si="3"/>
        <v>2.7912151065627513</v>
      </c>
      <c r="I47">
        <f t="shared" si="4"/>
        <v>7.5383410838969134</v>
      </c>
    </row>
    <row r="48" spans="1:21" x14ac:dyDescent="0.25">
      <c r="A48">
        <v>1000</v>
      </c>
      <c r="B48">
        <v>1878.093384</v>
      </c>
      <c r="C48">
        <v>-8.2348110000000005</v>
      </c>
      <c r="D48" t="s">
        <v>55</v>
      </c>
      <c r="E48">
        <f t="shared" si="0"/>
        <v>394.09338400000001</v>
      </c>
      <c r="F48">
        <f t="shared" si="2"/>
        <v>15.68338399999999</v>
      </c>
      <c r="G48">
        <v>460</v>
      </c>
      <c r="H48">
        <f t="shared" si="3"/>
        <v>2.7526018079637984</v>
      </c>
      <c r="I48">
        <f t="shared" si="4"/>
        <v>7.5380123837715658</v>
      </c>
    </row>
    <row r="49" spans="1:9" x14ac:dyDescent="0.25">
      <c r="A49">
        <v>1000</v>
      </c>
      <c r="B49">
        <v>1878.5692140000001</v>
      </c>
      <c r="C49">
        <v>-8.2282390000000003</v>
      </c>
      <c r="D49" t="s">
        <v>56</v>
      </c>
      <c r="E49">
        <f t="shared" si="0"/>
        <v>394.5692140000001</v>
      </c>
      <c r="F49">
        <f t="shared" si="2"/>
        <v>16.159214000000077</v>
      </c>
      <c r="G49">
        <v>470</v>
      </c>
      <c r="H49">
        <f t="shared" si="3"/>
        <v>2.782490413296197</v>
      </c>
      <c r="I49">
        <f t="shared" si="4"/>
        <v>7.5382657096905872</v>
      </c>
    </row>
    <row r="50" spans="1:9" x14ac:dyDescent="0.25">
      <c r="A50">
        <v>1000</v>
      </c>
      <c r="B50">
        <v>1877.0523679999999</v>
      </c>
      <c r="C50">
        <v>-8.2024620000000006</v>
      </c>
      <c r="D50" t="s">
        <v>57</v>
      </c>
      <c r="E50">
        <f t="shared" si="0"/>
        <v>393.05236799999989</v>
      </c>
      <c r="F50">
        <f t="shared" si="2"/>
        <v>14.642367999999863</v>
      </c>
      <c r="G50">
        <v>480</v>
      </c>
      <c r="H50">
        <f t="shared" si="3"/>
        <v>2.6839192440871362</v>
      </c>
      <c r="I50">
        <f t="shared" si="4"/>
        <v>7.5374579360374856</v>
      </c>
    </row>
    <row r="51" spans="1:9" x14ac:dyDescent="0.25">
      <c r="A51">
        <v>1000</v>
      </c>
      <c r="B51">
        <v>1877.3896480000001</v>
      </c>
      <c r="C51">
        <v>-8.191808</v>
      </c>
      <c r="D51" t="s">
        <v>58</v>
      </c>
      <c r="E51">
        <f t="shared" si="0"/>
        <v>393.38964800000008</v>
      </c>
      <c r="F51">
        <f t="shared" si="2"/>
        <v>14.979648000000054</v>
      </c>
      <c r="G51">
        <v>490</v>
      </c>
      <c r="H51">
        <f t="shared" si="3"/>
        <v>2.7066924798156649</v>
      </c>
      <c r="I51">
        <f t="shared" si="4"/>
        <v>7.5376376058789534</v>
      </c>
    </row>
    <row r="52" spans="1:9" x14ac:dyDescent="0.25">
      <c r="A52">
        <v>1000</v>
      </c>
      <c r="B52">
        <v>1876.444702</v>
      </c>
      <c r="C52">
        <v>-8.146414</v>
      </c>
      <c r="D52" t="s">
        <v>59</v>
      </c>
      <c r="E52">
        <f t="shared" si="0"/>
        <v>392.44470200000001</v>
      </c>
      <c r="F52">
        <f t="shared" si="2"/>
        <v>14.034701999999982</v>
      </c>
      <c r="G52">
        <v>500</v>
      </c>
      <c r="H52">
        <f t="shared" si="3"/>
        <v>2.641532976955725</v>
      </c>
      <c r="I52">
        <f t="shared" si="4"/>
        <v>7.5371341494491517</v>
      </c>
    </row>
    <row r="53" spans="1:9" x14ac:dyDescent="0.25">
      <c r="A53">
        <v>1000</v>
      </c>
      <c r="B53">
        <v>1876.1453859999999</v>
      </c>
      <c r="C53">
        <v>-8.1267420000000001</v>
      </c>
      <c r="D53" t="s">
        <v>60</v>
      </c>
      <c r="E53">
        <f t="shared" si="0"/>
        <v>392.14538599999992</v>
      </c>
      <c r="F53">
        <f t="shared" si="2"/>
        <v>13.735385999999892</v>
      </c>
      <c r="G53">
        <v>510</v>
      </c>
      <c r="H53">
        <f t="shared" si="3"/>
        <v>2.619975422537848</v>
      </c>
      <c r="I53">
        <f t="shared" si="4"/>
        <v>7.5369746244311688</v>
      </c>
    </row>
    <row r="54" spans="1:9" x14ac:dyDescent="0.25">
      <c r="A54">
        <v>1000</v>
      </c>
      <c r="B54">
        <v>1875.4135739999999</v>
      </c>
      <c r="C54">
        <v>-8.0917449999999995</v>
      </c>
      <c r="D54" t="s">
        <v>61</v>
      </c>
      <c r="E54">
        <f t="shared" si="0"/>
        <v>391.41357399999993</v>
      </c>
      <c r="F54">
        <f t="shared" si="2"/>
        <v>13.003573999999901</v>
      </c>
      <c r="G54">
        <v>520</v>
      </c>
      <c r="H54">
        <f t="shared" si="3"/>
        <v>2.5652242427540282</v>
      </c>
      <c r="I54">
        <f t="shared" si="4"/>
        <v>7.5365844868819076</v>
      </c>
    </row>
    <row r="55" spans="1:9" x14ac:dyDescent="0.25">
      <c r="A55">
        <v>1000</v>
      </c>
      <c r="B55">
        <v>1875.281982</v>
      </c>
      <c r="C55">
        <v>-8.0736860000000004</v>
      </c>
      <c r="D55" t="s">
        <v>62</v>
      </c>
      <c r="E55">
        <f t="shared" si="0"/>
        <v>391.28198199999997</v>
      </c>
      <c r="F55">
        <f t="shared" si="2"/>
        <v>12.871981999999946</v>
      </c>
      <c r="G55">
        <v>530</v>
      </c>
      <c r="H55">
        <f t="shared" si="3"/>
        <v>2.5550530113050107</v>
      </c>
      <c r="I55">
        <f t="shared" si="4"/>
        <v>7.5365143174970086</v>
      </c>
    </row>
    <row r="56" spans="1:9" x14ac:dyDescent="0.25">
      <c r="A56">
        <v>1000</v>
      </c>
      <c r="B56">
        <v>1873.8314210000001</v>
      </c>
      <c r="C56">
        <v>-8.0511879999999998</v>
      </c>
      <c r="D56" t="s">
        <v>63</v>
      </c>
      <c r="E56">
        <f t="shared" si="0"/>
        <v>389.83142100000009</v>
      </c>
      <c r="F56">
        <f t="shared" si="2"/>
        <v>11.421421000000066</v>
      </c>
      <c r="G56">
        <v>540</v>
      </c>
      <c r="H56">
        <f t="shared" si="3"/>
        <v>2.4354906273101147</v>
      </c>
      <c r="I56">
        <f t="shared" si="4"/>
        <v>7.5357405019750665</v>
      </c>
    </row>
    <row r="57" spans="1:9" x14ac:dyDescent="0.25">
      <c r="A57">
        <v>1000</v>
      </c>
      <c r="B57">
        <v>1873.776001</v>
      </c>
      <c r="C57">
        <v>-8.0478000000000005</v>
      </c>
      <c r="D57" t="s">
        <v>64</v>
      </c>
      <c r="E57">
        <f t="shared" si="0"/>
        <v>389.77600099999995</v>
      </c>
      <c r="F57">
        <f t="shared" si="2"/>
        <v>11.366000999999926</v>
      </c>
      <c r="G57">
        <v>550</v>
      </c>
      <c r="H57">
        <f t="shared" si="3"/>
        <v>2.4306265308566193</v>
      </c>
      <c r="I57">
        <f t="shared" si="4"/>
        <v>7.5357109257714976</v>
      </c>
    </row>
    <row r="58" spans="1:9" x14ac:dyDescent="0.25">
      <c r="A58">
        <v>1000</v>
      </c>
      <c r="B58">
        <v>1874.075439</v>
      </c>
      <c r="C58">
        <v>-8.036721</v>
      </c>
      <c r="D58" t="s">
        <v>65</v>
      </c>
      <c r="E58">
        <f t="shared" si="0"/>
        <v>390.07543899999996</v>
      </c>
      <c r="F58">
        <f t="shared" si="2"/>
        <v>11.665438999999935</v>
      </c>
      <c r="G58">
        <v>560</v>
      </c>
      <c r="H58">
        <f t="shared" si="3"/>
        <v>2.4566305387129552</v>
      </c>
      <c r="I58">
        <f t="shared" si="4"/>
        <v>7.5358707175911208</v>
      </c>
    </row>
    <row r="59" spans="1:9" x14ac:dyDescent="0.25">
      <c r="A59">
        <v>1000</v>
      </c>
      <c r="B59">
        <v>1873.737427</v>
      </c>
      <c r="C59">
        <v>-8.0124049999999993</v>
      </c>
      <c r="D59" t="s">
        <v>66</v>
      </c>
      <c r="E59">
        <f t="shared" si="0"/>
        <v>389.73742700000003</v>
      </c>
      <c r="F59">
        <f t="shared" si="2"/>
        <v>11.327427</v>
      </c>
      <c r="G59">
        <v>570</v>
      </c>
      <c r="H59">
        <f t="shared" si="3"/>
        <v>2.4272269530449009</v>
      </c>
      <c r="I59">
        <f t="shared" si="4"/>
        <v>7.5356903393209125</v>
      </c>
    </row>
    <row r="60" spans="1:9" x14ac:dyDescent="0.25">
      <c r="A60">
        <v>1000</v>
      </c>
      <c r="B60">
        <v>1873.440063</v>
      </c>
      <c r="C60">
        <v>-7.9843469999999996</v>
      </c>
      <c r="D60" t="s">
        <v>67</v>
      </c>
      <c r="E60">
        <f t="shared" si="0"/>
        <v>389.44006300000001</v>
      </c>
      <c r="F60">
        <f t="shared" si="2"/>
        <v>11.030062999999984</v>
      </c>
      <c r="G60">
        <v>580</v>
      </c>
      <c r="H60">
        <f t="shared" si="3"/>
        <v>2.4006245449444741</v>
      </c>
      <c r="I60">
        <f t="shared" si="4"/>
        <v>7.5355316257283924</v>
      </c>
    </row>
    <row r="61" spans="1:9" x14ac:dyDescent="0.25">
      <c r="A61">
        <v>1000</v>
      </c>
      <c r="B61">
        <v>1872.682251</v>
      </c>
      <c r="C61">
        <v>-7.9698399999999996</v>
      </c>
      <c r="D61" t="s">
        <v>170</v>
      </c>
      <c r="E61">
        <f t="shared" si="0"/>
        <v>388.68225099999995</v>
      </c>
      <c r="F61">
        <f t="shared" si="2"/>
        <v>10.272250999999926</v>
      </c>
      <c r="G61">
        <v>590</v>
      </c>
      <c r="H61">
        <f t="shared" si="3"/>
        <v>2.3294461820073149</v>
      </c>
      <c r="I61">
        <f t="shared" si="4"/>
        <v>7.5351270409621636</v>
      </c>
    </row>
    <row r="62" spans="1:9" x14ac:dyDescent="0.25">
      <c r="A62">
        <v>1000</v>
      </c>
      <c r="B62">
        <v>1872.5070800000001</v>
      </c>
      <c r="C62">
        <v>-7.9652640000000003</v>
      </c>
      <c r="D62" t="s">
        <v>69</v>
      </c>
      <c r="E62">
        <f t="shared" si="0"/>
        <v>388.50708000000009</v>
      </c>
      <c r="F62">
        <f t="shared" si="2"/>
        <v>10.097080000000062</v>
      </c>
      <c r="G62">
        <v>600</v>
      </c>
      <c r="H62">
        <f t="shared" si="3"/>
        <v>2.3122462731362909</v>
      </c>
      <c r="I62">
        <f t="shared" si="4"/>
        <v>7.5350334964256147</v>
      </c>
    </row>
    <row r="63" spans="1:9" x14ac:dyDescent="0.25">
      <c r="A63">
        <v>1000</v>
      </c>
      <c r="B63">
        <v>1872.773682</v>
      </c>
      <c r="C63">
        <v>-7.9398419999999996</v>
      </c>
      <c r="D63" t="s">
        <v>70</v>
      </c>
      <c r="E63">
        <f t="shared" si="0"/>
        <v>388.77368200000001</v>
      </c>
      <c r="F63">
        <f t="shared" si="2"/>
        <v>10.363681999999983</v>
      </c>
      <c r="G63">
        <v>610</v>
      </c>
      <c r="H63">
        <f t="shared" si="3"/>
        <v>2.3383075790951997</v>
      </c>
      <c r="I63">
        <f t="shared" si="4"/>
        <v>7.5351758633227277</v>
      </c>
    </row>
    <row r="64" spans="1:9" x14ac:dyDescent="0.25">
      <c r="A64">
        <v>1000</v>
      </c>
      <c r="B64">
        <v>1870.9526370000001</v>
      </c>
      <c r="C64">
        <v>-7.9316180000000003</v>
      </c>
      <c r="D64" t="s">
        <v>71</v>
      </c>
      <c r="E64">
        <f t="shared" si="0"/>
        <v>386.9526370000001</v>
      </c>
      <c r="F64">
        <f t="shared" si="2"/>
        <v>8.5426370000000702</v>
      </c>
      <c r="G64">
        <v>620</v>
      </c>
      <c r="H64">
        <f t="shared" si="3"/>
        <v>2.1450697423384795</v>
      </c>
      <c r="I64">
        <f t="shared" si="4"/>
        <v>7.5342030116832346</v>
      </c>
    </row>
    <row r="65" spans="1:9" x14ac:dyDescent="0.25">
      <c r="A65">
        <v>1000</v>
      </c>
      <c r="B65">
        <v>1871.29187</v>
      </c>
      <c r="C65">
        <v>-7.8819359999999996</v>
      </c>
      <c r="D65" t="s">
        <v>72</v>
      </c>
      <c r="E65">
        <f t="shared" si="0"/>
        <v>387.29187000000002</v>
      </c>
      <c r="F65">
        <f t="shared" si="2"/>
        <v>8.8818699999999922</v>
      </c>
      <c r="G65">
        <v>630</v>
      </c>
      <c r="H65">
        <f t="shared" si="3"/>
        <v>2.1840121204196312</v>
      </c>
      <c r="I65">
        <f t="shared" si="4"/>
        <v>7.5343843109010136</v>
      </c>
    </row>
    <row r="66" spans="1:9" x14ac:dyDescent="0.25">
      <c r="A66">
        <v>1000</v>
      </c>
      <c r="B66">
        <v>1871.3011469999999</v>
      </c>
      <c r="C66">
        <v>-7.8944210000000004</v>
      </c>
      <c r="D66" t="s">
        <v>73</v>
      </c>
      <c r="E66">
        <f t="shared" ref="E66:E129" si="5">B66-$P$3</f>
        <v>387.3011469999999</v>
      </c>
      <c r="F66">
        <f t="shared" si="2"/>
        <v>8.8911469999998758</v>
      </c>
      <c r="G66">
        <v>640</v>
      </c>
      <c r="H66">
        <f t="shared" si="3"/>
        <v>2.1850560625755864</v>
      </c>
      <c r="I66">
        <f t="shared" ref="I66:I97" si="6">LN(B66)</f>
        <v>7.5343892684264286</v>
      </c>
    </row>
    <row r="67" spans="1:9" x14ac:dyDescent="0.25">
      <c r="A67">
        <v>1000</v>
      </c>
      <c r="B67">
        <v>1870.5618899999999</v>
      </c>
      <c r="C67">
        <v>-7.8479619999999999</v>
      </c>
      <c r="D67" t="s">
        <v>171</v>
      </c>
      <c r="E67">
        <f t="shared" si="5"/>
        <v>386.56188999999995</v>
      </c>
      <c r="F67">
        <f t="shared" ref="F67:F129" si="7">E67-$R$3</f>
        <v>8.1518899999999235</v>
      </c>
      <c r="G67">
        <v>650</v>
      </c>
      <c r="H67">
        <f t="shared" ref="H67:H129" si="8">LN(F67)</f>
        <v>2.0982498022081773</v>
      </c>
      <c r="I67">
        <f t="shared" si="6"/>
        <v>7.5339941406506084</v>
      </c>
    </row>
    <row r="68" spans="1:9" x14ac:dyDescent="0.25">
      <c r="A68">
        <v>1000</v>
      </c>
      <c r="B68">
        <v>1870.2791749999999</v>
      </c>
      <c r="C68">
        <v>-7.8449980000000004</v>
      </c>
      <c r="D68" t="s">
        <v>75</v>
      </c>
      <c r="E68">
        <f t="shared" si="5"/>
        <v>386.2791749999999</v>
      </c>
      <c r="F68">
        <f t="shared" si="7"/>
        <v>7.8691749999998706</v>
      </c>
      <c r="G68">
        <v>660</v>
      </c>
      <c r="H68">
        <f t="shared" si="8"/>
        <v>2.0629532284718923</v>
      </c>
      <c r="I68">
        <f t="shared" si="6"/>
        <v>7.5338429901496236</v>
      </c>
    </row>
    <row r="69" spans="1:9" x14ac:dyDescent="0.25">
      <c r="A69">
        <v>1000</v>
      </c>
      <c r="B69">
        <v>1869.661865</v>
      </c>
      <c r="C69">
        <v>-7.8220340000000004</v>
      </c>
      <c r="D69" t="s">
        <v>76</v>
      </c>
      <c r="E69">
        <f t="shared" si="5"/>
        <v>385.66186500000003</v>
      </c>
      <c r="F69">
        <f t="shared" si="7"/>
        <v>7.2518650000000093</v>
      </c>
      <c r="G69">
        <v>670</v>
      </c>
      <c r="H69">
        <f t="shared" si="8"/>
        <v>1.9812586771650045</v>
      </c>
      <c r="I69">
        <f t="shared" si="6"/>
        <v>7.5335128726429552</v>
      </c>
    </row>
    <row r="70" spans="1:9" x14ac:dyDescent="0.25">
      <c r="A70">
        <v>1000</v>
      </c>
      <c r="B70">
        <v>1869.3847659999999</v>
      </c>
      <c r="C70">
        <v>-7.8009839999999997</v>
      </c>
      <c r="D70" t="s">
        <v>77</v>
      </c>
      <c r="E70">
        <f t="shared" si="5"/>
        <v>385.3847659999999</v>
      </c>
      <c r="F70">
        <f t="shared" si="7"/>
        <v>6.9747659999998746</v>
      </c>
      <c r="G70">
        <v>680</v>
      </c>
      <c r="H70">
        <f t="shared" si="8"/>
        <v>1.9422987787575547</v>
      </c>
      <c r="I70">
        <f t="shared" si="6"/>
        <v>7.5333646535765171</v>
      </c>
    </row>
    <row r="71" spans="1:9" x14ac:dyDescent="0.25">
      <c r="A71">
        <v>1000</v>
      </c>
      <c r="B71">
        <v>1869.04126</v>
      </c>
      <c r="C71">
        <v>-7.7821189999999998</v>
      </c>
      <c r="D71" t="s">
        <v>78</v>
      </c>
      <c r="E71">
        <f t="shared" si="5"/>
        <v>385.04125999999997</v>
      </c>
      <c r="F71">
        <f t="shared" si="7"/>
        <v>6.6312599999999406</v>
      </c>
      <c r="G71">
        <v>690</v>
      </c>
      <c r="H71">
        <f t="shared" si="8"/>
        <v>1.8917948313903203</v>
      </c>
      <c r="I71">
        <f t="shared" si="6"/>
        <v>7.5331808831883498</v>
      </c>
    </row>
    <row r="72" spans="1:9" x14ac:dyDescent="0.25">
      <c r="A72">
        <v>1000</v>
      </c>
      <c r="B72">
        <v>1868.7413329999999</v>
      </c>
      <c r="C72">
        <v>-7.767817</v>
      </c>
      <c r="D72" t="s">
        <v>79</v>
      </c>
      <c r="E72">
        <f t="shared" si="5"/>
        <v>384.74133299999994</v>
      </c>
      <c r="F72">
        <f t="shared" si="7"/>
        <v>6.3313329999999155</v>
      </c>
      <c r="G72">
        <v>700</v>
      </c>
      <c r="H72">
        <f t="shared" si="8"/>
        <v>1.8455107985044317</v>
      </c>
      <c r="I72">
        <f t="shared" si="6"/>
        <v>7.5330203992687101</v>
      </c>
    </row>
    <row r="73" spans="1:9" x14ac:dyDescent="0.25">
      <c r="A73">
        <v>1000</v>
      </c>
      <c r="B73">
        <v>1869.1697999999999</v>
      </c>
      <c r="C73">
        <v>-7.7622429999999998</v>
      </c>
      <c r="D73" t="s">
        <v>80</v>
      </c>
      <c r="E73">
        <f t="shared" si="5"/>
        <v>385.1697999999999</v>
      </c>
      <c r="F73">
        <f t="shared" si="7"/>
        <v>6.7597999999998706</v>
      </c>
      <c r="G73">
        <v>710</v>
      </c>
      <c r="H73">
        <f t="shared" si="8"/>
        <v>1.9109933038183686</v>
      </c>
      <c r="I73">
        <f t="shared" si="6"/>
        <v>7.5332496540511968</v>
      </c>
    </row>
    <row r="74" spans="1:9" x14ac:dyDescent="0.25">
      <c r="A74">
        <v>1000</v>
      </c>
      <c r="B74">
        <v>1868.7889399999999</v>
      </c>
      <c r="C74">
        <v>-7.7207699999999999</v>
      </c>
      <c r="D74" t="s">
        <v>172</v>
      </c>
      <c r="E74">
        <f t="shared" si="5"/>
        <v>384.78893999999991</v>
      </c>
      <c r="F74">
        <f t="shared" si="7"/>
        <v>6.3789399999998864</v>
      </c>
      <c r="G74">
        <v>720</v>
      </c>
      <c r="H74">
        <f t="shared" si="8"/>
        <v>1.8530019393525772</v>
      </c>
      <c r="I74">
        <f t="shared" si="6"/>
        <v>7.5330458743800941</v>
      </c>
    </row>
    <row r="75" spans="1:9" x14ac:dyDescent="0.25">
      <c r="A75">
        <v>1000</v>
      </c>
      <c r="B75">
        <v>1868.164307</v>
      </c>
      <c r="C75">
        <v>-7.7115910000000003</v>
      </c>
      <c r="D75" t="s">
        <v>82</v>
      </c>
      <c r="E75">
        <f t="shared" si="5"/>
        <v>384.16430700000001</v>
      </c>
      <c r="F75">
        <f t="shared" si="7"/>
        <v>5.754306999999983</v>
      </c>
      <c r="G75">
        <v>730</v>
      </c>
      <c r="H75">
        <f t="shared" si="8"/>
        <v>1.7499486178944599</v>
      </c>
      <c r="I75">
        <f t="shared" si="6"/>
        <v>7.5327115737000847</v>
      </c>
    </row>
    <row r="76" spans="1:9" x14ac:dyDescent="0.25">
      <c r="A76">
        <v>1000</v>
      </c>
      <c r="B76">
        <v>1868.205811</v>
      </c>
      <c r="C76">
        <v>-7.7215210000000001</v>
      </c>
      <c r="D76" t="s">
        <v>83</v>
      </c>
      <c r="E76">
        <f t="shared" si="5"/>
        <v>384.20581100000004</v>
      </c>
      <c r="F76">
        <f t="shared" si="7"/>
        <v>5.7958110000000147</v>
      </c>
      <c r="G76">
        <v>740</v>
      </c>
      <c r="H76">
        <f t="shared" si="8"/>
        <v>1.7571354152311112</v>
      </c>
      <c r="I76">
        <f t="shared" si="6"/>
        <v>7.5327337899145874</v>
      </c>
    </row>
    <row r="77" spans="1:9" x14ac:dyDescent="0.25">
      <c r="A77">
        <v>1000</v>
      </c>
      <c r="B77">
        <v>1867.3729249999999</v>
      </c>
      <c r="C77">
        <v>-7.6978070000000001</v>
      </c>
      <c r="D77" t="s">
        <v>84</v>
      </c>
      <c r="E77">
        <f t="shared" si="5"/>
        <v>383.3729249999999</v>
      </c>
      <c r="F77">
        <f t="shared" si="7"/>
        <v>4.9629249999998706</v>
      </c>
      <c r="G77">
        <v>750</v>
      </c>
      <c r="H77">
        <f t="shared" si="8"/>
        <v>1.6019952846635692</v>
      </c>
      <c r="I77">
        <f t="shared" si="6"/>
        <v>7.5322878691763764</v>
      </c>
    </row>
    <row r="78" spans="1:9" x14ac:dyDescent="0.25">
      <c r="A78">
        <v>1000</v>
      </c>
      <c r="B78">
        <v>1867.26062</v>
      </c>
      <c r="C78">
        <v>-7.6785600000000001</v>
      </c>
      <c r="D78" t="s">
        <v>85</v>
      </c>
      <c r="E78">
        <f t="shared" si="5"/>
        <v>383.26062000000002</v>
      </c>
      <c r="F78">
        <f t="shared" si="7"/>
        <v>4.8506199999999922</v>
      </c>
      <c r="G78">
        <v>760</v>
      </c>
      <c r="H78">
        <f t="shared" si="8"/>
        <v>1.5791065318307327</v>
      </c>
      <c r="I78">
        <f t="shared" si="6"/>
        <v>7.5322277267293698</v>
      </c>
    </row>
    <row r="79" spans="1:9" x14ac:dyDescent="0.25">
      <c r="A79">
        <v>1000</v>
      </c>
      <c r="B79">
        <v>1867.2456050000001</v>
      </c>
      <c r="C79">
        <v>-7.654585</v>
      </c>
      <c r="D79" t="s">
        <v>173</v>
      </c>
      <c r="E79">
        <f t="shared" si="5"/>
        <v>383.24560500000007</v>
      </c>
      <c r="F79">
        <f t="shared" si="7"/>
        <v>4.8356050000000437</v>
      </c>
      <c r="G79">
        <v>770</v>
      </c>
      <c r="H79">
        <f t="shared" si="8"/>
        <v>1.5760062503430234</v>
      </c>
      <c r="I79">
        <f t="shared" si="6"/>
        <v>7.5322196855056607</v>
      </c>
    </row>
    <row r="80" spans="1:9" x14ac:dyDescent="0.25">
      <c r="A80">
        <v>1000</v>
      </c>
      <c r="B80">
        <v>1866.4194339999999</v>
      </c>
      <c r="C80">
        <v>-7.6389310000000004</v>
      </c>
      <c r="D80" t="s">
        <v>174</v>
      </c>
      <c r="E80">
        <f t="shared" si="5"/>
        <v>382.41943399999991</v>
      </c>
      <c r="F80">
        <f t="shared" si="7"/>
        <v>4.0094339999998851</v>
      </c>
      <c r="G80">
        <v>780</v>
      </c>
      <c r="H80">
        <f t="shared" si="8"/>
        <v>1.3886500842240856</v>
      </c>
      <c r="I80">
        <f t="shared" si="6"/>
        <v>7.5317771332119472</v>
      </c>
    </row>
    <row r="81" spans="1:9" x14ac:dyDescent="0.25">
      <c r="A81">
        <v>1000</v>
      </c>
      <c r="B81">
        <v>1865.5695800000001</v>
      </c>
      <c r="C81">
        <v>-7.6038920000000001</v>
      </c>
      <c r="D81" t="s">
        <v>88</v>
      </c>
      <c r="E81">
        <f t="shared" si="5"/>
        <v>381.56958000000009</v>
      </c>
      <c r="F81">
        <f t="shared" si="7"/>
        <v>3.1595800000000622</v>
      </c>
      <c r="G81">
        <v>790</v>
      </c>
      <c r="H81">
        <f t="shared" si="8"/>
        <v>1.1504391073729336</v>
      </c>
      <c r="I81">
        <f t="shared" si="6"/>
        <v>7.5313216902770925</v>
      </c>
    </row>
    <row r="82" spans="1:9" x14ac:dyDescent="0.25">
      <c r="A82">
        <v>1000</v>
      </c>
      <c r="B82">
        <v>1865.931519</v>
      </c>
      <c r="C82">
        <v>-7.6043839999999996</v>
      </c>
      <c r="D82" t="s">
        <v>89</v>
      </c>
      <c r="E82">
        <f t="shared" si="5"/>
        <v>381.93151899999998</v>
      </c>
      <c r="F82">
        <f t="shared" si="7"/>
        <v>3.5215189999999552</v>
      </c>
      <c r="G82">
        <v>800</v>
      </c>
      <c r="H82">
        <f t="shared" si="8"/>
        <v>1.2588924306168445</v>
      </c>
      <c r="I82">
        <f t="shared" si="6"/>
        <v>7.5315156813769377</v>
      </c>
    </row>
    <row r="83" spans="1:9" x14ac:dyDescent="0.25">
      <c r="A83">
        <v>1000</v>
      </c>
      <c r="B83">
        <v>1865.569336</v>
      </c>
      <c r="C83">
        <v>-7.5922939999999999</v>
      </c>
      <c r="D83" t="s">
        <v>90</v>
      </c>
      <c r="E83">
        <f t="shared" si="5"/>
        <v>381.56933600000002</v>
      </c>
      <c r="F83">
        <f t="shared" si="7"/>
        <v>3.1593359999999961</v>
      </c>
      <c r="G83">
        <v>810</v>
      </c>
      <c r="H83">
        <f t="shared" si="8"/>
        <v>1.1503618789368577</v>
      </c>
      <c r="I83">
        <f t="shared" si="6"/>
        <v>7.5313215594859289</v>
      </c>
    </row>
    <row r="84" spans="1:9" x14ac:dyDescent="0.25">
      <c r="A84">
        <v>1000</v>
      </c>
      <c r="B84">
        <v>1865.477539</v>
      </c>
      <c r="C84">
        <v>-7.5843579999999999</v>
      </c>
      <c r="D84" t="s">
        <v>91</v>
      </c>
      <c r="E84">
        <f t="shared" si="5"/>
        <v>381.47753899999998</v>
      </c>
      <c r="F84">
        <f t="shared" si="7"/>
        <v>3.0675389999999538</v>
      </c>
      <c r="G84">
        <v>820</v>
      </c>
      <c r="H84">
        <f t="shared" si="8"/>
        <v>1.1208756114585232</v>
      </c>
      <c r="I84">
        <f t="shared" si="6"/>
        <v>7.53127235238503</v>
      </c>
    </row>
    <row r="85" spans="1:9" x14ac:dyDescent="0.25">
      <c r="A85">
        <v>1000</v>
      </c>
      <c r="B85">
        <v>1865.4331050000001</v>
      </c>
      <c r="C85">
        <v>-7.5628419999999998</v>
      </c>
      <c r="D85" t="s">
        <v>92</v>
      </c>
      <c r="E85">
        <f t="shared" si="5"/>
        <v>381.43310500000007</v>
      </c>
      <c r="F85">
        <f t="shared" si="7"/>
        <v>3.0231050000000437</v>
      </c>
      <c r="G85">
        <v>830</v>
      </c>
      <c r="H85">
        <f t="shared" si="8"/>
        <v>1.1062844489023711</v>
      </c>
      <c r="I85">
        <f t="shared" si="6"/>
        <v>7.5312485329992329</v>
      </c>
    </row>
    <row r="86" spans="1:9" x14ac:dyDescent="0.25">
      <c r="A86">
        <v>1000</v>
      </c>
      <c r="B86">
        <v>1863.097168</v>
      </c>
      <c r="C86">
        <v>-7.5488270000000002</v>
      </c>
      <c r="D86" t="s">
        <v>93</v>
      </c>
      <c r="E86">
        <f t="shared" si="5"/>
        <v>379.09716800000001</v>
      </c>
      <c r="F86">
        <f t="shared" si="7"/>
        <v>0.68716799999998557</v>
      </c>
      <c r="G86">
        <v>840</v>
      </c>
      <c r="H86">
        <f t="shared" si="8"/>
        <v>-0.37517647517048774</v>
      </c>
      <c r="I86">
        <f t="shared" si="6"/>
        <v>7.5299955259779194</v>
      </c>
    </row>
    <row r="87" spans="1:9" x14ac:dyDescent="0.25">
      <c r="A87">
        <v>1000</v>
      </c>
      <c r="B87">
        <v>1862.5419919999999</v>
      </c>
      <c r="C87">
        <v>-7.512149</v>
      </c>
      <c r="D87" t="s">
        <v>175</v>
      </c>
      <c r="E87">
        <f t="shared" si="5"/>
        <v>378.54199199999994</v>
      </c>
      <c r="F87">
        <f t="shared" si="7"/>
        <v>0.13199199999991151</v>
      </c>
      <c r="G87">
        <v>850</v>
      </c>
      <c r="H87">
        <f t="shared" si="8"/>
        <v>-2.025013964293664</v>
      </c>
      <c r="I87">
        <f t="shared" si="6"/>
        <v>7.5296974960398249</v>
      </c>
    </row>
    <row r="88" spans="1:9" x14ac:dyDescent="0.25">
      <c r="A88">
        <v>1000</v>
      </c>
      <c r="B88">
        <v>1862.367798</v>
      </c>
      <c r="C88">
        <v>-7.4781890000000004</v>
      </c>
      <c r="D88" t="s">
        <v>95</v>
      </c>
      <c r="E88">
        <f t="shared" si="5"/>
        <v>378.36779799999999</v>
      </c>
      <c r="F88">
        <f t="shared" si="7"/>
        <v>-4.2202000000031603E-2</v>
      </c>
      <c r="G88">
        <v>860</v>
      </c>
      <c r="H88" t="e">
        <f t="shared" si="8"/>
        <v>#NUM!</v>
      </c>
      <c r="I88">
        <f t="shared" si="6"/>
        <v>7.5296039667948511</v>
      </c>
    </row>
    <row r="89" spans="1:9" x14ac:dyDescent="0.25">
      <c r="A89">
        <v>1000</v>
      </c>
      <c r="B89">
        <v>1861.653198</v>
      </c>
      <c r="C89">
        <v>-7.4735719999999999</v>
      </c>
      <c r="D89" t="s">
        <v>96</v>
      </c>
      <c r="E89">
        <f t="shared" si="5"/>
        <v>377.65319799999997</v>
      </c>
      <c r="F89">
        <f t="shared" si="7"/>
        <v>-0.75680200000005016</v>
      </c>
      <c r="G89">
        <v>870</v>
      </c>
      <c r="H89" t="e">
        <f t="shared" si="8"/>
        <v>#NUM!</v>
      </c>
      <c r="I89">
        <f t="shared" si="6"/>
        <v>7.5292201880731211</v>
      </c>
    </row>
    <row r="90" spans="1:9" x14ac:dyDescent="0.25">
      <c r="A90">
        <v>1000</v>
      </c>
      <c r="B90">
        <v>1861.7661129999999</v>
      </c>
      <c r="C90">
        <v>-7.4550890000000001</v>
      </c>
      <c r="D90" t="s">
        <v>97</v>
      </c>
      <c r="E90">
        <f t="shared" si="5"/>
        <v>377.7661129999999</v>
      </c>
      <c r="F90">
        <f t="shared" si="7"/>
        <v>-0.64388700000012022</v>
      </c>
      <c r="G90">
        <v>880</v>
      </c>
      <c r="H90" t="e">
        <f t="shared" si="8"/>
        <v>#NUM!</v>
      </c>
      <c r="I90">
        <f t="shared" si="6"/>
        <v>7.5292808393136088</v>
      </c>
    </row>
    <row r="91" spans="1:9" x14ac:dyDescent="0.25">
      <c r="A91">
        <v>1000</v>
      </c>
      <c r="B91">
        <v>1862.0860600000001</v>
      </c>
      <c r="C91">
        <v>-7.45106</v>
      </c>
      <c r="D91" t="s">
        <v>98</v>
      </c>
      <c r="E91">
        <f t="shared" si="5"/>
        <v>378.08606000000009</v>
      </c>
      <c r="F91">
        <f t="shared" si="7"/>
        <v>-0.32393999999993639</v>
      </c>
      <c r="G91">
        <v>890</v>
      </c>
      <c r="H91" t="e">
        <f t="shared" si="8"/>
        <v>#NUM!</v>
      </c>
      <c r="I91">
        <f t="shared" si="6"/>
        <v>7.5294526758881686</v>
      </c>
    </row>
    <row r="92" spans="1:9" x14ac:dyDescent="0.25">
      <c r="A92">
        <v>1000</v>
      </c>
      <c r="B92">
        <v>1861.9729</v>
      </c>
      <c r="C92">
        <v>-7.4499129999999996</v>
      </c>
      <c r="D92" t="s">
        <v>99</v>
      </c>
      <c r="E92">
        <f t="shared" si="5"/>
        <v>377.97289999999998</v>
      </c>
      <c r="F92">
        <f t="shared" si="7"/>
        <v>-0.43710000000004356</v>
      </c>
      <c r="G92">
        <v>900</v>
      </c>
      <c r="H92" t="e">
        <f t="shared" si="8"/>
        <v>#NUM!</v>
      </c>
      <c r="I92">
        <f t="shared" si="6"/>
        <v>7.5293919034883485</v>
      </c>
    </row>
    <row r="93" spans="1:9" x14ac:dyDescent="0.25">
      <c r="A93">
        <v>1000</v>
      </c>
      <c r="B93">
        <v>1861.921875</v>
      </c>
      <c r="C93">
        <v>-7.4214570000000002</v>
      </c>
      <c r="D93" t="s">
        <v>100</v>
      </c>
      <c r="E93">
        <f t="shared" si="5"/>
        <v>377.921875</v>
      </c>
      <c r="F93">
        <f t="shared" si="7"/>
        <v>-0.48812500000002501</v>
      </c>
      <c r="G93">
        <v>910</v>
      </c>
      <c r="H93" t="e">
        <f t="shared" si="8"/>
        <v>#NUM!</v>
      </c>
      <c r="I93">
        <f t="shared" si="6"/>
        <v>7.5293644993842666</v>
      </c>
    </row>
    <row r="94" spans="1:9" x14ac:dyDescent="0.25">
      <c r="A94">
        <v>1000</v>
      </c>
      <c r="B94">
        <v>1862.0023189999999</v>
      </c>
      <c r="C94">
        <v>-7.4054200000000003</v>
      </c>
      <c r="D94" t="s">
        <v>101</v>
      </c>
      <c r="E94">
        <f t="shared" si="5"/>
        <v>378.00231899999994</v>
      </c>
      <c r="F94">
        <f t="shared" si="7"/>
        <v>-0.40768100000008189</v>
      </c>
      <c r="G94">
        <v>920</v>
      </c>
      <c r="H94" t="e">
        <f t="shared" si="8"/>
        <v>#NUM!</v>
      </c>
      <c r="I94">
        <f t="shared" si="6"/>
        <v>7.5294077032712527</v>
      </c>
    </row>
    <row r="95" spans="1:9" x14ac:dyDescent="0.25">
      <c r="A95">
        <v>1000</v>
      </c>
      <c r="B95">
        <v>1861.1248780000001</v>
      </c>
      <c r="C95">
        <v>-7.3908180000000003</v>
      </c>
      <c r="D95" t="s">
        <v>176</v>
      </c>
      <c r="E95">
        <f t="shared" si="5"/>
        <v>377.12487800000008</v>
      </c>
      <c r="F95">
        <f t="shared" si="7"/>
        <v>-1.2851219999999444</v>
      </c>
      <c r="G95">
        <v>930</v>
      </c>
      <c r="H95" t="e">
        <f t="shared" si="8"/>
        <v>#NUM!</v>
      </c>
      <c r="I95">
        <f t="shared" si="6"/>
        <v>7.5289363570239631</v>
      </c>
    </row>
    <row r="96" spans="1:9" x14ac:dyDescent="0.25">
      <c r="A96">
        <v>1000</v>
      </c>
      <c r="B96">
        <v>1861.450439</v>
      </c>
      <c r="C96">
        <v>-7.3686879999999997</v>
      </c>
      <c r="D96" t="s">
        <v>103</v>
      </c>
      <c r="E96">
        <f t="shared" si="5"/>
        <v>377.45043899999996</v>
      </c>
      <c r="F96">
        <f t="shared" si="7"/>
        <v>-0.95956100000006472</v>
      </c>
      <c r="G96">
        <v>940</v>
      </c>
      <c r="H96" t="e">
        <f t="shared" si="8"/>
        <v>#NUM!</v>
      </c>
      <c r="I96">
        <f t="shared" si="6"/>
        <v>7.529111268730567</v>
      </c>
    </row>
    <row r="97" spans="1:9" x14ac:dyDescent="0.25">
      <c r="A97">
        <v>1000</v>
      </c>
      <c r="B97">
        <v>1861.5595699999999</v>
      </c>
      <c r="C97">
        <v>-7.3683050000000003</v>
      </c>
      <c r="D97" t="s">
        <v>177</v>
      </c>
      <c r="E97">
        <f t="shared" si="5"/>
        <v>377.55956999999989</v>
      </c>
      <c r="F97">
        <f t="shared" si="7"/>
        <v>-0.8504300000001308</v>
      </c>
      <c r="G97">
        <v>950</v>
      </c>
      <c r="H97" t="e">
        <f t="shared" si="8"/>
        <v>#NUM!</v>
      </c>
      <c r="I97">
        <f t="shared" si="6"/>
        <v>7.5291698938751503</v>
      </c>
    </row>
    <row r="98" spans="1:9" x14ac:dyDescent="0.25">
      <c r="A98">
        <v>1000</v>
      </c>
      <c r="B98">
        <v>1861.86499</v>
      </c>
      <c r="C98">
        <v>-7.3519540000000001</v>
      </c>
      <c r="D98" t="s">
        <v>105</v>
      </c>
      <c r="E98">
        <f t="shared" si="5"/>
        <v>377.86499000000003</v>
      </c>
      <c r="F98">
        <f t="shared" si="7"/>
        <v>-0.54500999999999067</v>
      </c>
      <c r="G98">
        <v>960</v>
      </c>
      <c r="H98" t="e">
        <f t="shared" si="8"/>
        <v>#NUM!</v>
      </c>
      <c r="I98">
        <f t="shared" ref="I98:I129" si="9">LN(B98)</f>
        <v>7.5293339471523222</v>
      </c>
    </row>
    <row r="99" spans="1:9" x14ac:dyDescent="0.25">
      <c r="A99">
        <v>1000</v>
      </c>
      <c r="B99">
        <v>1862.2222899999999</v>
      </c>
      <c r="C99">
        <v>-7.344468</v>
      </c>
      <c r="D99" t="s">
        <v>106</v>
      </c>
      <c r="E99">
        <f t="shared" si="5"/>
        <v>378.22228999999993</v>
      </c>
      <c r="F99">
        <f t="shared" si="7"/>
        <v>-0.18771000000009508</v>
      </c>
      <c r="G99">
        <v>970</v>
      </c>
      <c r="H99" t="e">
        <f t="shared" si="8"/>
        <v>#NUM!</v>
      </c>
      <c r="I99">
        <f t="shared" si="9"/>
        <v>7.5295258330960353</v>
      </c>
    </row>
    <row r="100" spans="1:9" x14ac:dyDescent="0.25">
      <c r="A100">
        <v>1000</v>
      </c>
      <c r="B100">
        <v>1861.7669679999999</v>
      </c>
      <c r="C100">
        <v>-7.3371320000000004</v>
      </c>
      <c r="D100" t="s">
        <v>178</v>
      </c>
      <c r="E100">
        <f t="shared" si="5"/>
        <v>377.76696799999991</v>
      </c>
      <c r="F100">
        <f t="shared" si="7"/>
        <v>-0.64303200000011884</v>
      </c>
      <c r="G100">
        <v>980</v>
      </c>
      <c r="H100" t="e">
        <f t="shared" si="8"/>
        <v>#NUM!</v>
      </c>
      <c r="I100">
        <f t="shared" si="9"/>
        <v>7.5292812985548627</v>
      </c>
    </row>
    <row r="101" spans="1:9" x14ac:dyDescent="0.25">
      <c r="A101">
        <v>1000</v>
      </c>
      <c r="B101">
        <v>1862.0214840000001</v>
      </c>
      <c r="C101">
        <v>-7.3354379999999999</v>
      </c>
      <c r="D101" t="s">
        <v>108</v>
      </c>
      <c r="E101">
        <f t="shared" si="5"/>
        <v>378.0214840000001</v>
      </c>
      <c r="F101">
        <f t="shared" si="7"/>
        <v>-0.38851599999992459</v>
      </c>
      <c r="G101">
        <v>990</v>
      </c>
      <c r="H101" t="e">
        <f t="shared" si="8"/>
        <v>#NUM!</v>
      </c>
      <c r="I101">
        <f t="shared" si="9"/>
        <v>7.5294179959014906</v>
      </c>
    </row>
    <row r="102" spans="1:9" x14ac:dyDescent="0.25">
      <c r="A102">
        <v>1000</v>
      </c>
      <c r="B102">
        <v>1862.135986</v>
      </c>
      <c r="C102">
        <v>-7.3169690000000003</v>
      </c>
      <c r="D102" t="s">
        <v>109</v>
      </c>
      <c r="E102">
        <f t="shared" si="5"/>
        <v>378.135986</v>
      </c>
      <c r="F102">
        <f t="shared" si="7"/>
        <v>-0.27401400000002241</v>
      </c>
      <c r="G102">
        <v>1000</v>
      </c>
      <c r="H102" t="e">
        <f t="shared" si="8"/>
        <v>#NUM!</v>
      </c>
      <c r="I102">
        <f t="shared" si="9"/>
        <v>7.5294794873937052</v>
      </c>
    </row>
    <row r="103" spans="1:9" x14ac:dyDescent="0.25">
      <c r="A103">
        <v>1000</v>
      </c>
      <c r="B103">
        <v>1862.5177000000001</v>
      </c>
      <c r="C103">
        <v>-7.3026809999999998</v>
      </c>
      <c r="D103" t="s">
        <v>110</v>
      </c>
      <c r="E103">
        <f t="shared" si="5"/>
        <v>378.5177000000001</v>
      </c>
      <c r="F103">
        <f t="shared" si="7"/>
        <v>0.1077000000000794</v>
      </c>
      <c r="G103">
        <v>1010</v>
      </c>
      <c r="H103">
        <f t="shared" si="8"/>
        <v>-2.2284056948190569</v>
      </c>
      <c r="I103">
        <f t="shared" si="9"/>
        <v>7.5296844535642631</v>
      </c>
    </row>
    <row r="104" spans="1:9" x14ac:dyDescent="0.25">
      <c r="A104">
        <v>1000</v>
      </c>
      <c r="B104">
        <v>1862.2935789999999</v>
      </c>
      <c r="C104">
        <v>-7.3029809999999999</v>
      </c>
      <c r="D104" t="s">
        <v>111</v>
      </c>
      <c r="E104">
        <f t="shared" si="5"/>
        <v>378.29357899999991</v>
      </c>
      <c r="F104">
        <f t="shared" si="7"/>
        <v>-0.11642100000011624</v>
      </c>
      <c r="G104">
        <v>1020</v>
      </c>
      <c r="H104" t="e">
        <f t="shared" si="8"/>
        <v>#NUM!</v>
      </c>
      <c r="I104">
        <f t="shared" si="9"/>
        <v>7.5295641140444944</v>
      </c>
    </row>
    <row r="105" spans="1:9" x14ac:dyDescent="0.25">
      <c r="A105">
        <v>1000</v>
      </c>
      <c r="B105">
        <v>1861.822876</v>
      </c>
      <c r="C105">
        <v>-7.2672730000000003</v>
      </c>
      <c r="D105" t="s">
        <v>112</v>
      </c>
      <c r="E105">
        <f t="shared" si="5"/>
        <v>377.82287599999995</v>
      </c>
      <c r="F105">
        <f t="shared" si="7"/>
        <v>-0.58712400000007392</v>
      </c>
      <c r="G105">
        <v>1030</v>
      </c>
      <c r="H105" t="e">
        <f t="shared" si="8"/>
        <v>#NUM!</v>
      </c>
      <c r="I105">
        <f t="shared" si="9"/>
        <v>7.5293113276409578</v>
      </c>
    </row>
    <row r="106" spans="1:9" x14ac:dyDescent="0.25">
      <c r="A106">
        <v>1000</v>
      </c>
      <c r="B106">
        <v>1861.9776609999999</v>
      </c>
      <c r="C106">
        <v>-7.2703740000000003</v>
      </c>
      <c r="D106" t="s">
        <v>113</v>
      </c>
      <c r="E106">
        <f t="shared" si="5"/>
        <v>377.9776609999999</v>
      </c>
      <c r="F106">
        <f t="shared" si="7"/>
        <v>-0.43233900000012682</v>
      </c>
      <c r="G106">
        <v>1040</v>
      </c>
      <c r="H106" t="e">
        <f t="shared" si="8"/>
        <v>#NUM!</v>
      </c>
      <c r="I106">
        <f t="shared" si="9"/>
        <v>7.5293944604503285</v>
      </c>
    </row>
    <row r="107" spans="1:9" x14ac:dyDescent="0.25">
      <c r="A107">
        <v>1000</v>
      </c>
      <c r="B107">
        <v>1862.316284</v>
      </c>
      <c r="C107">
        <v>-7.2516179999999997</v>
      </c>
      <c r="D107" t="s">
        <v>179</v>
      </c>
      <c r="E107">
        <f t="shared" si="5"/>
        <v>378.316284</v>
      </c>
      <c r="F107">
        <f t="shared" si="7"/>
        <v>-9.3716000000028998E-2</v>
      </c>
      <c r="G107">
        <v>1050</v>
      </c>
      <c r="H107" t="e">
        <f t="shared" si="8"/>
        <v>#NUM!</v>
      </c>
      <c r="I107">
        <f t="shared" si="9"/>
        <v>7.5295763059254357</v>
      </c>
    </row>
    <row r="108" spans="1:9" x14ac:dyDescent="0.25">
      <c r="A108">
        <v>1000</v>
      </c>
      <c r="B108">
        <v>1861.7310789999999</v>
      </c>
      <c r="C108">
        <v>-7.2343650000000004</v>
      </c>
      <c r="D108" t="s">
        <v>115</v>
      </c>
      <c r="E108">
        <f t="shared" si="5"/>
        <v>377.73107899999991</v>
      </c>
      <c r="F108">
        <f t="shared" si="7"/>
        <v>-0.67892100000011624</v>
      </c>
      <c r="G108">
        <v>1060</v>
      </c>
      <c r="H108" t="e">
        <f t="shared" si="8"/>
        <v>#NUM!</v>
      </c>
      <c r="I108">
        <f t="shared" si="9"/>
        <v>7.529262021520446</v>
      </c>
    </row>
    <row r="109" spans="1:9" x14ac:dyDescent="0.25">
      <c r="A109">
        <v>1000</v>
      </c>
      <c r="B109">
        <v>1862.517822</v>
      </c>
      <c r="C109">
        <v>-7.2420970000000002</v>
      </c>
      <c r="D109" t="s">
        <v>116</v>
      </c>
      <c r="E109">
        <f t="shared" si="5"/>
        <v>378.51782200000002</v>
      </c>
      <c r="F109">
        <f t="shared" si="7"/>
        <v>0.10782199999999875</v>
      </c>
      <c r="G109">
        <v>1070</v>
      </c>
      <c r="H109">
        <f t="shared" si="8"/>
        <v>-2.2272735596964224</v>
      </c>
      <c r="I109">
        <f t="shared" si="9"/>
        <v>7.5296845190669934</v>
      </c>
    </row>
    <row r="110" spans="1:9" x14ac:dyDescent="0.25">
      <c r="A110">
        <v>1000</v>
      </c>
      <c r="B110">
        <v>1862.217529</v>
      </c>
      <c r="C110">
        <v>-7.237876</v>
      </c>
      <c r="D110" t="s">
        <v>117</v>
      </c>
      <c r="E110">
        <f t="shared" si="5"/>
        <v>378.21752900000001</v>
      </c>
      <c r="F110">
        <f t="shared" si="7"/>
        <v>-0.19247100000001183</v>
      </c>
      <c r="G110">
        <v>1080</v>
      </c>
      <c r="H110" t="e">
        <f t="shared" si="8"/>
        <v>#NUM!</v>
      </c>
      <c r="I110">
        <f t="shared" si="9"/>
        <v>7.5295232764699485</v>
      </c>
    </row>
    <row r="111" spans="1:9" x14ac:dyDescent="0.25">
      <c r="A111">
        <v>1000</v>
      </c>
      <c r="B111">
        <v>1862.4018550000001</v>
      </c>
      <c r="C111">
        <v>-7.2160190000000002</v>
      </c>
      <c r="D111" t="s">
        <v>118</v>
      </c>
      <c r="E111">
        <f t="shared" si="5"/>
        <v>378.40185500000007</v>
      </c>
      <c r="F111">
        <f t="shared" si="7"/>
        <v>-8.1449999999563261E-3</v>
      </c>
      <c r="G111">
        <v>1090</v>
      </c>
      <c r="H111" t="e">
        <f t="shared" si="8"/>
        <v>#NUM!</v>
      </c>
      <c r="I111">
        <f t="shared" si="9"/>
        <v>7.5296222535632547</v>
      </c>
    </row>
    <row r="112" spans="1:9" x14ac:dyDescent="0.25">
      <c r="A112">
        <v>1000</v>
      </c>
      <c r="B112">
        <v>1862.4785159999999</v>
      </c>
      <c r="C112">
        <v>-7.2180960000000001</v>
      </c>
      <c r="D112" t="s">
        <v>119</v>
      </c>
      <c r="E112">
        <f t="shared" si="5"/>
        <v>378.4785159999999</v>
      </c>
      <c r="F112">
        <f t="shared" si="7"/>
        <v>6.8515999999874566E-2</v>
      </c>
      <c r="G112">
        <v>1100</v>
      </c>
      <c r="H112">
        <f t="shared" si="8"/>
        <v>-2.6806879843482294</v>
      </c>
      <c r="I112">
        <f t="shared" si="9"/>
        <v>7.5296634151536281</v>
      </c>
    </row>
    <row r="113" spans="1:9" x14ac:dyDescent="0.25">
      <c r="A113">
        <v>1000</v>
      </c>
      <c r="B113">
        <v>1862.3519289999999</v>
      </c>
      <c r="C113">
        <v>-7.2307309999999996</v>
      </c>
      <c r="D113" t="s">
        <v>120</v>
      </c>
      <c r="E113">
        <f t="shared" si="5"/>
        <v>378.35192899999993</v>
      </c>
      <c r="F113">
        <f t="shared" si="7"/>
        <v>-5.8071000000097683E-2</v>
      </c>
      <c r="G113">
        <v>1110</v>
      </c>
      <c r="H113" t="e">
        <f t="shared" si="8"/>
        <v>#NUM!</v>
      </c>
      <c r="I113">
        <f t="shared" si="9"/>
        <v>7.5295954458852723</v>
      </c>
    </row>
    <row r="114" spans="1:9" x14ac:dyDescent="0.25">
      <c r="A114">
        <v>1000</v>
      </c>
      <c r="B114">
        <v>1863.650269</v>
      </c>
      <c r="C114">
        <v>-7.2515499999999999</v>
      </c>
      <c r="D114" t="s">
        <v>180</v>
      </c>
      <c r="E114">
        <f t="shared" si="5"/>
        <v>379.65026899999998</v>
      </c>
      <c r="F114">
        <f t="shared" si="7"/>
        <v>1.2402689999999552</v>
      </c>
      <c r="G114">
        <v>1120</v>
      </c>
      <c r="H114">
        <f t="shared" si="8"/>
        <v>0.21532829157368077</v>
      </c>
      <c r="I114">
        <f t="shared" si="9"/>
        <v>7.5302923537149269</v>
      </c>
    </row>
    <row r="115" spans="1:9" x14ac:dyDescent="0.25">
      <c r="A115">
        <v>1000</v>
      </c>
      <c r="B115">
        <v>1862.8764650000001</v>
      </c>
      <c r="C115">
        <v>-7.2311550000000002</v>
      </c>
      <c r="D115" t="s">
        <v>181</v>
      </c>
      <c r="E115">
        <f t="shared" si="5"/>
        <v>378.87646500000005</v>
      </c>
      <c r="F115">
        <f t="shared" si="7"/>
        <v>0.46646500000002789</v>
      </c>
      <c r="G115">
        <v>1130</v>
      </c>
      <c r="H115">
        <f t="shared" si="8"/>
        <v>-0.76257228830461354</v>
      </c>
      <c r="I115">
        <f t="shared" si="9"/>
        <v>7.5298770586874895</v>
      </c>
    </row>
    <row r="116" spans="1:9" x14ac:dyDescent="0.25">
      <c r="A116">
        <v>1000</v>
      </c>
      <c r="B116">
        <v>1863.291626</v>
      </c>
      <c r="C116">
        <v>-7.2144890000000004</v>
      </c>
      <c r="D116" t="s">
        <v>182</v>
      </c>
      <c r="E116">
        <f t="shared" si="5"/>
        <v>379.29162599999995</v>
      </c>
      <c r="F116">
        <f t="shared" si="7"/>
        <v>0.88162599999992608</v>
      </c>
      <c r="G116">
        <v>1140</v>
      </c>
      <c r="H116">
        <f t="shared" si="8"/>
        <v>-0.12598734918541557</v>
      </c>
      <c r="I116">
        <f t="shared" si="9"/>
        <v>7.5300998940462707</v>
      </c>
    </row>
    <row r="117" spans="1:9" x14ac:dyDescent="0.25">
      <c r="A117">
        <v>1000</v>
      </c>
      <c r="B117">
        <v>1864.0601810000001</v>
      </c>
      <c r="C117">
        <v>-7.2109379999999996</v>
      </c>
      <c r="D117" t="s">
        <v>183</v>
      </c>
      <c r="E117">
        <f t="shared" si="5"/>
        <v>380.06018100000006</v>
      </c>
      <c r="F117">
        <f t="shared" si="7"/>
        <v>1.6501810000000319</v>
      </c>
      <c r="G117">
        <v>1150</v>
      </c>
      <c r="H117">
        <f t="shared" si="8"/>
        <v>0.50088497886593297</v>
      </c>
      <c r="I117">
        <f t="shared" si="9"/>
        <v>7.5305122806685629</v>
      </c>
    </row>
    <row r="118" spans="1:9" x14ac:dyDescent="0.25">
      <c r="A118">
        <v>1000</v>
      </c>
      <c r="B118">
        <v>1863.896851</v>
      </c>
      <c r="C118">
        <v>-7.1999139999999997</v>
      </c>
      <c r="D118" t="s">
        <v>184</v>
      </c>
      <c r="E118">
        <f t="shared" si="5"/>
        <v>379.89685099999997</v>
      </c>
      <c r="F118">
        <f t="shared" si="7"/>
        <v>1.4868509999999446</v>
      </c>
      <c r="G118">
        <v>1160</v>
      </c>
      <c r="H118">
        <f t="shared" si="8"/>
        <v>0.39666046070896332</v>
      </c>
      <c r="I118">
        <f t="shared" si="9"/>
        <v>7.5304246562680115</v>
      </c>
    </row>
    <row r="119" spans="1:9" x14ac:dyDescent="0.25">
      <c r="A119">
        <v>1000</v>
      </c>
      <c r="B119">
        <v>1864.5893550000001</v>
      </c>
      <c r="C119">
        <v>-7.2363460000000002</v>
      </c>
      <c r="D119" t="s">
        <v>126</v>
      </c>
      <c r="E119">
        <f t="shared" si="5"/>
        <v>380.58935500000007</v>
      </c>
      <c r="F119">
        <f t="shared" si="7"/>
        <v>2.1793550000000437</v>
      </c>
      <c r="G119">
        <v>1170</v>
      </c>
      <c r="H119">
        <f t="shared" si="8"/>
        <v>0.77902896146275935</v>
      </c>
      <c r="I119">
        <f t="shared" si="9"/>
        <v>7.5307961228470477</v>
      </c>
    </row>
    <row r="120" spans="1:9" x14ac:dyDescent="0.25">
      <c r="A120">
        <v>1000</v>
      </c>
      <c r="B120">
        <v>1864.4133300000001</v>
      </c>
      <c r="C120">
        <v>-7.2205680000000001</v>
      </c>
      <c r="D120" t="s">
        <v>127</v>
      </c>
      <c r="E120">
        <f t="shared" si="5"/>
        <v>380.41333000000009</v>
      </c>
      <c r="F120">
        <f t="shared" si="7"/>
        <v>2.0033300000000622</v>
      </c>
      <c r="G120">
        <v>1180</v>
      </c>
      <c r="H120">
        <f t="shared" si="8"/>
        <v>0.69481079598414253</v>
      </c>
      <c r="I120">
        <f t="shared" si="9"/>
        <v>7.5307017142262982</v>
      </c>
    </row>
    <row r="121" spans="1:9" x14ac:dyDescent="0.25">
      <c r="A121">
        <v>1000</v>
      </c>
      <c r="B121">
        <v>1864.7910159999999</v>
      </c>
      <c r="C121">
        <v>-7.1813079999999996</v>
      </c>
      <c r="D121" t="s">
        <v>128</v>
      </c>
      <c r="E121">
        <f t="shared" si="5"/>
        <v>380.7910159999999</v>
      </c>
      <c r="F121">
        <f t="shared" si="7"/>
        <v>2.3810159999998746</v>
      </c>
      <c r="G121">
        <v>1190</v>
      </c>
      <c r="H121">
        <f t="shared" si="8"/>
        <v>0.86752728734769757</v>
      </c>
      <c r="I121">
        <f t="shared" si="9"/>
        <v>7.5309042700351245</v>
      </c>
    </row>
    <row r="122" spans="1:9" x14ac:dyDescent="0.25">
      <c r="A122">
        <v>1000</v>
      </c>
      <c r="B122">
        <v>1865.0523679999999</v>
      </c>
      <c r="C122">
        <v>-7.1615419999999999</v>
      </c>
      <c r="D122" t="s">
        <v>129</v>
      </c>
      <c r="E122">
        <f t="shared" si="5"/>
        <v>381.05236799999989</v>
      </c>
      <c r="F122">
        <f t="shared" si="7"/>
        <v>2.6423679999998626</v>
      </c>
      <c r="G122">
        <v>1200</v>
      </c>
      <c r="H122">
        <f t="shared" si="8"/>
        <v>0.97167548481821586</v>
      </c>
      <c r="I122">
        <f t="shared" si="9"/>
        <v>7.5310444110402663</v>
      </c>
    </row>
    <row r="123" spans="1:9" x14ac:dyDescent="0.25">
      <c r="A123">
        <v>1000</v>
      </c>
      <c r="B123">
        <v>1864.9404300000001</v>
      </c>
      <c r="C123">
        <v>-7.1605169999999996</v>
      </c>
      <c r="D123" t="s">
        <v>185</v>
      </c>
      <c r="E123">
        <f t="shared" si="5"/>
        <v>380.94043000000011</v>
      </c>
      <c r="F123">
        <f t="shared" si="7"/>
        <v>2.5304300000000808</v>
      </c>
      <c r="G123">
        <v>1210</v>
      </c>
      <c r="H123">
        <f t="shared" si="8"/>
        <v>0.92838924877212403</v>
      </c>
      <c r="I123">
        <f t="shared" si="9"/>
        <v>7.5309843905490244</v>
      </c>
    </row>
    <row r="124" spans="1:9" x14ac:dyDescent="0.25">
      <c r="A124">
        <v>1000</v>
      </c>
      <c r="B124">
        <v>1865.3226320000001</v>
      </c>
      <c r="C124">
        <v>-7.1462279999999998</v>
      </c>
      <c r="D124" t="s">
        <v>131</v>
      </c>
      <c r="E124">
        <f t="shared" si="5"/>
        <v>381.32263200000011</v>
      </c>
      <c r="F124">
        <f t="shared" si="7"/>
        <v>2.9126320000000874</v>
      </c>
      <c r="G124">
        <v>1220</v>
      </c>
      <c r="H124">
        <f t="shared" si="8"/>
        <v>1.0690571397532551</v>
      </c>
      <c r="I124">
        <f t="shared" si="9"/>
        <v>7.5311893101458383</v>
      </c>
    </row>
    <row r="125" spans="1:9" x14ac:dyDescent="0.25">
      <c r="A125">
        <v>1000</v>
      </c>
      <c r="B125">
        <v>1865.909302</v>
      </c>
      <c r="C125">
        <v>-7.1214209999999998</v>
      </c>
      <c r="D125" t="s">
        <v>186</v>
      </c>
      <c r="E125">
        <f t="shared" si="5"/>
        <v>381.90930200000003</v>
      </c>
      <c r="F125">
        <f t="shared" si="7"/>
        <v>3.4993020000000001</v>
      </c>
      <c r="G125">
        <v>1230</v>
      </c>
      <c r="H125">
        <f t="shared" si="8"/>
        <v>1.2525635200354177</v>
      </c>
      <c r="I125">
        <f t="shared" si="9"/>
        <v>7.531503774652581</v>
      </c>
    </row>
    <row r="126" spans="1:9" x14ac:dyDescent="0.25">
      <c r="A126">
        <v>1000</v>
      </c>
      <c r="B126">
        <v>1865.496948</v>
      </c>
      <c r="C126">
        <v>-7.1186069999999999</v>
      </c>
      <c r="D126" t="s">
        <v>187</v>
      </c>
      <c r="E126">
        <f t="shared" si="5"/>
        <v>381.49694799999997</v>
      </c>
      <c r="F126">
        <f t="shared" si="7"/>
        <v>3.0869479999999498</v>
      </c>
      <c r="G126">
        <v>1240</v>
      </c>
      <c r="H126">
        <f t="shared" si="8"/>
        <v>1.1271829005449587</v>
      </c>
      <c r="I126">
        <f t="shared" si="9"/>
        <v>7.5312827566373599</v>
      </c>
    </row>
    <row r="127" spans="1:9" x14ac:dyDescent="0.25">
      <c r="A127">
        <v>1000</v>
      </c>
      <c r="B127">
        <v>1867.6408690000001</v>
      </c>
      <c r="C127">
        <v>-7.2392690000000002</v>
      </c>
      <c r="D127" t="s">
        <v>134</v>
      </c>
      <c r="E127">
        <f t="shared" si="5"/>
        <v>383.64086900000007</v>
      </c>
      <c r="F127">
        <f t="shared" si="7"/>
        <v>5.2308690000000411</v>
      </c>
      <c r="G127">
        <v>1250</v>
      </c>
      <c r="H127">
        <f t="shared" si="8"/>
        <v>1.654577421062092</v>
      </c>
      <c r="I127">
        <f t="shared" si="9"/>
        <v>7.5324313460229089</v>
      </c>
    </row>
    <row r="128" spans="1:9" x14ac:dyDescent="0.25">
      <c r="A128">
        <v>1000</v>
      </c>
      <c r="B128">
        <v>1868.1953129999999</v>
      </c>
      <c r="C128">
        <v>-7.3203849999999999</v>
      </c>
      <c r="D128" t="s">
        <v>135</v>
      </c>
      <c r="E128">
        <f t="shared" si="5"/>
        <v>384.19531299999994</v>
      </c>
      <c r="F128">
        <f t="shared" si="7"/>
        <v>5.7853129999999169</v>
      </c>
      <c r="G128">
        <v>1260</v>
      </c>
      <c r="H128">
        <f t="shared" si="8"/>
        <v>1.7553224646270955</v>
      </c>
      <c r="I128">
        <f t="shared" si="9"/>
        <v>7.53272817060357</v>
      </c>
    </row>
    <row r="129" spans="1:9" x14ac:dyDescent="0.25">
      <c r="A129">
        <v>1000</v>
      </c>
      <c r="B129">
        <v>1868.9277340000001</v>
      </c>
      <c r="C129">
        <v>-7.3521450000000002</v>
      </c>
      <c r="D129" t="s">
        <v>136</v>
      </c>
      <c r="E129">
        <f t="shared" si="5"/>
        <v>384.9277340000001</v>
      </c>
      <c r="F129">
        <f t="shared" si="7"/>
        <v>6.5177340000000754</v>
      </c>
      <c r="G129">
        <v>1270</v>
      </c>
      <c r="H129">
        <f t="shared" si="8"/>
        <v>1.8745267695181911</v>
      </c>
      <c r="I129">
        <f t="shared" si="9"/>
        <v>7.5331201411114534</v>
      </c>
    </row>
    <row r="130" spans="1:9" x14ac:dyDescent="0.25">
      <c r="A130">
        <v>1000</v>
      </c>
      <c r="B130">
        <v>1870.1595460000001</v>
      </c>
      <c r="C130">
        <v>-7.3773070000000001</v>
      </c>
      <c r="D130" t="s">
        <v>188</v>
      </c>
      <c r="E130">
        <f t="shared" ref="E130:E135" si="10">B130-$P$3</f>
        <v>386.15954600000009</v>
      </c>
      <c r="F130">
        <f t="shared" ref="F130:F135" si="11">E130-$R$3</f>
        <v>7.7495460000000662</v>
      </c>
      <c r="G130">
        <v>1280</v>
      </c>
      <c r="H130">
        <f t="shared" ref="H130:H135" si="12">LN(F130)</f>
        <v>2.0476342610041898</v>
      </c>
      <c r="I130">
        <f t="shared" ref="I130:I135" si="13">LN(B130)</f>
        <v>7.5337790249257752</v>
      </c>
    </row>
    <row r="131" spans="1:9" x14ac:dyDescent="0.25">
      <c r="A131">
        <v>1000</v>
      </c>
      <c r="B131">
        <v>1870.601807</v>
      </c>
      <c r="C131">
        <v>-7.5106869999999999</v>
      </c>
      <c r="D131" t="s">
        <v>138</v>
      </c>
      <c r="E131">
        <f t="shared" si="10"/>
        <v>386.60180700000001</v>
      </c>
      <c r="F131">
        <f t="shared" si="11"/>
        <v>8.191806999999983</v>
      </c>
      <c r="G131">
        <v>1290</v>
      </c>
      <c r="H131">
        <f t="shared" si="12"/>
        <v>2.1031345084493065</v>
      </c>
      <c r="I131">
        <f t="shared" si="13"/>
        <v>7.5340154800001979</v>
      </c>
    </row>
    <row r="132" spans="1:9" x14ac:dyDescent="0.25">
      <c r="A132">
        <v>1000</v>
      </c>
      <c r="B132">
        <v>1873.750366</v>
      </c>
      <c r="C132">
        <v>-7.7633219999999996</v>
      </c>
      <c r="D132" t="s">
        <v>189</v>
      </c>
      <c r="E132">
        <f t="shared" si="10"/>
        <v>389.75036599999999</v>
      </c>
      <c r="F132">
        <f t="shared" si="11"/>
        <v>11.34036599999996</v>
      </c>
      <c r="G132">
        <v>1300</v>
      </c>
      <c r="H132">
        <f t="shared" si="12"/>
        <v>2.4283685729110469</v>
      </c>
      <c r="I132">
        <f t="shared" si="13"/>
        <v>7.5356972447470083</v>
      </c>
    </row>
    <row r="133" spans="1:9" x14ac:dyDescent="0.25">
      <c r="A133">
        <v>1000</v>
      </c>
      <c r="B133">
        <v>1883.63147</v>
      </c>
      <c r="C133">
        <v>-8.4985920000000004</v>
      </c>
      <c r="D133" t="s">
        <v>140</v>
      </c>
      <c r="E133">
        <f t="shared" si="10"/>
        <v>399.63147000000004</v>
      </c>
      <c r="F133">
        <f t="shared" si="11"/>
        <v>21.221470000000011</v>
      </c>
      <c r="G133">
        <v>1310</v>
      </c>
      <c r="H133">
        <f t="shared" si="12"/>
        <v>3.0550134050560431</v>
      </c>
      <c r="I133">
        <f t="shared" si="13"/>
        <v>7.540956825598701</v>
      </c>
    </row>
    <row r="134" spans="1:9" x14ac:dyDescent="0.25">
      <c r="A134">
        <v>1000</v>
      </c>
      <c r="B134">
        <v>1878.121216</v>
      </c>
      <c r="C134">
        <v>-8.0747520000000002</v>
      </c>
      <c r="D134" t="s">
        <v>141</v>
      </c>
      <c r="E134">
        <f t="shared" si="10"/>
        <v>394.121216</v>
      </c>
      <c r="F134">
        <f t="shared" si="11"/>
        <v>15.711215999999979</v>
      </c>
      <c r="G134">
        <v>1320</v>
      </c>
      <c r="H134">
        <f t="shared" si="12"/>
        <v>2.7543748522001477</v>
      </c>
      <c r="I134">
        <f t="shared" si="13"/>
        <v>7.5380272029461688</v>
      </c>
    </row>
    <row r="135" spans="1:9" x14ac:dyDescent="0.25">
      <c r="A135">
        <v>1000</v>
      </c>
      <c r="B135">
        <v>1876.817749</v>
      </c>
      <c r="C135">
        <v>-7.8738619999999999</v>
      </c>
      <c r="D135" t="s">
        <v>142</v>
      </c>
      <c r="E135">
        <f t="shared" si="10"/>
        <v>392.81774900000005</v>
      </c>
      <c r="F135">
        <f t="shared" si="11"/>
        <v>14.407749000000024</v>
      </c>
      <c r="G135">
        <v>1330</v>
      </c>
      <c r="H135">
        <f t="shared" si="12"/>
        <v>2.667766186844621</v>
      </c>
      <c r="I135">
        <f t="shared" si="13"/>
        <v>7.5373329349090543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94"/>
  <sheetViews>
    <sheetView topLeftCell="D23" zoomScale="70" zoomScaleNormal="70" workbookViewId="0">
      <selection activeCell="S40" sqref="S40"/>
    </sheetView>
  </sheetViews>
  <sheetFormatPr baseColWidth="10" defaultRowHeight="15" x14ac:dyDescent="0.25"/>
  <cols>
    <col min="4" max="4" width="25.7109375" bestFit="1" customWidth="1"/>
    <col min="5" max="5" width="13.85546875" bestFit="1" customWidth="1"/>
    <col min="6" max="6" width="27.42578125" bestFit="1" customWidth="1"/>
    <col min="8" max="8" width="16.42578125" bestFit="1" customWidth="1"/>
    <col min="14" max="14" width="13.28515625" bestFit="1" customWidth="1"/>
    <col min="15" max="15" width="12.7109375" bestFit="1" customWidth="1"/>
    <col min="16" max="16" width="13.85546875" bestFit="1" customWidth="1"/>
    <col min="17" max="17" width="13.42578125" customWidth="1"/>
    <col min="18" max="18" width="9.42578125" bestFit="1" customWidth="1"/>
    <col min="26" max="26" width="23.28515625" bestFit="1" customWidth="1"/>
    <col min="28" max="28" width="12.28515625" bestFit="1" customWidth="1"/>
    <col min="30" max="30" width="12.28515625" bestFit="1" customWidth="1"/>
  </cols>
  <sheetData>
    <row r="1" spans="1:18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16</v>
      </c>
      <c r="G1" t="s">
        <v>12</v>
      </c>
      <c r="H1" t="s">
        <v>17</v>
      </c>
      <c r="I1" t="s">
        <v>13</v>
      </c>
    </row>
    <row r="2" spans="1:18" x14ac:dyDescent="0.25">
      <c r="A2">
        <v>1000</v>
      </c>
      <c r="B2">
        <v>2608.6145019999999</v>
      </c>
      <c r="C2">
        <v>-23.994989</v>
      </c>
      <c r="D2" t="s">
        <v>193</v>
      </c>
      <c r="E2">
        <f t="shared" ref="E2:E21" si="0">B2-$P$3</f>
        <v>1130.6145019999999</v>
      </c>
      <c r="F2">
        <f t="shared" ref="F2:F56" si="1">E2-$R$3</f>
        <v>470.07117199999993</v>
      </c>
      <c r="G2">
        <v>0</v>
      </c>
      <c r="H2">
        <f>LN(F2)</f>
        <v>6.1528841130270049</v>
      </c>
      <c r="I2">
        <f t="shared" ref="I2:I21" si="2">LN(B2)</f>
        <v>7.8665745172245707</v>
      </c>
      <c r="L2" s="1" t="s">
        <v>0</v>
      </c>
      <c r="M2" s="1" t="s">
        <v>6</v>
      </c>
      <c r="P2" t="s">
        <v>14</v>
      </c>
      <c r="R2" t="s">
        <v>15</v>
      </c>
    </row>
    <row r="3" spans="1:18" x14ac:dyDescent="0.25">
      <c r="A3">
        <v>1000</v>
      </c>
      <c r="B3">
        <v>2592.8752439999998</v>
      </c>
      <c r="C3">
        <v>-23.742996000000002</v>
      </c>
      <c r="D3" t="s">
        <v>194</v>
      </c>
      <c r="E3">
        <f t="shared" si="0"/>
        <v>1114.8752439999998</v>
      </c>
      <c r="F3">
        <f t="shared" si="1"/>
        <v>454.33191399999987</v>
      </c>
      <c r="G3">
        <v>10</v>
      </c>
      <c r="H3">
        <f t="shared" ref="H3:H66" si="3">LN(F3)</f>
        <v>6.118828019032347</v>
      </c>
      <c r="I3">
        <f t="shared" si="2"/>
        <v>7.8605226717703403</v>
      </c>
      <c r="K3" t="s">
        <v>2</v>
      </c>
      <c r="L3">
        <f>1/(0.00007)</f>
        <v>14285.714285714286</v>
      </c>
      <c r="M3">
        <f>1/(0.0002)</f>
        <v>5000</v>
      </c>
      <c r="N3" s="3" t="s">
        <v>3</v>
      </c>
      <c r="P3">
        <v>1478</v>
      </c>
      <c r="R3" s="4">
        <v>660.54332999999997</v>
      </c>
    </row>
    <row r="4" spans="1:18" x14ac:dyDescent="0.25">
      <c r="A4">
        <v>1000</v>
      </c>
      <c r="B4">
        <v>2564.638672</v>
      </c>
      <c r="C4">
        <v>-23.625914000000002</v>
      </c>
      <c r="D4" t="s">
        <v>412</v>
      </c>
      <c r="E4">
        <f t="shared" si="0"/>
        <v>1086.638672</v>
      </c>
      <c r="F4">
        <f t="shared" si="1"/>
        <v>426.09534200000007</v>
      </c>
      <c r="G4">
        <v>20</v>
      </c>
      <c r="H4">
        <f t="shared" si="3"/>
        <v>6.0546631287399428</v>
      </c>
      <c r="I4">
        <f t="shared" si="2"/>
        <v>7.8495728790659705</v>
      </c>
      <c r="L4">
        <f>L3/60</f>
        <v>238.0952380952381</v>
      </c>
      <c r="M4">
        <f>M3/60</f>
        <v>83.333333333333329</v>
      </c>
      <c r="N4" s="3" t="s">
        <v>4</v>
      </c>
    </row>
    <row r="5" spans="1:18" x14ac:dyDescent="0.25">
      <c r="A5">
        <v>1000</v>
      </c>
      <c r="B5">
        <v>2537.5285640000002</v>
      </c>
      <c r="C5">
        <v>-23.420542000000001</v>
      </c>
      <c r="D5" t="s">
        <v>196</v>
      </c>
      <c r="E5">
        <f t="shared" si="0"/>
        <v>1059.5285640000002</v>
      </c>
      <c r="F5">
        <f t="shared" si="1"/>
        <v>398.98523400000022</v>
      </c>
      <c r="G5">
        <v>30</v>
      </c>
      <c r="H5">
        <f t="shared" si="3"/>
        <v>5.9889244086862723</v>
      </c>
      <c r="I5">
        <f t="shared" si="2"/>
        <v>7.838945880035455</v>
      </c>
      <c r="L5">
        <f>L4/60</f>
        <v>3.9682539682539684</v>
      </c>
      <c r="M5">
        <f>M4/60</f>
        <v>1.3888888888888888</v>
      </c>
      <c r="N5" s="3" t="s">
        <v>5</v>
      </c>
    </row>
    <row r="6" spans="1:18" x14ac:dyDescent="0.25">
      <c r="A6">
        <v>1000</v>
      </c>
      <c r="B6">
        <v>2516.8996579999998</v>
      </c>
      <c r="C6">
        <v>-23.277052000000001</v>
      </c>
      <c r="D6" t="s">
        <v>197</v>
      </c>
      <c r="E6">
        <f t="shared" si="0"/>
        <v>1038.8996579999998</v>
      </c>
      <c r="F6">
        <f t="shared" si="1"/>
        <v>378.35632799999985</v>
      </c>
      <c r="G6">
        <v>40</v>
      </c>
      <c r="H6">
        <f t="shared" si="3"/>
        <v>5.9358364182550591</v>
      </c>
      <c r="I6">
        <f t="shared" si="2"/>
        <v>7.8307831286275063</v>
      </c>
    </row>
    <row r="7" spans="1:18" x14ac:dyDescent="0.25">
      <c r="A7">
        <v>1000</v>
      </c>
      <c r="B7">
        <v>2499.1010740000002</v>
      </c>
      <c r="C7">
        <v>-23.074155999999999</v>
      </c>
      <c r="D7" t="s">
        <v>198</v>
      </c>
      <c r="E7">
        <f t="shared" si="0"/>
        <v>1021.1010740000002</v>
      </c>
      <c r="F7">
        <f t="shared" si="1"/>
        <v>360.55774400000018</v>
      </c>
      <c r="G7">
        <v>50</v>
      </c>
      <c r="H7">
        <f t="shared" si="3"/>
        <v>5.8876521214291602</v>
      </c>
      <c r="I7">
        <f t="shared" si="2"/>
        <v>7.8236863757953552</v>
      </c>
    </row>
    <row r="8" spans="1:18" x14ac:dyDescent="0.25">
      <c r="A8">
        <v>1000</v>
      </c>
      <c r="B8">
        <v>2473.5122070000002</v>
      </c>
      <c r="C8">
        <v>-22.678222999999999</v>
      </c>
      <c r="D8" t="s">
        <v>199</v>
      </c>
      <c r="E8">
        <f t="shared" si="0"/>
        <v>995.51220700000022</v>
      </c>
      <c r="F8">
        <f t="shared" si="1"/>
        <v>334.96887700000025</v>
      </c>
      <c r="G8">
        <v>60</v>
      </c>
      <c r="H8">
        <f t="shared" si="3"/>
        <v>5.8140376230315667</v>
      </c>
      <c r="I8">
        <f t="shared" si="2"/>
        <v>7.8133943657677749</v>
      </c>
    </row>
    <row r="9" spans="1:18" x14ac:dyDescent="0.25">
      <c r="A9">
        <v>1000</v>
      </c>
      <c r="B9">
        <v>2457.6508789999998</v>
      </c>
      <c r="C9">
        <v>-22.446774999999999</v>
      </c>
      <c r="D9" t="s">
        <v>200</v>
      </c>
      <c r="E9">
        <f t="shared" si="0"/>
        <v>979.6508789999998</v>
      </c>
      <c r="F9">
        <f t="shared" si="1"/>
        <v>319.10754899999984</v>
      </c>
      <c r="G9">
        <v>70</v>
      </c>
      <c r="H9">
        <f t="shared" si="3"/>
        <v>5.7655281901651358</v>
      </c>
      <c r="I9">
        <f t="shared" si="2"/>
        <v>7.8069612454571535</v>
      </c>
    </row>
    <row r="10" spans="1:18" x14ac:dyDescent="0.25">
      <c r="A10">
        <v>1000</v>
      </c>
      <c r="B10">
        <v>2446.845703</v>
      </c>
      <c r="C10">
        <v>-22.264122</v>
      </c>
      <c r="D10" t="s">
        <v>201</v>
      </c>
      <c r="E10">
        <f t="shared" si="0"/>
        <v>968.84570299999996</v>
      </c>
      <c r="F10">
        <f t="shared" si="1"/>
        <v>308.30237299999999</v>
      </c>
      <c r="G10">
        <v>80</v>
      </c>
      <c r="H10">
        <f t="shared" si="3"/>
        <v>5.7310810319108123</v>
      </c>
      <c r="I10">
        <f t="shared" si="2"/>
        <v>7.802555005876326</v>
      </c>
    </row>
    <row r="11" spans="1:18" x14ac:dyDescent="0.25">
      <c r="A11">
        <v>1000</v>
      </c>
      <c r="B11">
        <v>2432.2939449999999</v>
      </c>
      <c r="C11">
        <v>-21.985873999999999</v>
      </c>
      <c r="D11" t="s">
        <v>202</v>
      </c>
      <c r="E11">
        <f t="shared" si="0"/>
        <v>954.29394499999989</v>
      </c>
      <c r="F11">
        <f t="shared" si="1"/>
        <v>293.75061499999993</v>
      </c>
      <c r="G11">
        <v>90</v>
      </c>
      <c r="H11">
        <f t="shared" si="3"/>
        <v>5.6827311590731977</v>
      </c>
      <c r="I11">
        <f t="shared" si="2"/>
        <v>7.7965901013251697</v>
      </c>
    </row>
    <row r="12" spans="1:18" x14ac:dyDescent="0.25">
      <c r="A12">
        <v>1000</v>
      </c>
      <c r="B12">
        <v>2419.186768</v>
      </c>
      <c r="C12">
        <v>-21.754276000000001</v>
      </c>
      <c r="D12" t="s">
        <v>413</v>
      </c>
      <c r="E12">
        <f t="shared" si="0"/>
        <v>941.18676800000003</v>
      </c>
      <c r="F12">
        <f t="shared" si="1"/>
        <v>280.64343800000006</v>
      </c>
      <c r="G12">
        <v>100</v>
      </c>
      <c r="H12">
        <f t="shared" si="3"/>
        <v>5.6370849596789059</v>
      </c>
      <c r="I12">
        <f t="shared" si="2"/>
        <v>7.7911867163935362</v>
      </c>
    </row>
    <row r="13" spans="1:18" x14ac:dyDescent="0.25">
      <c r="A13">
        <v>1000</v>
      </c>
      <c r="B13">
        <v>2409.640625</v>
      </c>
      <c r="C13">
        <v>-21.574546999999999</v>
      </c>
      <c r="D13" t="s">
        <v>414</v>
      </c>
      <c r="E13">
        <f t="shared" si="0"/>
        <v>931.640625</v>
      </c>
      <c r="F13">
        <f t="shared" si="1"/>
        <v>271.09729500000003</v>
      </c>
      <c r="G13">
        <v>110</v>
      </c>
      <c r="H13">
        <f t="shared" si="3"/>
        <v>5.6024777785868949</v>
      </c>
      <c r="I13">
        <f t="shared" si="2"/>
        <v>7.7872328971082068</v>
      </c>
    </row>
    <row r="14" spans="1:18" x14ac:dyDescent="0.25">
      <c r="A14">
        <v>1000</v>
      </c>
      <c r="B14">
        <v>2399.5720209999999</v>
      </c>
      <c r="C14">
        <v>-21.420034000000001</v>
      </c>
      <c r="D14" t="s">
        <v>415</v>
      </c>
      <c r="E14">
        <f t="shared" si="0"/>
        <v>921.57202099999995</v>
      </c>
      <c r="F14">
        <f t="shared" si="1"/>
        <v>261.02869099999998</v>
      </c>
      <c r="G14">
        <v>120</v>
      </c>
      <c r="H14">
        <f t="shared" si="3"/>
        <v>5.5646303284842062</v>
      </c>
      <c r="I14">
        <f t="shared" si="2"/>
        <v>7.7830456758509845</v>
      </c>
    </row>
    <row r="15" spans="1:18" x14ac:dyDescent="0.25">
      <c r="A15">
        <v>1000</v>
      </c>
      <c r="B15">
        <v>2392.4997560000002</v>
      </c>
      <c r="C15">
        <v>-21.326568999999999</v>
      </c>
      <c r="D15" t="s">
        <v>416</v>
      </c>
      <c r="E15">
        <f t="shared" si="0"/>
        <v>914.49975600000016</v>
      </c>
      <c r="F15">
        <f t="shared" si="1"/>
        <v>253.95642600000019</v>
      </c>
      <c r="G15">
        <v>130</v>
      </c>
      <c r="H15">
        <f t="shared" si="3"/>
        <v>5.537162701120848</v>
      </c>
      <c r="I15">
        <f t="shared" si="2"/>
        <v>7.7800940213417329</v>
      </c>
    </row>
    <row r="16" spans="1:18" x14ac:dyDescent="0.25">
      <c r="A16">
        <v>1000</v>
      </c>
      <c r="B16">
        <v>2385.5932619999999</v>
      </c>
      <c r="C16">
        <v>-21.228816999999999</v>
      </c>
      <c r="D16" t="s">
        <v>207</v>
      </c>
      <c r="E16">
        <f t="shared" si="0"/>
        <v>907.59326199999987</v>
      </c>
      <c r="F16">
        <f t="shared" si="1"/>
        <v>247.0499319999999</v>
      </c>
      <c r="G16">
        <v>140</v>
      </c>
      <c r="H16">
        <f t="shared" si="3"/>
        <v>5.5095904700437952</v>
      </c>
      <c r="I16">
        <f t="shared" si="2"/>
        <v>7.7772031195598048</v>
      </c>
    </row>
    <row r="17" spans="1:9" x14ac:dyDescent="0.25">
      <c r="A17">
        <v>1000</v>
      </c>
      <c r="B17">
        <v>2375.9584960000002</v>
      </c>
      <c r="C17">
        <v>-21.048349000000002</v>
      </c>
      <c r="D17" t="s">
        <v>208</v>
      </c>
      <c r="E17">
        <f t="shared" si="0"/>
        <v>897.9584960000002</v>
      </c>
      <c r="F17">
        <f t="shared" si="1"/>
        <v>237.41516600000023</v>
      </c>
      <c r="G17">
        <v>150</v>
      </c>
      <c r="H17">
        <f t="shared" si="3"/>
        <v>5.4698103638756113</v>
      </c>
      <c r="I17">
        <f t="shared" si="2"/>
        <v>7.7731562123164997</v>
      </c>
    </row>
    <row r="18" spans="1:9" x14ac:dyDescent="0.25">
      <c r="A18">
        <v>1000</v>
      </c>
      <c r="B18">
        <v>2367.5598140000002</v>
      </c>
      <c r="C18">
        <v>-20.887032999999999</v>
      </c>
      <c r="D18" t="s">
        <v>209</v>
      </c>
      <c r="E18">
        <f t="shared" si="0"/>
        <v>889.55981400000019</v>
      </c>
      <c r="F18">
        <f t="shared" si="1"/>
        <v>229.01648400000022</v>
      </c>
      <c r="G18">
        <v>160</v>
      </c>
      <c r="H18">
        <f t="shared" si="3"/>
        <v>5.4337939834963738</v>
      </c>
      <c r="I18">
        <f t="shared" si="2"/>
        <v>7.7696150893662201</v>
      </c>
    </row>
    <row r="19" spans="1:9" x14ac:dyDescent="0.25">
      <c r="A19">
        <v>1000</v>
      </c>
      <c r="B19">
        <v>2360.7231449999999</v>
      </c>
      <c r="C19">
        <v>-20.765196</v>
      </c>
      <c r="D19" t="s">
        <v>210</v>
      </c>
      <c r="E19">
        <f t="shared" si="0"/>
        <v>882.72314499999993</v>
      </c>
      <c r="F19">
        <f t="shared" si="1"/>
        <v>222.17981499999996</v>
      </c>
      <c r="G19">
        <v>170</v>
      </c>
      <c r="H19">
        <f t="shared" si="3"/>
        <v>5.4034870314950245</v>
      </c>
      <c r="I19">
        <f t="shared" si="2"/>
        <v>7.7667232684563219</v>
      </c>
    </row>
    <row r="20" spans="1:9" x14ac:dyDescent="0.25">
      <c r="A20">
        <v>1000</v>
      </c>
      <c r="B20">
        <v>2351.7460940000001</v>
      </c>
      <c r="C20">
        <v>-20.590084000000001</v>
      </c>
      <c r="D20" t="s">
        <v>211</v>
      </c>
      <c r="E20">
        <f t="shared" si="0"/>
        <v>873.74609400000008</v>
      </c>
      <c r="F20">
        <f t="shared" si="1"/>
        <v>213.20276400000012</v>
      </c>
      <c r="G20">
        <v>180</v>
      </c>
      <c r="H20">
        <f t="shared" si="3"/>
        <v>5.3622436565603744</v>
      </c>
      <c r="I20">
        <f t="shared" si="2"/>
        <v>7.7629133499598559</v>
      </c>
    </row>
    <row r="21" spans="1:9" x14ac:dyDescent="0.25">
      <c r="A21">
        <v>1000</v>
      </c>
      <c r="B21">
        <v>2346.5798340000001</v>
      </c>
      <c r="C21">
        <v>-20.513736999999999</v>
      </c>
      <c r="D21" t="s">
        <v>417</v>
      </c>
      <c r="E21">
        <f t="shared" si="0"/>
        <v>868.57983400000012</v>
      </c>
      <c r="F21">
        <f t="shared" si="1"/>
        <v>208.03650400000015</v>
      </c>
      <c r="G21">
        <v>190</v>
      </c>
      <c r="H21">
        <f t="shared" si="3"/>
        <v>5.3377135643029954</v>
      </c>
      <c r="I21">
        <f t="shared" si="2"/>
        <v>7.7607141572425489</v>
      </c>
    </row>
    <row r="22" spans="1:9" x14ac:dyDescent="0.25">
      <c r="A22">
        <v>1000</v>
      </c>
      <c r="B22">
        <v>2339.8793949999999</v>
      </c>
      <c r="C22">
        <v>-20.404657</v>
      </c>
      <c r="D22" t="s">
        <v>418</v>
      </c>
      <c r="E22">
        <f t="shared" ref="E22:E56" si="4">B22-$P$3</f>
        <v>861.87939499999993</v>
      </c>
      <c r="F22">
        <f t="shared" si="1"/>
        <v>201.33606499999996</v>
      </c>
      <c r="G22">
        <v>200</v>
      </c>
      <c r="H22">
        <f t="shared" ref="H22:H56" si="5">LN(F22)</f>
        <v>5.3049754770554571</v>
      </c>
      <c r="I22">
        <f t="shared" ref="I22:I56" si="6">LN(B22)</f>
        <v>7.7578546664251942</v>
      </c>
    </row>
    <row r="23" spans="1:9" x14ac:dyDescent="0.25">
      <c r="A23">
        <v>1000</v>
      </c>
      <c r="B23">
        <v>2334.0598140000002</v>
      </c>
      <c r="C23">
        <v>-20.329184000000001</v>
      </c>
      <c r="D23" t="s">
        <v>419</v>
      </c>
      <c r="E23">
        <f t="shared" si="4"/>
        <v>856.05981400000019</v>
      </c>
      <c r="F23">
        <f t="shared" si="1"/>
        <v>195.51648400000022</v>
      </c>
      <c r="G23">
        <v>210</v>
      </c>
      <c r="H23">
        <f t="shared" si="5"/>
        <v>5.2756446930064813</v>
      </c>
      <c r="I23">
        <f t="shared" si="6"/>
        <v>7.7553644397674866</v>
      </c>
    </row>
    <row r="24" spans="1:9" x14ac:dyDescent="0.25">
      <c r="A24">
        <v>1000</v>
      </c>
      <c r="B24">
        <v>2326.5783689999998</v>
      </c>
      <c r="C24">
        <v>-20.174837</v>
      </c>
      <c r="D24" t="s">
        <v>215</v>
      </c>
      <c r="E24">
        <f t="shared" si="4"/>
        <v>848.57836899999984</v>
      </c>
      <c r="F24">
        <f t="shared" si="1"/>
        <v>188.03503899999987</v>
      </c>
      <c r="G24">
        <v>220</v>
      </c>
      <c r="H24">
        <f t="shared" si="5"/>
        <v>5.236628323123365</v>
      </c>
      <c r="I24">
        <f t="shared" si="6"/>
        <v>7.7521539560816448</v>
      </c>
    </row>
    <row r="25" spans="1:9" x14ac:dyDescent="0.25">
      <c r="A25">
        <v>1000</v>
      </c>
      <c r="B25">
        <v>2321.4562989999999</v>
      </c>
      <c r="C25">
        <v>-20.121068999999999</v>
      </c>
      <c r="D25" t="s">
        <v>420</v>
      </c>
      <c r="E25">
        <f t="shared" si="4"/>
        <v>843.45629899999994</v>
      </c>
      <c r="F25">
        <f t="shared" si="1"/>
        <v>182.91296899999998</v>
      </c>
      <c r="G25">
        <v>230</v>
      </c>
      <c r="H25">
        <f t="shared" si="5"/>
        <v>5.2090104604827765</v>
      </c>
      <c r="I25">
        <f t="shared" si="6"/>
        <v>7.7499499828158545</v>
      </c>
    </row>
    <row r="26" spans="1:9" x14ac:dyDescent="0.25">
      <c r="A26">
        <v>1000</v>
      </c>
      <c r="B26">
        <v>2317.1291500000002</v>
      </c>
      <c r="C26">
        <v>-20.077328000000001</v>
      </c>
      <c r="D26" t="s">
        <v>217</v>
      </c>
      <c r="E26">
        <f t="shared" si="4"/>
        <v>839.12915000000021</v>
      </c>
      <c r="F26">
        <f t="shared" si="1"/>
        <v>178.58582000000024</v>
      </c>
      <c r="G26">
        <v>240</v>
      </c>
      <c r="H26">
        <f t="shared" si="5"/>
        <v>5.185069269993674</v>
      </c>
      <c r="I26">
        <f t="shared" si="6"/>
        <v>7.7480842630602194</v>
      </c>
    </row>
    <row r="27" spans="1:9" x14ac:dyDescent="0.25">
      <c r="A27">
        <v>1000</v>
      </c>
      <c r="B27">
        <v>2315.3547359999998</v>
      </c>
      <c r="C27">
        <v>-20.079172</v>
      </c>
      <c r="D27" t="s">
        <v>218</v>
      </c>
      <c r="E27">
        <f t="shared" si="4"/>
        <v>837.35473599999978</v>
      </c>
      <c r="F27">
        <f t="shared" si="1"/>
        <v>176.81140599999981</v>
      </c>
      <c r="G27">
        <v>250</v>
      </c>
      <c r="H27">
        <f t="shared" si="5"/>
        <v>5.1750836616972915</v>
      </c>
      <c r="I27">
        <f t="shared" si="6"/>
        <v>7.7473181884745559</v>
      </c>
    </row>
    <row r="28" spans="1:9" x14ac:dyDescent="0.25">
      <c r="A28">
        <v>1000</v>
      </c>
      <c r="B28">
        <v>2311.851807</v>
      </c>
      <c r="C28">
        <v>-20.059228999999998</v>
      </c>
      <c r="D28" t="s">
        <v>219</v>
      </c>
      <c r="E28">
        <f t="shared" si="4"/>
        <v>833.85180700000001</v>
      </c>
      <c r="F28">
        <f t="shared" si="1"/>
        <v>173.30847700000004</v>
      </c>
      <c r="G28">
        <v>260</v>
      </c>
      <c r="H28">
        <f t="shared" si="5"/>
        <v>5.155073110701248</v>
      </c>
      <c r="I28">
        <f t="shared" si="6"/>
        <v>7.7458041304196081</v>
      </c>
    </row>
    <row r="29" spans="1:9" x14ac:dyDescent="0.25">
      <c r="A29">
        <v>1000</v>
      </c>
      <c r="B29">
        <v>2308.8156739999999</v>
      </c>
      <c r="C29">
        <v>-20.037085000000001</v>
      </c>
      <c r="D29" t="s">
        <v>421</v>
      </c>
      <c r="E29">
        <f t="shared" si="4"/>
        <v>830.81567399999994</v>
      </c>
      <c r="F29">
        <f t="shared" si="1"/>
        <v>170.27234399999998</v>
      </c>
      <c r="G29">
        <v>270</v>
      </c>
      <c r="H29">
        <f t="shared" si="5"/>
        <v>5.1373991787088542</v>
      </c>
      <c r="I29">
        <f t="shared" si="6"/>
        <v>7.7444899768046014</v>
      </c>
    </row>
    <row r="30" spans="1:9" x14ac:dyDescent="0.25">
      <c r="A30">
        <v>1000</v>
      </c>
      <c r="B30">
        <v>2306.7854000000002</v>
      </c>
      <c r="C30">
        <v>-20.041716000000001</v>
      </c>
      <c r="D30" t="s">
        <v>422</v>
      </c>
      <c r="E30">
        <f t="shared" si="4"/>
        <v>828.78540000000021</v>
      </c>
      <c r="F30">
        <f t="shared" si="1"/>
        <v>168.24207000000024</v>
      </c>
      <c r="G30">
        <v>280</v>
      </c>
      <c r="H30">
        <f t="shared" si="5"/>
        <v>5.1254038351703946</v>
      </c>
      <c r="I30">
        <f t="shared" si="6"/>
        <v>7.7436102326073044</v>
      </c>
    </row>
    <row r="31" spans="1:9" x14ac:dyDescent="0.25">
      <c r="A31">
        <v>1000</v>
      </c>
      <c r="B31">
        <v>2304.2807619999999</v>
      </c>
      <c r="C31">
        <v>-20.064011000000001</v>
      </c>
      <c r="D31" t="s">
        <v>222</v>
      </c>
      <c r="E31">
        <f t="shared" si="4"/>
        <v>826.28076199999987</v>
      </c>
      <c r="F31">
        <f t="shared" si="1"/>
        <v>165.7374319999999</v>
      </c>
      <c r="G31">
        <v>290</v>
      </c>
      <c r="H31">
        <f t="shared" si="5"/>
        <v>5.1104048011534005</v>
      </c>
      <c r="I31">
        <f t="shared" si="6"/>
        <v>7.7425238728985812</v>
      </c>
    </row>
    <row r="32" spans="1:9" x14ac:dyDescent="0.25">
      <c r="A32">
        <v>1000</v>
      </c>
      <c r="B32">
        <v>2299.091797</v>
      </c>
      <c r="C32">
        <v>-20.018877</v>
      </c>
      <c r="D32" t="s">
        <v>423</v>
      </c>
      <c r="E32">
        <f t="shared" si="4"/>
        <v>821.09179700000004</v>
      </c>
      <c r="F32">
        <f t="shared" si="1"/>
        <v>160.54846700000007</v>
      </c>
      <c r="G32">
        <v>300</v>
      </c>
      <c r="H32">
        <f t="shared" si="5"/>
        <v>5.0785958720626558</v>
      </c>
      <c r="I32">
        <f t="shared" si="6"/>
        <v>7.7402694530656451</v>
      </c>
    </row>
    <row r="33" spans="1:20" x14ac:dyDescent="0.25">
      <c r="A33">
        <v>1000</v>
      </c>
      <c r="B33">
        <v>2296.4670409999999</v>
      </c>
      <c r="C33">
        <v>-20.015733999999998</v>
      </c>
      <c r="D33" t="s">
        <v>224</v>
      </c>
      <c r="E33">
        <f t="shared" si="4"/>
        <v>818.46704099999988</v>
      </c>
      <c r="F33">
        <f t="shared" si="1"/>
        <v>157.92371099999991</v>
      </c>
      <c r="G33">
        <v>310</v>
      </c>
      <c r="H33">
        <f t="shared" si="5"/>
        <v>5.0621120746491899</v>
      </c>
      <c r="I33">
        <f t="shared" si="6"/>
        <v>7.7391271518231033</v>
      </c>
    </row>
    <row r="34" spans="1:20" x14ac:dyDescent="0.25">
      <c r="A34">
        <v>1000</v>
      </c>
      <c r="B34">
        <v>2294.4545899999998</v>
      </c>
      <c r="C34">
        <v>-20.023273</v>
      </c>
      <c r="D34" t="s">
        <v>225</v>
      </c>
      <c r="E34">
        <f t="shared" si="4"/>
        <v>816.45458999999983</v>
      </c>
      <c r="F34">
        <f t="shared" si="1"/>
        <v>155.91125999999986</v>
      </c>
      <c r="G34">
        <v>320</v>
      </c>
      <c r="H34">
        <f t="shared" si="5"/>
        <v>5.0492869992413336</v>
      </c>
      <c r="I34">
        <f t="shared" si="6"/>
        <v>7.7382504428349508</v>
      </c>
    </row>
    <row r="35" spans="1:20" x14ac:dyDescent="0.25">
      <c r="A35">
        <v>1000</v>
      </c>
      <c r="B35">
        <v>2292.7248540000001</v>
      </c>
      <c r="C35">
        <v>-20.027864000000001</v>
      </c>
      <c r="D35" t="s">
        <v>226</v>
      </c>
      <c r="E35">
        <f t="shared" si="4"/>
        <v>814.72485400000005</v>
      </c>
      <c r="F35">
        <f t="shared" si="1"/>
        <v>154.18152400000008</v>
      </c>
      <c r="G35">
        <v>330</v>
      </c>
      <c r="H35">
        <f t="shared" si="5"/>
        <v>5.0381306355327906</v>
      </c>
      <c r="I35">
        <f t="shared" si="6"/>
        <v>7.7374962817636002</v>
      </c>
    </row>
    <row r="36" spans="1:20" x14ac:dyDescent="0.25">
      <c r="A36">
        <v>1000</v>
      </c>
      <c r="B36">
        <v>2291.3066410000001</v>
      </c>
      <c r="C36">
        <v>-20.067917000000001</v>
      </c>
      <c r="D36" t="s">
        <v>227</v>
      </c>
      <c r="E36">
        <f t="shared" si="4"/>
        <v>813.30664100000013</v>
      </c>
      <c r="F36">
        <f t="shared" si="1"/>
        <v>152.76331100000016</v>
      </c>
      <c r="G36">
        <v>340</v>
      </c>
      <c r="H36">
        <f t="shared" si="5"/>
        <v>5.0288897366445537</v>
      </c>
      <c r="I36">
        <f t="shared" si="6"/>
        <v>7.7368775194157422</v>
      </c>
    </row>
    <row r="37" spans="1:20" x14ac:dyDescent="0.25">
      <c r="A37">
        <v>1000</v>
      </c>
      <c r="B37">
        <v>2291.3278810000002</v>
      </c>
      <c r="C37">
        <v>-20.128937000000001</v>
      </c>
      <c r="D37" t="s">
        <v>228</v>
      </c>
      <c r="E37">
        <f t="shared" si="4"/>
        <v>813.32788100000016</v>
      </c>
      <c r="F37">
        <f t="shared" si="1"/>
        <v>152.78455100000019</v>
      </c>
      <c r="G37">
        <v>350</v>
      </c>
      <c r="H37">
        <f t="shared" si="5"/>
        <v>5.0290287655999206</v>
      </c>
      <c r="I37">
        <f t="shared" si="6"/>
        <v>7.7368867891927229</v>
      </c>
    </row>
    <row r="38" spans="1:20" x14ac:dyDescent="0.25">
      <c r="A38">
        <v>1000</v>
      </c>
      <c r="B38">
        <v>2284.733154</v>
      </c>
      <c r="C38">
        <v>-19.879936000000001</v>
      </c>
      <c r="D38" t="s">
        <v>229</v>
      </c>
      <c r="E38">
        <f t="shared" si="4"/>
        <v>806.73315400000001</v>
      </c>
      <c r="F38">
        <f t="shared" si="1"/>
        <v>146.18982400000004</v>
      </c>
      <c r="G38">
        <v>360</v>
      </c>
      <c r="H38">
        <f t="shared" si="5"/>
        <v>4.9849059416100836</v>
      </c>
      <c r="I38">
        <f t="shared" si="6"/>
        <v>7.7340045148895449</v>
      </c>
    </row>
    <row r="39" spans="1:20" x14ac:dyDescent="0.25">
      <c r="A39">
        <v>1000</v>
      </c>
      <c r="B39">
        <v>2279.8107909999999</v>
      </c>
      <c r="C39">
        <v>-19.759125000000001</v>
      </c>
      <c r="D39" t="s">
        <v>230</v>
      </c>
      <c r="E39">
        <f t="shared" si="4"/>
        <v>801.81079099999988</v>
      </c>
      <c r="F39">
        <f t="shared" si="1"/>
        <v>141.26746099999991</v>
      </c>
      <c r="G39">
        <v>370</v>
      </c>
      <c r="H39">
        <f t="shared" si="5"/>
        <v>4.950654980085627</v>
      </c>
      <c r="I39">
        <f t="shared" si="6"/>
        <v>7.7318477321014152</v>
      </c>
      <c r="S39">
        <v>-2.8999999999999998E-3</v>
      </c>
    </row>
    <row r="40" spans="1:20" x14ac:dyDescent="0.25">
      <c r="A40">
        <v>1000</v>
      </c>
      <c r="B40">
        <v>2279.530029</v>
      </c>
      <c r="C40">
        <v>-19.839473999999999</v>
      </c>
      <c r="D40" t="s">
        <v>231</v>
      </c>
      <c r="E40">
        <f t="shared" si="4"/>
        <v>801.53002900000001</v>
      </c>
      <c r="F40">
        <f t="shared" si="1"/>
        <v>140.98669900000004</v>
      </c>
      <c r="G40">
        <v>380</v>
      </c>
      <c r="H40">
        <f t="shared" si="5"/>
        <v>4.9486655525951662</v>
      </c>
      <c r="I40">
        <f t="shared" si="6"/>
        <v>7.7317245730696875</v>
      </c>
      <c r="R40" t="s">
        <v>2</v>
      </c>
      <c r="S40">
        <f>1/ABS(S39)</f>
        <v>344.82758620689657</v>
      </c>
      <c r="T40" s="3" t="s">
        <v>3</v>
      </c>
    </row>
    <row r="41" spans="1:20" x14ac:dyDescent="0.25">
      <c r="A41">
        <v>1000</v>
      </c>
      <c r="B41">
        <v>2278.3393550000001</v>
      </c>
      <c r="C41">
        <v>-19.82386</v>
      </c>
      <c r="D41" t="s">
        <v>232</v>
      </c>
      <c r="E41">
        <f t="shared" si="4"/>
        <v>800.33935500000007</v>
      </c>
      <c r="F41">
        <f t="shared" si="1"/>
        <v>139.7960250000001</v>
      </c>
      <c r="G41">
        <v>390</v>
      </c>
      <c r="H41">
        <f t="shared" si="5"/>
        <v>4.9401843959190765</v>
      </c>
      <c r="I41">
        <f t="shared" si="6"/>
        <v>7.7312021035003466</v>
      </c>
      <c r="S41">
        <f>S40/60</f>
        <v>5.7471264367816097</v>
      </c>
      <c r="T41" s="3" t="s">
        <v>4</v>
      </c>
    </row>
    <row r="42" spans="1:20" x14ac:dyDescent="0.25">
      <c r="A42">
        <v>1000</v>
      </c>
      <c r="B42">
        <v>2273.4458009999998</v>
      </c>
      <c r="C42">
        <v>-19.697255999999999</v>
      </c>
      <c r="D42" t="s">
        <v>233</v>
      </c>
      <c r="E42">
        <f t="shared" si="4"/>
        <v>795.44580099999985</v>
      </c>
      <c r="F42">
        <f t="shared" si="1"/>
        <v>134.90247099999988</v>
      </c>
      <c r="G42">
        <v>400</v>
      </c>
      <c r="H42">
        <f t="shared" si="5"/>
        <v>4.9045520803180036</v>
      </c>
      <c r="I42">
        <f t="shared" si="6"/>
        <v>7.729051933526315</v>
      </c>
      <c r="S42">
        <f>S41/60</f>
        <v>9.5785440613026823E-2</v>
      </c>
      <c r="T42" s="3" t="s">
        <v>5</v>
      </c>
    </row>
    <row r="43" spans="1:20" x14ac:dyDescent="0.25">
      <c r="A43">
        <v>1000</v>
      </c>
      <c r="B43">
        <v>2265.2851559999999</v>
      </c>
      <c r="C43">
        <v>-19.422041</v>
      </c>
      <c r="D43" t="s">
        <v>234</v>
      </c>
      <c r="E43">
        <f t="shared" si="4"/>
        <v>787.28515599999992</v>
      </c>
      <c r="F43">
        <f t="shared" si="1"/>
        <v>126.74182599999995</v>
      </c>
      <c r="G43">
        <v>410</v>
      </c>
      <c r="H43">
        <f t="shared" si="5"/>
        <v>4.8421521512399037</v>
      </c>
      <c r="I43">
        <f t="shared" si="6"/>
        <v>7.725455926681553</v>
      </c>
    </row>
    <row r="44" spans="1:20" x14ac:dyDescent="0.25">
      <c r="A44">
        <v>1000</v>
      </c>
      <c r="B44">
        <v>2256.8811040000001</v>
      </c>
      <c r="C44">
        <v>-19.154816</v>
      </c>
      <c r="D44" t="s">
        <v>235</v>
      </c>
      <c r="E44">
        <f t="shared" si="4"/>
        <v>778.88110400000005</v>
      </c>
      <c r="F44">
        <f t="shared" si="1"/>
        <v>118.33777400000008</v>
      </c>
      <c r="G44">
        <v>420</v>
      </c>
      <c r="H44">
        <f t="shared" si="5"/>
        <v>4.7735430268637593</v>
      </c>
      <c r="I44">
        <f t="shared" si="6"/>
        <v>7.7217390966528221</v>
      </c>
    </row>
    <row r="45" spans="1:20" x14ac:dyDescent="0.25">
      <c r="A45">
        <v>1000</v>
      </c>
      <c r="B45">
        <v>2244.5085450000001</v>
      </c>
      <c r="C45">
        <v>-18.609860999999999</v>
      </c>
      <c r="D45" t="s">
        <v>236</v>
      </c>
      <c r="E45">
        <f t="shared" si="4"/>
        <v>766.50854500000014</v>
      </c>
      <c r="F45">
        <f t="shared" si="1"/>
        <v>105.96521500000017</v>
      </c>
      <c r="G45">
        <v>430</v>
      </c>
      <c r="H45">
        <f t="shared" si="5"/>
        <v>4.6631108798783112</v>
      </c>
      <c r="I45">
        <f t="shared" si="6"/>
        <v>7.7162418652987226</v>
      </c>
    </row>
    <row r="46" spans="1:20" x14ac:dyDescent="0.25">
      <c r="A46">
        <v>1000</v>
      </c>
      <c r="B46">
        <v>2238.297607</v>
      </c>
      <c r="C46">
        <v>-18.396227</v>
      </c>
      <c r="D46" t="s">
        <v>237</v>
      </c>
      <c r="E46">
        <f t="shared" si="4"/>
        <v>760.29760699999997</v>
      </c>
      <c r="F46">
        <f t="shared" si="1"/>
        <v>99.754277000000002</v>
      </c>
      <c r="G46">
        <v>440</v>
      </c>
      <c r="H46">
        <f t="shared" si="5"/>
        <v>4.602709932043755</v>
      </c>
      <c r="I46">
        <f t="shared" si="6"/>
        <v>7.7134708590300534</v>
      </c>
    </row>
    <row r="47" spans="1:20" x14ac:dyDescent="0.25">
      <c r="A47">
        <v>1000</v>
      </c>
      <c r="B47">
        <v>2232.3305660000001</v>
      </c>
      <c r="C47">
        <v>-18.245702999999999</v>
      </c>
      <c r="D47" t="s">
        <v>424</v>
      </c>
      <c r="E47">
        <f t="shared" si="4"/>
        <v>754.33056600000009</v>
      </c>
      <c r="F47">
        <f t="shared" si="1"/>
        <v>93.787236000000121</v>
      </c>
      <c r="G47">
        <v>450</v>
      </c>
      <c r="H47">
        <f t="shared" si="5"/>
        <v>4.5410287699938365</v>
      </c>
      <c r="I47">
        <f t="shared" si="6"/>
        <v>7.7108014155816234</v>
      </c>
    </row>
    <row r="48" spans="1:20" x14ac:dyDescent="0.25">
      <c r="A48">
        <v>1000</v>
      </c>
      <c r="B48">
        <v>2233.2609859999998</v>
      </c>
      <c r="C48">
        <v>-18.241126999999999</v>
      </c>
      <c r="D48" t="s">
        <v>425</v>
      </c>
      <c r="E48">
        <f t="shared" si="4"/>
        <v>755.26098599999978</v>
      </c>
      <c r="F48">
        <f t="shared" si="1"/>
        <v>94.717655999999806</v>
      </c>
      <c r="G48">
        <v>460</v>
      </c>
      <c r="H48">
        <f t="shared" si="5"/>
        <v>4.5509004242078692</v>
      </c>
      <c r="I48">
        <f t="shared" si="6"/>
        <v>7.7112181218578817</v>
      </c>
    </row>
    <row r="49" spans="1:9" x14ac:dyDescent="0.25">
      <c r="A49">
        <v>1000</v>
      </c>
      <c r="B49">
        <v>2229.445557</v>
      </c>
      <c r="C49">
        <v>-18.131052</v>
      </c>
      <c r="D49" t="s">
        <v>240</v>
      </c>
      <c r="E49">
        <f t="shared" si="4"/>
        <v>751.44555700000001</v>
      </c>
      <c r="F49">
        <f t="shared" si="1"/>
        <v>90.902227000000039</v>
      </c>
      <c r="G49">
        <v>470</v>
      </c>
      <c r="H49">
        <f t="shared" si="5"/>
        <v>4.5097845003332724</v>
      </c>
      <c r="I49">
        <f t="shared" si="6"/>
        <v>7.709508204392832</v>
      </c>
    </row>
    <row r="50" spans="1:9" x14ac:dyDescent="0.25">
      <c r="A50">
        <v>1000</v>
      </c>
      <c r="B50">
        <v>2226.9096679999998</v>
      </c>
      <c r="C50">
        <v>-18.051438999999998</v>
      </c>
      <c r="D50" t="s">
        <v>241</v>
      </c>
      <c r="E50">
        <f t="shared" si="4"/>
        <v>748.90966799999978</v>
      </c>
      <c r="F50">
        <f t="shared" si="1"/>
        <v>88.366337999999814</v>
      </c>
      <c r="G50">
        <v>480</v>
      </c>
      <c r="H50">
        <f t="shared" si="5"/>
        <v>4.4814911052687627</v>
      </c>
      <c r="I50">
        <f t="shared" si="6"/>
        <v>7.7083701042434107</v>
      </c>
    </row>
    <row r="51" spans="1:9" x14ac:dyDescent="0.25">
      <c r="A51">
        <v>1000</v>
      </c>
      <c r="B51">
        <v>2223.7302249999998</v>
      </c>
      <c r="C51">
        <v>-17.942046999999999</v>
      </c>
      <c r="D51" t="s">
        <v>242</v>
      </c>
      <c r="E51">
        <f t="shared" si="4"/>
        <v>745.73022499999979</v>
      </c>
      <c r="F51">
        <f t="shared" si="1"/>
        <v>85.186894999999822</v>
      </c>
      <c r="G51">
        <v>490</v>
      </c>
      <c r="H51">
        <f t="shared" si="5"/>
        <v>4.4448476074506056</v>
      </c>
      <c r="I51">
        <f t="shared" si="6"/>
        <v>7.7069413463041929</v>
      </c>
    </row>
    <row r="52" spans="1:9" x14ac:dyDescent="0.25">
      <c r="A52">
        <v>1000</v>
      </c>
      <c r="B52">
        <v>2223.2780760000001</v>
      </c>
      <c r="C52">
        <v>-17.89395</v>
      </c>
      <c r="D52" t="s">
        <v>426</v>
      </c>
      <c r="E52">
        <f t="shared" si="4"/>
        <v>745.27807600000006</v>
      </c>
      <c r="F52">
        <f t="shared" si="1"/>
        <v>84.734746000000086</v>
      </c>
      <c r="G52">
        <v>500</v>
      </c>
      <c r="H52">
        <f t="shared" si="5"/>
        <v>4.4395257418601508</v>
      </c>
      <c r="I52">
        <f t="shared" si="6"/>
        <v>7.7067379965593963</v>
      </c>
    </row>
    <row r="53" spans="1:9" x14ac:dyDescent="0.25">
      <c r="A53">
        <v>1000</v>
      </c>
      <c r="B53">
        <v>2220.678711</v>
      </c>
      <c r="C53">
        <v>-17.821646000000001</v>
      </c>
      <c r="D53" t="s">
        <v>427</v>
      </c>
      <c r="E53">
        <f t="shared" si="4"/>
        <v>742.67871100000002</v>
      </c>
      <c r="F53">
        <f t="shared" si="1"/>
        <v>82.135381000000052</v>
      </c>
      <c r="G53">
        <v>510</v>
      </c>
      <c r="H53">
        <f t="shared" si="5"/>
        <v>4.4083688736869764</v>
      </c>
      <c r="I53">
        <f t="shared" si="6"/>
        <v>7.7055681538174294</v>
      </c>
    </row>
    <row r="54" spans="1:9" x14ac:dyDescent="0.25">
      <c r="A54">
        <v>1000</v>
      </c>
      <c r="B54">
        <v>2216.5173340000001</v>
      </c>
      <c r="C54">
        <v>-17.691133000000001</v>
      </c>
      <c r="D54" t="s">
        <v>245</v>
      </c>
      <c r="E54">
        <f t="shared" si="4"/>
        <v>738.51733400000012</v>
      </c>
      <c r="F54">
        <f t="shared" si="1"/>
        <v>77.97400400000015</v>
      </c>
      <c r="G54">
        <v>520</v>
      </c>
      <c r="H54">
        <f t="shared" si="5"/>
        <v>4.3563754890875055</v>
      </c>
      <c r="I54">
        <f t="shared" si="6"/>
        <v>7.703692474592156</v>
      </c>
    </row>
    <row r="55" spans="1:9" x14ac:dyDescent="0.25">
      <c r="A55">
        <v>1000</v>
      </c>
      <c r="B55">
        <v>2215.388672</v>
      </c>
      <c r="C55">
        <v>-17.657350999999998</v>
      </c>
      <c r="D55" t="s">
        <v>428</v>
      </c>
      <c r="E55">
        <f t="shared" si="4"/>
        <v>737.38867200000004</v>
      </c>
      <c r="F55">
        <f t="shared" si="1"/>
        <v>76.845342000000073</v>
      </c>
      <c r="G55">
        <v>530</v>
      </c>
      <c r="H55">
        <f t="shared" si="5"/>
        <v>4.341794856566648</v>
      </c>
      <c r="I55">
        <f t="shared" si="6"/>
        <v>7.7031831397719355</v>
      </c>
    </row>
    <row r="56" spans="1:9" x14ac:dyDescent="0.25">
      <c r="A56">
        <v>1000</v>
      </c>
      <c r="B56">
        <v>2213.5415039999998</v>
      </c>
      <c r="C56">
        <v>-17.610946999999999</v>
      </c>
      <c r="D56" t="s">
        <v>247</v>
      </c>
      <c r="E56">
        <f t="shared" si="4"/>
        <v>735.5415039999998</v>
      </c>
      <c r="F56">
        <f t="shared" si="1"/>
        <v>74.998173999999835</v>
      </c>
      <c r="G56">
        <v>540</v>
      </c>
      <c r="H56">
        <f t="shared" si="5"/>
        <v>4.3174637665732565</v>
      </c>
      <c r="I56">
        <f t="shared" si="6"/>
        <v>7.7023490023917107</v>
      </c>
    </row>
    <row r="57" spans="1:9" x14ac:dyDescent="0.25">
      <c r="A57">
        <v>1000</v>
      </c>
      <c r="B57">
        <v>2211.7983399999998</v>
      </c>
      <c r="C57">
        <v>-17.541183</v>
      </c>
      <c r="D57" t="s">
        <v>429</v>
      </c>
      <c r="E57">
        <f t="shared" ref="E57:E120" si="7">B57-$P$3</f>
        <v>733.79833999999983</v>
      </c>
      <c r="F57">
        <f t="shared" ref="F57:F66" si="8">E57-$R$3</f>
        <v>73.255009999999857</v>
      </c>
      <c r="G57">
        <v>550</v>
      </c>
      <c r="H57">
        <f t="shared" si="3"/>
        <v>4.2939466414627185</v>
      </c>
      <c r="I57">
        <f t="shared" ref="I57:I88" si="9">LN(B57)</f>
        <v>7.701561192121039</v>
      </c>
    </row>
    <row r="58" spans="1:9" x14ac:dyDescent="0.25">
      <c r="A58">
        <v>1000</v>
      </c>
      <c r="B58">
        <v>2210.1694339999999</v>
      </c>
      <c r="C58">
        <v>-17.533562</v>
      </c>
      <c r="D58" t="s">
        <v>249</v>
      </c>
      <c r="E58">
        <f t="shared" si="7"/>
        <v>732.16943399999991</v>
      </c>
      <c r="F58">
        <f t="shared" si="8"/>
        <v>71.626103999999941</v>
      </c>
      <c r="G58">
        <v>560</v>
      </c>
      <c r="H58">
        <f t="shared" si="3"/>
        <v>4.2714595885286801</v>
      </c>
      <c r="I58">
        <f t="shared" si="9"/>
        <v>7.7008244585413621</v>
      </c>
    </row>
    <row r="59" spans="1:9" x14ac:dyDescent="0.25">
      <c r="A59">
        <v>1000</v>
      </c>
      <c r="B59">
        <v>2209.1899410000001</v>
      </c>
      <c r="C59">
        <v>-17.483809999999998</v>
      </c>
      <c r="D59" t="s">
        <v>250</v>
      </c>
      <c r="E59">
        <f t="shared" si="7"/>
        <v>731.18994100000009</v>
      </c>
      <c r="F59">
        <f t="shared" si="8"/>
        <v>70.646611000000121</v>
      </c>
      <c r="G59">
        <v>570</v>
      </c>
      <c r="H59">
        <f t="shared" si="3"/>
        <v>4.2576901391194149</v>
      </c>
      <c r="I59">
        <f t="shared" si="9"/>
        <v>7.7003811847847272</v>
      </c>
    </row>
    <row r="60" spans="1:9" x14ac:dyDescent="0.25">
      <c r="A60">
        <v>1000</v>
      </c>
      <c r="B60">
        <v>2207.7348630000001</v>
      </c>
      <c r="C60">
        <v>-17.431121999999998</v>
      </c>
      <c r="D60" t="s">
        <v>430</v>
      </c>
      <c r="E60">
        <f t="shared" si="7"/>
        <v>729.73486300000013</v>
      </c>
      <c r="F60">
        <f t="shared" si="8"/>
        <v>69.191533000000163</v>
      </c>
      <c r="G60">
        <v>580</v>
      </c>
      <c r="H60">
        <f t="shared" si="3"/>
        <v>4.2368784996462532</v>
      </c>
      <c r="I60">
        <f t="shared" si="9"/>
        <v>7.6997223200237421</v>
      </c>
    </row>
    <row r="61" spans="1:9" x14ac:dyDescent="0.25">
      <c r="A61">
        <v>1000</v>
      </c>
      <c r="B61">
        <v>2205.2739259999998</v>
      </c>
      <c r="C61">
        <v>-17.377614999999999</v>
      </c>
      <c r="D61" t="s">
        <v>431</v>
      </c>
      <c r="E61">
        <f t="shared" si="7"/>
        <v>727.27392599999985</v>
      </c>
      <c r="F61">
        <f t="shared" si="8"/>
        <v>66.730595999999878</v>
      </c>
      <c r="G61">
        <v>590</v>
      </c>
      <c r="H61">
        <f t="shared" si="3"/>
        <v>4.2006635583906879</v>
      </c>
      <c r="I61">
        <f t="shared" si="9"/>
        <v>7.6986070096435615</v>
      </c>
    </row>
    <row r="62" spans="1:9" x14ac:dyDescent="0.25">
      <c r="A62">
        <v>1000</v>
      </c>
      <c r="B62">
        <v>2204.1611330000001</v>
      </c>
      <c r="C62">
        <v>-17.323656</v>
      </c>
      <c r="D62" t="s">
        <v>432</v>
      </c>
      <c r="E62">
        <f t="shared" si="7"/>
        <v>726.16113300000006</v>
      </c>
      <c r="F62">
        <f t="shared" si="8"/>
        <v>65.617803000000094</v>
      </c>
      <c r="G62">
        <v>600</v>
      </c>
      <c r="H62">
        <f t="shared" si="3"/>
        <v>4.1838470463263233</v>
      </c>
      <c r="I62">
        <f t="shared" si="9"/>
        <v>7.6981022769470897</v>
      </c>
    </row>
    <row r="63" spans="1:9" x14ac:dyDescent="0.25">
      <c r="A63">
        <v>1000</v>
      </c>
      <c r="B63">
        <v>2201.0124510000001</v>
      </c>
      <c r="C63">
        <v>-17.228676</v>
      </c>
      <c r="D63" t="s">
        <v>433</v>
      </c>
      <c r="E63">
        <f t="shared" si="7"/>
        <v>723.01245100000006</v>
      </c>
      <c r="F63">
        <f t="shared" si="8"/>
        <v>62.469121000000086</v>
      </c>
      <c r="G63">
        <v>610</v>
      </c>
      <c r="H63">
        <f t="shared" si="3"/>
        <v>4.1346723706525239</v>
      </c>
      <c r="I63">
        <f t="shared" si="9"/>
        <v>7.6966727384845637</v>
      </c>
    </row>
    <row r="64" spans="1:9" x14ac:dyDescent="0.25">
      <c r="A64">
        <v>1000</v>
      </c>
      <c r="B64">
        <v>2200.4340820000002</v>
      </c>
      <c r="C64">
        <v>-17.260884999999998</v>
      </c>
      <c r="D64" t="s">
        <v>255</v>
      </c>
      <c r="E64">
        <f t="shared" si="7"/>
        <v>722.43408200000022</v>
      </c>
      <c r="F64">
        <f t="shared" si="8"/>
        <v>61.890752000000248</v>
      </c>
      <c r="G64">
        <v>620</v>
      </c>
      <c r="H64">
        <f t="shared" si="3"/>
        <v>4.1253707662672126</v>
      </c>
      <c r="I64">
        <f t="shared" si="9"/>
        <v>7.696409929883349</v>
      </c>
    </row>
    <row r="65" spans="1:9" x14ac:dyDescent="0.25">
      <c r="A65">
        <v>1000</v>
      </c>
      <c r="B65">
        <v>2198.3378910000001</v>
      </c>
      <c r="C65">
        <v>-17.175426000000002</v>
      </c>
      <c r="D65" t="s">
        <v>256</v>
      </c>
      <c r="E65">
        <f t="shared" si="7"/>
        <v>720.33789100000013</v>
      </c>
      <c r="F65">
        <f t="shared" si="8"/>
        <v>59.794561000000158</v>
      </c>
      <c r="G65">
        <v>630</v>
      </c>
      <c r="H65">
        <f t="shared" si="3"/>
        <v>4.0909147036428397</v>
      </c>
      <c r="I65">
        <f t="shared" si="9"/>
        <v>7.6954568497184574</v>
      </c>
    </row>
    <row r="66" spans="1:9" x14ac:dyDescent="0.25">
      <c r="A66">
        <v>1000</v>
      </c>
      <c r="B66">
        <v>2198.0590820000002</v>
      </c>
      <c r="C66">
        <v>-17.177654</v>
      </c>
      <c r="D66" t="s">
        <v>257</v>
      </c>
      <c r="E66">
        <f t="shared" si="7"/>
        <v>720.05908200000022</v>
      </c>
      <c r="F66">
        <f t="shared" si="8"/>
        <v>59.515752000000248</v>
      </c>
      <c r="G66">
        <v>640</v>
      </c>
      <c r="H66">
        <f t="shared" si="3"/>
        <v>4.08624101701007</v>
      </c>
      <c r="I66">
        <f t="shared" si="9"/>
        <v>7.6953300144931189</v>
      </c>
    </row>
    <row r="67" spans="1:9" x14ac:dyDescent="0.25">
      <c r="A67">
        <v>1000</v>
      </c>
      <c r="B67">
        <v>2196.5676269999999</v>
      </c>
      <c r="C67">
        <v>-17.147997</v>
      </c>
      <c r="D67" t="s">
        <v>434</v>
      </c>
      <c r="E67">
        <f t="shared" si="7"/>
        <v>718.5676269999999</v>
      </c>
      <c r="F67">
        <f t="shared" ref="F67:F130" si="10">E67-$R$3</f>
        <v>58.024296999999933</v>
      </c>
      <c r="G67">
        <v>650</v>
      </c>
      <c r="H67">
        <f t="shared" ref="H67:H130" si="11">LN(F67)</f>
        <v>4.0608618366196358</v>
      </c>
      <c r="I67">
        <f t="shared" si="9"/>
        <v>7.6946512514690797</v>
      </c>
    </row>
    <row r="68" spans="1:9" x14ac:dyDescent="0.25">
      <c r="A68">
        <v>1000</v>
      </c>
      <c r="B68">
        <v>2194.3071289999998</v>
      </c>
      <c r="C68">
        <v>-17.061458999999999</v>
      </c>
      <c r="D68" t="s">
        <v>259</v>
      </c>
      <c r="E68">
        <f t="shared" si="7"/>
        <v>716.3071289999998</v>
      </c>
      <c r="F68">
        <f t="shared" si="10"/>
        <v>55.763798999999835</v>
      </c>
      <c r="G68">
        <v>660</v>
      </c>
      <c r="H68">
        <f t="shared" si="11"/>
        <v>4.0211248954083363</v>
      </c>
      <c r="I68">
        <f t="shared" si="9"/>
        <v>7.693621616908624</v>
      </c>
    </row>
    <row r="69" spans="1:9" x14ac:dyDescent="0.25">
      <c r="A69">
        <v>1000</v>
      </c>
      <c r="B69">
        <v>2192.9978030000002</v>
      </c>
      <c r="C69">
        <v>-17.001749</v>
      </c>
      <c r="D69" t="s">
        <v>435</v>
      </c>
      <c r="E69">
        <f t="shared" si="7"/>
        <v>714.9978030000002</v>
      </c>
      <c r="F69">
        <f t="shared" si="10"/>
        <v>54.454473000000235</v>
      </c>
      <c r="G69">
        <v>670</v>
      </c>
      <c r="H69">
        <f t="shared" si="11"/>
        <v>3.9973649947652796</v>
      </c>
      <c r="I69">
        <f t="shared" si="9"/>
        <v>7.6930247465934007</v>
      </c>
    </row>
    <row r="70" spans="1:9" x14ac:dyDescent="0.25">
      <c r="A70">
        <v>1000</v>
      </c>
      <c r="B70">
        <v>2191.4289549999999</v>
      </c>
      <c r="C70">
        <v>-16.976994999999999</v>
      </c>
      <c r="D70" t="s">
        <v>261</v>
      </c>
      <c r="E70">
        <f t="shared" si="7"/>
        <v>713.42895499999986</v>
      </c>
      <c r="F70">
        <f t="shared" si="10"/>
        <v>52.885624999999891</v>
      </c>
      <c r="G70">
        <v>680</v>
      </c>
      <c r="H70">
        <f t="shared" si="11"/>
        <v>3.9681315628060494</v>
      </c>
      <c r="I70">
        <f t="shared" si="9"/>
        <v>7.6923091008985134</v>
      </c>
    </row>
    <row r="71" spans="1:9" x14ac:dyDescent="0.25">
      <c r="A71">
        <v>1000</v>
      </c>
      <c r="B71">
        <v>2189.1274410000001</v>
      </c>
      <c r="C71">
        <v>-16.892178999999999</v>
      </c>
      <c r="D71" t="s">
        <v>262</v>
      </c>
      <c r="E71">
        <f t="shared" si="7"/>
        <v>711.12744100000009</v>
      </c>
      <c r="F71">
        <f t="shared" si="10"/>
        <v>50.584111000000121</v>
      </c>
      <c r="G71">
        <v>690</v>
      </c>
      <c r="H71">
        <f t="shared" si="11"/>
        <v>3.923637515123668</v>
      </c>
      <c r="I71">
        <f t="shared" si="9"/>
        <v>7.691258314649593</v>
      </c>
    </row>
    <row r="72" spans="1:9" x14ac:dyDescent="0.25">
      <c r="A72">
        <v>1000</v>
      </c>
      <c r="B72">
        <v>2189.3710940000001</v>
      </c>
      <c r="C72">
        <v>-16.862808000000001</v>
      </c>
      <c r="D72" t="s">
        <v>436</v>
      </c>
      <c r="E72">
        <f t="shared" si="7"/>
        <v>711.37109400000008</v>
      </c>
      <c r="F72">
        <f t="shared" si="10"/>
        <v>50.827764000000116</v>
      </c>
      <c r="G72">
        <v>700</v>
      </c>
      <c r="H72">
        <f t="shared" si="11"/>
        <v>3.928442740721414</v>
      </c>
      <c r="I72">
        <f t="shared" si="9"/>
        <v>7.6913696098793638</v>
      </c>
    </row>
    <row r="73" spans="1:9" x14ac:dyDescent="0.25">
      <c r="A73">
        <v>1000</v>
      </c>
      <c r="B73">
        <v>2187.8771969999998</v>
      </c>
      <c r="C73">
        <v>-16.829654999999999</v>
      </c>
      <c r="D73" t="s">
        <v>264</v>
      </c>
      <c r="E73">
        <f t="shared" si="7"/>
        <v>709.8771969999998</v>
      </c>
      <c r="F73">
        <f t="shared" si="10"/>
        <v>49.333866999999827</v>
      </c>
      <c r="G73">
        <v>710</v>
      </c>
      <c r="H73">
        <f t="shared" si="11"/>
        <v>3.8986108026050599</v>
      </c>
      <c r="I73">
        <f t="shared" si="9"/>
        <v>7.6906870362812088</v>
      </c>
    </row>
    <row r="74" spans="1:9" x14ac:dyDescent="0.25">
      <c r="A74">
        <v>1000</v>
      </c>
      <c r="B74">
        <v>2185.7385250000002</v>
      </c>
      <c r="C74">
        <v>-16.752132</v>
      </c>
      <c r="D74" t="s">
        <v>437</v>
      </c>
      <c r="E74">
        <f t="shared" si="7"/>
        <v>707.73852500000021</v>
      </c>
      <c r="F74">
        <f t="shared" si="10"/>
        <v>47.19519500000024</v>
      </c>
      <c r="G74">
        <v>720</v>
      </c>
      <c r="H74">
        <f t="shared" si="11"/>
        <v>3.8542920865619994</v>
      </c>
      <c r="I74">
        <f t="shared" si="9"/>
        <v>7.6897090481330022</v>
      </c>
    </row>
    <row r="75" spans="1:9" x14ac:dyDescent="0.25">
      <c r="A75">
        <v>1000</v>
      </c>
      <c r="B75">
        <v>2184.28125</v>
      </c>
      <c r="C75">
        <v>-16.715755000000001</v>
      </c>
      <c r="D75" t="s">
        <v>266</v>
      </c>
      <c r="E75">
        <f t="shared" si="7"/>
        <v>706.28125</v>
      </c>
      <c r="F75">
        <f t="shared" si="10"/>
        <v>45.737920000000031</v>
      </c>
      <c r="G75">
        <v>730</v>
      </c>
      <c r="H75">
        <f t="shared" si="11"/>
        <v>3.8229277131400043</v>
      </c>
      <c r="I75">
        <f t="shared" si="9"/>
        <v>7.689042106046216</v>
      </c>
    </row>
    <row r="76" spans="1:9" x14ac:dyDescent="0.25">
      <c r="A76">
        <v>1000</v>
      </c>
      <c r="B76">
        <v>2183.1933589999999</v>
      </c>
      <c r="C76">
        <v>-16.681357999999999</v>
      </c>
      <c r="D76" t="s">
        <v>438</v>
      </c>
      <c r="E76">
        <f t="shared" si="7"/>
        <v>705.19335899999987</v>
      </c>
      <c r="F76">
        <f t="shared" si="10"/>
        <v>44.650028999999904</v>
      </c>
      <c r="G76">
        <v>740</v>
      </c>
      <c r="H76">
        <f t="shared" si="11"/>
        <v>3.7988549568183756</v>
      </c>
      <c r="I76">
        <f t="shared" si="9"/>
        <v>7.6885439275243499</v>
      </c>
    </row>
    <row r="77" spans="1:9" x14ac:dyDescent="0.25">
      <c r="A77">
        <v>1000</v>
      </c>
      <c r="B77">
        <v>2182.6313479999999</v>
      </c>
      <c r="C77">
        <v>-16.631128</v>
      </c>
      <c r="D77" t="s">
        <v>439</v>
      </c>
      <c r="E77">
        <f t="shared" si="7"/>
        <v>704.63134799999989</v>
      </c>
      <c r="F77">
        <f t="shared" si="10"/>
        <v>44.08801799999992</v>
      </c>
      <c r="G77">
        <v>750</v>
      </c>
      <c r="H77">
        <f t="shared" si="11"/>
        <v>3.7861880448552094</v>
      </c>
      <c r="I77">
        <f t="shared" si="9"/>
        <v>7.6882864682625511</v>
      </c>
    </row>
    <row r="78" spans="1:9" x14ac:dyDescent="0.25">
      <c r="A78">
        <v>1000</v>
      </c>
      <c r="B78">
        <v>2180.6108399999998</v>
      </c>
      <c r="C78">
        <v>-16.586786</v>
      </c>
      <c r="D78" t="s">
        <v>269</v>
      </c>
      <c r="E78">
        <f t="shared" si="7"/>
        <v>702.61083999999983</v>
      </c>
      <c r="F78">
        <f t="shared" si="10"/>
        <v>42.067509999999857</v>
      </c>
      <c r="G78">
        <v>760</v>
      </c>
      <c r="H78">
        <f t="shared" si="11"/>
        <v>3.7392757087816322</v>
      </c>
      <c r="I78">
        <f t="shared" si="9"/>
        <v>7.6873603183687944</v>
      </c>
    </row>
    <row r="79" spans="1:9" x14ac:dyDescent="0.25">
      <c r="A79">
        <v>1000</v>
      </c>
      <c r="B79">
        <v>2181.3078609999998</v>
      </c>
      <c r="C79">
        <v>-16.640212999999999</v>
      </c>
      <c r="D79" t="s">
        <v>270</v>
      </c>
      <c r="E79">
        <f t="shared" si="7"/>
        <v>703.30786099999978</v>
      </c>
      <c r="F79">
        <f t="shared" si="10"/>
        <v>42.764530999999806</v>
      </c>
      <c r="G79">
        <v>770</v>
      </c>
      <c r="H79">
        <f t="shared" si="11"/>
        <v>3.7557090440604091</v>
      </c>
      <c r="I79">
        <f t="shared" si="9"/>
        <v>7.6876799121318662</v>
      </c>
    </row>
    <row r="80" spans="1:9" x14ac:dyDescent="0.25">
      <c r="A80">
        <v>1000</v>
      </c>
      <c r="B80">
        <v>2180.6010740000002</v>
      </c>
      <c r="C80">
        <v>-16.607112999999998</v>
      </c>
      <c r="D80" t="s">
        <v>271</v>
      </c>
      <c r="E80">
        <f t="shared" si="7"/>
        <v>702.60107400000015</v>
      </c>
      <c r="F80">
        <f t="shared" si="10"/>
        <v>42.057744000000184</v>
      </c>
      <c r="G80">
        <v>780</v>
      </c>
      <c r="H80">
        <f t="shared" si="11"/>
        <v>3.7390435311755224</v>
      </c>
      <c r="I80">
        <f t="shared" si="9"/>
        <v>7.6873558397971529</v>
      </c>
    </row>
    <row r="81" spans="1:9" x14ac:dyDescent="0.25">
      <c r="A81">
        <v>1000</v>
      </c>
      <c r="B81">
        <v>2181.0676269999999</v>
      </c>
      <c r="C81">
        <v>-16.610828000000001</v>
      </c>
      <c r="D81" t="s">
        <v>272</v>
      </c>
      <c r="E81">
        <f t="shared" si="7"/>
        <v>703.0676269999999</v>
      </c>
      <c r="F81">
        <f t="shared" si="10"/>
        <v>42.524296999999933</v>
      </c>
      <c r="G81">
        <v>790</v>
      </c>
      <c r="H81">
        <f t="shared" si="11"/>
        <v>3.7500756066931911</v>
      </c>
      <c r="I81">
        <f t="shared" si="9"/>
        <v>7.6875697730569961</v>
      </c>
    </row>
    <row r="82" spans="1:9" x14ac:dyDescent="0.25">
      <c r="A82">
        <v>1000</v>
      </c>
      <c r="B82">
        <v>2179.548096</v>
      </c>
      <c r="C82">
        <v>-16.608685000000001</v>
      </c>
      <c r="D82" t="s">
        <v>273</v>
      </c>
      <c r="E82">
        <f t="shared" si="7"/>
        <v>701.54809599999999</v>
      </c>
      <c r="F82">
        <f t="shared" si="10"/>
        <v>41.004766000000018</v>
      </c>
      <c r="G82">
        <v>800</v>
      </c>
      <c r="H82">
        <f t="shared" si="11"/>
        <v>3.7136883038509483</v>
      </c>
      <c r="I82">
        <f t="shared" si="9"/>
        <v>7.6868728388816265</v>
      </c>
    </row>
    <row r="83" spans="1:9" x14ac:dyDescent="0.25">
      <c r="A83">
        <v>1000</v>
      </c>
      <c r="B83">
        <v>2180.2624510000001</v>
      </c>
      <c r="C83">
        <v>-16.595133000000001</v>
      </c>
      <c r="D83" t="s">
        <v>274</v>
      </c>
      <c r="E83">
        <f t="shared" si="7"/>
        <v>702.26245100000006</v>
      </c>
      <c r="F83">
        <f t="shared" si="10"/>
        <v>41.719121000000086</v>
      </c>
      <c r="G83">
        <v>810</v>
      </c>
      <c r="H83">
        <f t="shared" si="11"/>
        <v>3.7309595608789792</v>
      </c>
      <c r="I83">
        <f t="shared" si="9"/>
        <v>7.6872005389037685</v>
      </c>
    </row>
    <row r="84" spans="1:9" x14ac:dyDescent="0.25">
      <c r="A84">
        <v>1000</v>
      </c>
      <c r="B84">
        <v>2179.8610840000001</v>
      </c>
      <c r="C84">
        <v>-16.607388</v>
      </c>
      <c r="D84" t="s">
        <v>275</v>
      </c>
      <c r="E84">
        <f t="shared" si="7"/>
        <v>701.86108400000012</v>
      </c>
      <c r="F84">
        <f t="shared" si="10"/>
        <v>41.31775400000015</v>
      </c>
      <c r="G84">
        <v>820</v>
      </c>
      <c r="H84">
        <f t="shared" si="11"/>
        <v>3.7212922865301374</v>
      </c>
      <c r="I84">
        <f t="shared" si="9"/>
        <v>7.6870164308169624</v>
      </c>
    </row>
    <row r="85" spans="1:9" x14ac:dyDescent="0.25">
      <c r="A85">
        <v>1000</v>
      </c>
      <c r="B85">
        <v>2179.7785640000002</v>
      </c>
      <c r="C85">
        <v>-16.627248999999999</v>
      </c>
      <c r="D85" t="s">
        <v>276</v>
      </c>
      <c r="E85">
        <f t="shared" si="7"/>
        <v>701.77856400000019</v>
      </c>
      <c r="F85">
        <f t="shared" si="10"/>
        <v>41.235234000000219</v>
      </c>
      <c r="G85">
        <v>830</v>
      </c>
      <c r="H85">
        <f t="shared" si="11"/>
        <v>3.7192930850600554</v>
      </c>
      <c r="I85">
        <f t="shared" si="9"/>
        <v>7.6869785744771395</v>
      </c>
    </row>
    <row r="86" spans="1:9" x14ac:dyDescent="0.25">
      <c r="A86">
        <v>1000</v>
      </c>
      <c r="B86">
        <v>2178.9257809999999</v>
      </c>
      <c r="C86">
        <v>-16.616551999999999</v>
      </c>
      <c r="D86" t="s">
        <v>277</v>
      </c>
      <c r="E86">
        <f t="shared" si="7"/>
        <v>700.92578099999992</v>
      </c>
      <c r="F86">
        <f t="shared" si="10"/>
        <v>40.382450999999946</v>
      </c>
      <c r="G86">
        <v>840</v>
      </c>
      <c r="H86">
        <f t="shared" si="11"/>
        <v>3.6983953094081463</v>
      </c>
      <c r="I86">
        <f t="shared" si="9"/>
        <v>7.6865872733273566</v>
      </c>
    </row>
    <row r="87" spans="1:9" x14ac:dyDescent="0.25">
      <c r="A87">
        <v>1000</v>
      </c>
      <c r="B87">
        <v>2179.709961</v>
      </c>
      <c r="C87">
        <v>-16.680783999999999</v>
      </c>
      <c r="D87" t="s">
        <v>278</v>
      </c>
      <c r="E87">
        <f t="shared" si="7"/>
        <v>701.70996100000002</v>
      </c>
      <c r="F87">
        <f t="shared" si="10"/>
        <v>41.166631000000052</v>
      </c>
      <c r="G87">
        <v>850</v>
      </c>
      <c r="H87">
        <f t="shared" si="11"/>
        <v>3.7176280010027871</v>
      </c>
      <c r="I87">
        <f t="shared" si="9"/>
        <v>7.6869471015189648</v>
      </c>
    </row>
    <row r="88" spans="1:9" x14ac:dyDescent="0.25">
      <c r="A88">
        <v>1000</v>
      </c>
      <c r="B88">
        <v>2179.4011230000001</v>
      </c>
      <c r="C88">
        <v>-16.64658</v>
      </c>
      <c r="D88" t="s">
        <v>440</v>
      </c>
      <c r="E88">
        <f t="shared" si="7"/>
        <v>701.4011230000001</v>
      </c>
      <c r="F88">
        <f t="shared" si="10"/>
        <v>40.857793000000129</v>
      </c>
      <c r="G88">
        <v>860</v>
      </c>
      <c r="H88">
        <f t="shared" si="11"/>
        <v>3.710097574225351</v>
      </c>
      <c r="I88">
        <f t="shared" si="9"/>
        <v>7.6868054038220874</v>
      </c>
    </row>
    <row r="89" spans="1:9" x14ac:dyDescent="0.25">
      <c r="A89">
        <v>1000</v>
      </c>
      <c r="B89">
        <v>2179.4697270000001</v>
      </c>
      <c r="C89">
        <v>-16.678297000000001</v>
      </c>
      <c r="D89" t="s">
        <v>441</v>
      </c>
      <c r="E89">
        <f t="shared" si="7"/>
        <v>701.46972700000015</v>
      </c>
      <c r="F89">
        <f t="shared" si="10"/>
        <v>40.926397000000179</v>
      </c>
      <c r="G89">
        <v>870</v>
      </c>
      <c r="H89">
        <f t="shared" si="11"/>
        <v>3.7117752582885242</v>
      </c>
      <c r="I89">
        <f t="shared" ref="I89:I120" si="12">LN(B89)</f>
        <v>7.6868368816989809</v>
      </c>
    </row>
    <row r="90" spans="1:9" x14ac:dyDescent="0.25">
      <c r="A90">
        <v>1000</v>
      </c>
      <c r="B90">
        <v>2176.88501</v>
      </c>
      <c r="C90">
        <v>-16.578835999999999</v>
      </c>
      <c r="D90" t="s">
        <v>281</v>
      </c>
      <c r="E90">
        <f t="shared" si="7"/>
        <v>698.88500999999997</v>
      </c>
      <c r="F90">
        <f t="shared" si="10"/>
        <v>38.341679999999997</v>
      </c>
      <c r="G90">
        <v>880</v>
      </c>
      <c r="H90">
        <f t="shared" si="11"/>
        <v>3.6465375551238512</v>
      </c>
      <c r="I90">
        <f t="shared" si="12"/>
        <v>7.6856502394444624</v>
      </c>
    </row>
    <row r="91" spans="1:9" x14ac:dyDescent="0.25">
      <c r="A91">
        <v>1000</v>
      </c>
      <c r="B91">
        <v>2174.5046390000002</v>
      </c>
      <c r="C91">
        <v>-16.490427</v>
      </c>
      <c r="D91" t="s">
        <v>282</v>
      </c>
      <c r="E91">
        <f t="shared" si="7"/>
        <v>696.50463900000022</v>
      </c>
      <c r="F91">
        <f t="shared" si="10"/>
        <v>35.961309000000256</v>
      </c>
      <c r="G91">
        <v>890</v>
      </c>
      <c r="H91">
        <f t="shared" si="11"/>
        <v>3.582443610498192</v>
      </c>
      <c r="I91">
        <f t="shared" si="12"/>
        <v>7.6845561653994094</v>
      </c>
    </row>
    <row r="92" spans="1:9" x14ac:dyDescent="0.25">
      <c r="A92">
        <v>1000</v>
      </c>
      <c r="B92">
        <v>2175.5893550000001</v>
      </c>
      <c r="C92">
        <v>-16.502638000000001</v>
      </c>
      <c r="D92" t="s">
        <v>283</v>
      </c>
      <c r="E92">
        <f t="shared" si="7"/>
        <v>697.58935500000007</v>
      </c>
      <c r="F92">
        <f t="shared" si="10"/>
        <v>37.0460250000001</v>
      </c>
      <c r="G92">
        <v>900</v>
      </c>
      <c r="H92">
        <f t="shared" si="11"/>
        <v>3.6121610585369957</v>
      </c>
      <c r="I92">
        <f t="shared" si="12"/>
        <v>7.6850548746337282</v>
      </c>
    </row>
    <row r="93" spans="1:9" x14ac:dyDescent="0.25">
      <c r="A93">
        <v>1000</v>
      </c>
      <c r="B93">
        <v>2174.2810060000002</v>
      </c>
      <c r="C93">
        <v>-16.490220999999998</v>
      </c>
      <c r="D93" t="s">
        <v>284</v>
      </c>
      <c r="E93">
        <f t="shared" si="7"/>
        <v>696.28100600000016</v>
      </c>
      <c r="F93">
        <f t="shared" si="10"/>
        <v>35.737676000000192</v>
      </c>
      <c r="G93">
        <v>910</v>
      </c>
      <c r="H93">
        <f t="shared" si="11"/>
        <v>3.5762054824351894</v>
      </c>
      <c r="I93">
        <f t="shared" si="12"/>
        <v>7.6844533169178089</v>
      </c>
    </row>
    <row r="94" spans="1:9" x14ac:dyDescent="0.25">
      <c r="A94">
        <v>1000</v>
      </c>
      <c r="B94">
        <v>2173.7248540000001</v>
      </c>
      <c r="C94">
        <v>-16.459935999999999</v>
      </c>
      <c r="D94" t="s">
        <v>285</v>
      </c>
      <c r="E94">
        <f t="shared" si="7"/>
        <v>695.72485400000005</v>
      </c>
      <c r="F94">
        <f t="shared" si="10"/>
        <v>35.181524000000081</v>
      </c>
      <c r="G94">
        <v>920</v>
      </c>
      <c r="H94">
        <f t="shared" si="11"/>
        <v>3.5605210584393481</v>
      </c>
      <c r="I94">
        <f t="shared" si="12"/>
        <v>7.6841974975739804</v>
      </c>
    </row>
    <row r="95" spans="1:9" x14ac:dyDescent="0.25">
      <c r="A95">
        <v>1000</v>
      </c>
      <c r="B95">
        <v>2172.8178710000002</v>
      </c>
      <c r="C95">
        <v>-16.431031999999998</v>
      </c>
      <c r="D95" t="s">
        <v>442</v>
      </c>
      <c r="E95">
        <f t="shared" si="7"/>
        <v>694.8178710000002</v>
      </c>
      <c r="F95">
        <f t="shared" si="10"/>
        <v>34.274541000000227</v>
      </c>
      <c r="G95">
        <v>930</v>
      </c>
      <c r="H95">
        <f t="shared" si="11"/>
        <v>3.5344028336738136</v>
      </c>
      <c r="I95">
        <f t="shared" si="12"/>
        <v>7.6837801622016872</v>
      </c>
    </row>
    <row r="96" spans="1:9" x14ac:dyDescent="0.25">
      <c r="A96">
        <v>1000</v>
      </c>
      <c r="B96">
        <v>2172.999268</v>
      </c>
      <c r="C96">
        <v>-16.454568999999999</v>
      </c>
      <c r="D96" t="s">
        <v>287</v>
      </c>
      <c r="E96">
        <f t="shared" si="7"/>
        <v>694.99926800000003</v>
      </c>
      <c r="F96">
        <f t="shared" si="10"/>
        <v>34.45593800000006</v>
      </c>
      <c r="G96">
        <v>940</v>
      </c>
      <c r="H96">
        <f t="shared" si="11"/>
        <v>3.5396813483538607</v>
      </c>
      <c r="I96">
        <f t="shared" si="12"/>
        <v>7.6838636433948908</v>
      </c>
    </row>
    <row r="97" spans="1:9" x14ac:dyDescent="0.25">
      <c r="A97">
        <v>1000</v>
      </c>
      <c r="B97">
        <v>2170.7250979999999</v>
      </c>
      <c r="C97">
        <v>-16.35549</v>
      </c>
      <c r="D97" t="s">
        <v>288</v>
      </c>
      <c r="E97">
        <f t="shared" si="7"/>
        <v>692.72509799999989</v>
      </c>
      <c r="F97">
        <f t="shared" si="10"/>
        <v>32.18176799999992</v>
      </c>
      <c r="G97">
        <v>950</v>
      </c>
      <c r="H97">
        <f t="shared" si="11"/>
        <v>3.4714000810121517</v>
      </c>
      <c r="I97">
        <f t="shared" si="12"/>
        <v>7.6828165372637605</v>
      </c>
    </row>
    <row r="98" spans="1:9" x14ac:dyDescent="0.25">
      <c r="A98">
        <v>1000</v>
      </c>
      <c r="B98">
        <v>2169.7143550000001</v>
      </c>
      <c r="C98">
        <v>-16.323471000000001</v>
      </c>
      <c r="D98" t="s">
        <v>289</v>
      </c>
      <c r="E98">
        <f t="shared" si="7"/>
        <v>691.71435500000007</v>
      </c>
      <c r="F98">
        <f t="shared" si="10"/>
        <v>31.1710250000001</v>
      </c>
      <c r="G98">
        <v>960</v>
      </c>
      <c r="H98">
        <f t="shared" si="11"/>
        <v>3.4394889774220858</v>
      </c>
      <c r="I98">
        <f t="shared" si="12"/>
        <v>7.6823508042294844</v>
      </c>
    </row>
    <row r="99" spans="1:9" x14ac:dyDescent="0.25">
      <c r="A99">
        <v>1000</v>
      </c>
      <c r="B99">
        <v>2169.6125489999999</v>
      </c>
      <c r="C99">
        <v>-16.325068000000002</v>
      </c>
      <c r="D99" t="s">
        <v>290</v>
      </c>
      <c r="E99">
        <f t="shared" si="7"/>
        <v>691.61254899999994</v>
      </c>
      <c r="F99">
        <f t="shared" si="10"/>
        <v>31.069218999999975</v>
      </c>
      <c r="G99">
        <v>970</v>
      </c>
      <c r="H99">
        <f t="shared" si="11"/>
        <v>3.4362175863011224</v>
      </c>
      <c r="I99">
        <f t="shared" si="12"/>
        <v>7.6823038817448355</v>
      </c>
    </row>
    <row r="100" spans="1:9" x14ac:dyDescent="0.25">
      <c r="A100">
        <v>1000</v>
      </c>
      <c r="B100">
        <v>2169.993164</v>
      </c>
      <c r="C100">
        <v>-16.325271999999998</v>
      </c>
      <c r="D100" t="s">
        <v>291</v>
      </c>
      <c r="E100">
        <f t="shared" si="7"/>
        <v>691.99316399999998</v>
      </c>
      <c r="F100">
        <f t="shared" si="10"/>
        <v>31.44983400000001</v>
      </c>
      <c r="G100">
        <v>980</v>
      </c>
      <c r="H100">
        <f t="shared" si="11"/>
        <v>3.4483937049131241</v>
      </c>
      <c r="I100">
        <f t="shared" si="12"/>
        <v>7.6824792962991282</v>
      </c>
    </row>
    <row r="101" spans="1:9" x14ac:dyDescent="0.25">
      <c r="A101">
        <v>1000</v>
      </c>
      <c r="B101">
        <v>2170.226318</v>
      </c>
      <c r="C101">
        <v>-16.374027000000002</v>
      </c>
      <c r="D101" t="s">
        <v>292</v>
      </c>
      <c r="E101">
        <f t="shared" si="7"/>
        <v>692.22631799999999</v>
      </c>
      <c r="F101">
        <f t="shared" si="10"/>
        <v>31.682988000000023</v>
      </c>
      <c r="G101">
        <v>990</v>
      </c>
      <c r="H101">
        <f t="shared" si="11"/>
        <v>3.4557798806803639</v>
      </c>
      <c r="I101">
        <f t="shared" si="12"/>
        <v>7.6825867351054802</v>
      </c>
    </row>
    <row r="102" spans="1:9" x14ac:dyDescent="0.25">
      <c r="A102">
        <v>1000</v>
      </c>
      <c r="B102">
        <v>2171.6696780000002</v>
      </c>
      <c r="C102">
        <v>-16.445688000000001</v>
      </c>
      <c r="D102" t="s">
        <v>443</v>
      </c>
      <c r="E102">
        <f t="shared" si="7"/>
        <v>693.6696780000002</v>
      </c>
      <c r="F102">
        <f t="shared" si="10"/>
        <v>33.126348000000235</v>
      </c>
      <c r="G102">
        <v>1000</v>
      </c>
      <c r="H102">
        <f t="shared" si="11"/>
        <v>3.500328977818024</v>
      </c>
      <c r="I102">
        <f t="shared" si="12"/>
        <v>7.6832515875360752</v>
      </c>
    </row>
    <row r="103" spans="1:9" x14ac:dyDescent="0.25">
      <c r="A103">
        <v>1000</v>
      </c>
      <c r="B103">
        <v>2171.4887699999999</v>
      </c>
      <c r="C103">
        <v>-16.457053999999999</v>
      </c>
      <c r="D103" t="s">
        <v>444</v>
      </c>
      <c r="E103">
        <f t="shared" si="7"/>
        <v>693.48876999999993</v>
      </c>
      <c r="F103">
        <f t="shared" si="10"/>
        <v>32.945439999999962</v>
      </c>
      <c r="G103">
        <v>1010</v>
      </c>
      <c r="H103">
        <f t="shared" si="11"/>
        <v>3.4948528598692512</v>
      </c>
      <c r="I103">
        <f t="shared" si="12"/>
        <v>7.6831682804210946</v>
      </c>
    </row>
    <row r="104" spans="1:9" x14ac:dyDescent="0.25">
      <c r="A104">
        <v>1000</v>
      </c>
      <c r="B104">
        <v>2170.2785640000002</v>
      </c>
      <c r="C104">
        <v>-16.386786000000001</v>
      </c>
      <c r="D104" t="s">
        <v>295</v>
      </c>
      <c r="E104">
        <f t="shared" si="7"/>
        <v>692.27856400000019</v>
      </c>
      <c r="F104">
        <f t="shared" si="10"/>
        <v>31.735234000000219</v>
      </c>
      <c r="G104">
        <v>1020</v>
      </c>
      <c r="H104">
        <f t="shared" si="11"/>
        <v>3.4574275462935686</v>
      </c>
      <c r="I104">
        <f t="shared" si="12"/>
        <v>7.6826108088026297</v>
      </c>
    </row>
    <row r="105" spans="1:9" x14ac:dyDescent="0.25">
      <c r="A105">
        <v>1000</v>
      </c>
      <c r="B105">
        <v>2168.1179200000001</v>
      </c>
      <c r="C105">
        <v>-16.27421</v>
      </c>
      <c r="D105" t="s">
        <v>296</v>
      </c>
      <c r="E105">
        <f t="shared" si="7"/>
        <v>690.11792000000014</v>
      </c>
      <c r="F105">
        <f t="shared" si="10"/>
        <v>29.574590000000171</v>
      </c>
      <c r="G105">
        <v>1030</v>
      </c>
      <c r="H105">
        <f t="shared" si="11"/>
        <v>3.3869155467083463</v>
      </c>
      <c r="I105">
        <f t="shared" si="12"/>
        <v>7.6816147522243039</v>
      </c>
    </row>
    <row r="106" spans="1:9" x14ac:dyDescent="0.25">
      <c r="A106">
        <v>1000</v>
      </c>
      <c r="B106">
        <v>2165.7209469999998</v>
      </c>
      <c r="C106">
        <v>-16.166087999999998</v>
      </c>
      <c r="D106" t="s">
        <v>297</v>
      </c>
      <c r="E106">
        <f t="shared" si="7"/>
        <v>687.7209469999998</v>
      </c>
      <c r="F106">
        <f t="shared" si="10"/>
        <v>27.177616999999827</v>
      </c>
      <c r="G106">
        <v>1040</v>
      </c>
      <c r="H106">
        <f t="shared" si="11"/>
        <v>3.3023937301184811</v>
      </c>
      <c r="I106">
        <f t="shared" si="12"/>
        <v>7.6805085859278757</v>
      </c>
    </row>
    <row r="107" spans="1:9" x14ac:dyDescent="0.25">
      <c r="A107">
        <v>1000</v>
      </c>
      <c r="B107">
        <v>2163.326172</v>
      </c>
      <c r="C107">
        <v>-16.042448</v>
      </c>
      <c r="D107" t="s">
        <v>298</v>
      </c>
      <c r="E107">
        <f t="shared" si="7"/>
        <v>685.32617200000004</v>
      </c>
      <c r="F107">
        <f t="shared" si="10"/>
        <v>24.782842000000073</v>
      </c>
      <c r="G107">
        <v>1050</v>
      </c>
      <c r="H107">
        <f t="shared" si="11"/>
        <v>3.210151558890225</v>
      </c>
      <c r="I107">
        <f t="shared" si="12"/>
        <v>7.6794022107009718</v>
      </c>
    </row>
    <row r="108" spans="1:9" x14ac:dyDescent="0.25">
      <c r="A108">
        <v>1000</v>
      </c>
      <c r="B108">
        <v>2161.876953</v>
      </c>
      <c r="C108">
        <v>-15.999022</v>
      </c>
      <c r="D108" t="s">
        <v>299</v>
      </c>
      <c r="E108">
        <f t="shared" si="7"/>
        <v>683.87695299999996</v>
      </c>
      <c r="F108">
        <f t="shared" si="10"/>
        <v>23.333622999999989</v>
      </c>
      <c r="G108">
        <v>1060</v>
      </c>
      <c r="H108">
        <f t="shared" si="11"/>
        <v>3.1498953675899064</v>
      </c>
      <c r="I108">
        <f t="shared" si="12"/>
        <v>7.6787320830735055</v>
      </c>
    </row>
    <row r="109" spans="1:9" x14ac:dyDescent="0.25">
      <c r="A109">
        <v>1000</v>
      </c>
      <c r="B109">
        <v>2161.4033199999999</v>
      </c>
      <c r="C109">
        <v>-15.968655999999999</v>
      </c>
      <c r="D109" t="s">
        <v>445</v>
      </c>
      <c r="E109">
        <f t="shared" si="7"/>
        <v>683.40331999999989</v>
      </c>
      <c r="F109">
        <f t="shared" si="10"/>
        <v>22.859989999999925</v>
      </c>
      <c r="G109">
        <v>1070</v>
      </c>
      <c r="H109">
        <f t="shared" si="11"/>
        <v>3.1293882209212462</v>
      </c>
      <c r="I109">
        <f t="shared" si="12"/>
        <v>7.6785129749093404</v>
      </c>
    </row>
    <row r="110" spans="1:9" x14ac:dyDescent="0.25">
      <c r="A110">
        <v>1000</v>
      </c>
      <c r="B110">
        <v>2160.546875</v>
      </c>
      <c r="C110">
        <v>-15.90381</v>
      </c>
      <c r="D110" t="s">
        <v>301</v>
      </c>
      <c r="E110">
        <f t="shared" si="7"/>
        <v>682.546875</v>
      </c>
      <c r="F110">
        <f t="shared" si="10"/>
        <v>22.003545000000031</v>
      </c>
      <c r="G110">
        <v>1080</v>
      </c>
      <c r="H110">
        <f t="shared" si="11"/>
        <v>3.0912035767408841</v>
      </c>
      <c r="I110">
        <f t="shared" si="12"/>
        <v>7.6781166515032071</v>
      </c>
    </row>
    <row r="111" spans="1:9" x14ac:dyDescent="0.25">
      <c r="A111">
        <v>1000</v>
      </c>
      <c r="B111">
        <v>2157.7163089999999</v>
      </c>
      <c r="C111">
        <v>-15.816520000000001</v>
      </c>
      <c r="D111" t="s">
        <v>446</v>
      </c>
      <c r="E111">
        <f t="shared" si="7"/>
        <v>679.71630899999991</v>
      </c>
      <c r="F111">
        <f t="shared" si="10"/>
        <v>19.172978999999941</v>
      </c>
      <c r="G111">
        <v>1090</v>
      </c>
      <c r="H111">
        <f t="shared" si="11"/>
        <v>2.9535019440453998</v>
      </c>
      <c r="I111">
        <f t="shared" si="12"/>
        <v>7.6768056770281516</v>
      </c>
    </row>
    <row r="112" spans="1:9" x14ac:dyDescent="0.25">
      <c r="A112">
        <v>1000</v>
      </c>
      <c r="B112">
        <v>2157.4729000000002</v>
      </c>
      <c r="C112">
        <v>-15.768516999999999</v>
      </c>
      <c r="D112" t="s">
        <v>303</v>
      </c>
      <c r="E112">
        <f t="shared" si="7"/>
        <v>679.47290000000021</v>
      </c>
      <c r="F112">
        <f t="shared" si="10"/>
        <v>18.92957000000024</v>
      </c>
      <c r="G112">
        <v>1100</v>
      </c>
      <c r="H112">
        <f t="shared" si="11"/>
        <v>2.9407252496964764</v>
      </c>
      <c r="I112">
        <f t="shared" si="12"/>
        <v>7.6766928620443959</v>
      </c>
    </row>
    <row r="113" spans="1:9" x14ac:dyDescent="0.25">
      <c r="A113">
        <v>1000</v>
      </c>
      <c r="B113">
        <v>2158.0407709999999</v>
      </c>
      <c r="C113">
        <v>-15.789498999999999</v>
      </c>
      <c r="D113" t="s">
        <v>304</v>
      </c>
      <c r="E113">
        <f t="shared" si="7"/>
        <v>680.04077099999995</v>
      </c>
      <c r="F113">
        <f t="shared" si="10"/>
        <v>19.497440999999981</v>
      </c>
      <c r="G113">
        <v>1110</v>
      </c>
      <c r="H113">
        <f t="shared" si="11"/>
        <v>2.9702832261889585</v>
      </c>
      <c r="I113">
        <f t="shared" si="12"/>
        <v>7.6769560385960514</v>
      </c>
    </row>
    <row r="114" spans="1:9" x14ac:dyDescent="0.25">
      <c r="A114">
        <v>1000</v>
      </c>
      <c r="B114">
        <v>2156.5014649999998</v>
      </c>
      <c r="C114">
        <v>-15.733452</v>
      </c>
      <c r="D114" t="s">
        <v>447</v>
      </c>
      <c r="E114">
        <f t="shared" si="7"/>
        <v>678.50146499999983</v>
      </c>
      <c r="F114">
        <f t="shared" si="10"/>
        <v>17.958134999999857</v>
      </c>
      <c r="G114">
        <v>1120</v>
      </c>
      <c r="H114">
        <f t="shared" si="11"/>
        <v>2.888043215611281</v>
      </c>
      <c r="I114">
        <f t="shared" si="12"/>
        <v>7.676242495429193</v>
      </c>
    </row>
    <row r="115" spans="1:9" x14ac:dyDescent="0.25">
      <c r="A115">
        <v>1000</v>
      </c>
      <c r="B115">
        <v>2157.4174800000001</v>
      </c>
      <c r="C115">
        <v>-15.757752</v>
      </c>
      <c r="D115" t="s">
        <v>448</v>
      </c>
      <c r="E115">
        <f t="shared" si="7"/>
        <v>679.41748000000007</v>
      </c>
      <c r="F115">
        <f t="shared" si="10"/>
        <v>18.8741500000001</v>
      </c>
      <c r="G115">
        <v>1130</v>
      </c>
      <c r="H115">
        <f t="shared" si="11"/>
        <v>2.93779326100849</v>
      </c>
      <c r="I115">
        <f t="shared" si="12"/>
        <v>7.6766671742539208</v>
      </c>
    </row>
    <row r="116" spans="1:9" x14ac:dyDescent="0.25">
      <c r="A116">
        <v>1000</v>
      </c>
      <c r="B116">
        <v>2154.921875</v>
      </c>
      <c r="C116">
        <v>-15.674657</v>
      </c>
      <c r="D116" t="s">
        <v>307</v>
      </c>
      <c r="E116">
        <f t="shared" si="7"/>
        <v>676.921875</v>
      </c>
      <c r="F116">
        <f t="shared" si="10"/>
        <v>16.378545000000031</v>
      </c>
      <c r="G116">
        <v>1140</v>
      </c>
      <c r="H116">
        <f t="shared" si="11"/>
        <v>2.7959722466406713</v>
      </c>
      <c r="I116">
        <f t="shared" si="12"/>
        <v>7.6755097489804642</v>
      </c>
    </row>
    <row r="117" spans="1:9" x14ac:dyDescent="0.25">
      <c r="A117">
        <v>1000</v>
      </c>
      <c r="B117">
        <v>2155.2661130000001</v>
      </c>
      <c r="C117">
        <v>-15.683016</v>
      </c>
      <c r="D117" t="s">
        <v>449</v>
      </c>
      <c r="E117">
        <f t="shared" si="7"/>
        <v>677.26611300000013</v>
      </c>
      <c r="F117">
        <f t="shared" si="10"/>
        <v>16.722783000000163</v>
      </c>
      <c r="G117">
        <v>1150</v>
      </c>
      <c r="H117">
        <f t="shared" si="11"/>
        <v>2.8167720411741599</v>
      </c>
      <c r="I117">
        <f t="shared" si="12"/>
        <v>7.6756694812249462</v>
      </c>
    </row>
    <row r="118" spans="1:9" x14ac:dyDescent="0.25">
      <c r="A118">
        <v>1000</v>
      </c>
      <c r="B118">
        <v>2154.6359859999998</v>
      </c>
      <c r="C118">
        <v>-15.662402999999999</v>
      </c>
      <c r="D118" t="s">
        <v>450</v>
      </c>
      <c r="E118">
        <f t="shared" si="7"/>
        <v>676.63598599999978</v>
      </c>
      <c r="F118">
        <f t="shared" si="10"/>
        <v>16.092655999999806</v>
      </c>
      <c r="G118">
        <v>1160</v>
      </c>
      <c r="H118">
        <f t="shared" si="11"/>
        <v>2.7783630188544479</v>
      </c>
      <c r="I118">
        <f t="shared" si="12"/>
        <v>7.6753770722606518</v>
      </c>
    </row>
    <row r="119" spans="1:9" x14ac:dyDescent="0.25">
      <c r="A119">
        <v>1000</v>
      </c>
      <c r="B119">
        <v>2153.8063959999999</v>
      </c>
      <c r="C119">
        <v>-15.633224</v>
      </c>
      <c r="D119" t="s">
        <v>451</v>
      </c>
      <c r="E119">
        <f t="shared" si="7"/>
        <v>675.80639599999995</v>
      </c>
      <c r="F119">
        <f t="shared" si="10"/>
        <v>15.263065999999981</v>
      </c>
      <c r="G119">
        <v>1170</v>
      </c>
      <c r="H119">
        <f t="shared" si="11"/>
        <v>2.7254359231062986</v>
      </c>
      <c r="I119">
        <f t="shared" si="12"/>
        <v>7.6749919725254347</v>
      </c>
    </row>
    <row r="120" spans="1:9" x14ac:dyDescent="0.25">
      <c r="A120">
        <v>1000</v>
      </c>
      <c r="B120">
        <v>2153.5048830000001</v>
      </c>
      <c r="C120">
        <v>-15.612228</v>
      </c>
      <c r="D120" t="s">
        <v>452</v>
      </c>
      <c r="E120">
        <f t="shared" si="7"/>
        <v>675.50488300000006</v>
      </c>
      <c r="F120">
        <f t="shared" si="10"/>
        <v>14.961553000000094</v>
      </c>
      <c r="G120">
        <v>1180</v>
      </c>
      <c r="H120">
        <f t="shared" si="11"/>
        <v>2.7054837773188636</v>
      </c>
      <c r="I120">
        <f t="shared" si="12"/>
        <v>7.6748519719631529</v>
      </c>
    </row>
    <row r="121" spans="1:9" x14ac:dyDescent="0.25">
      <c r="A121">
        <v>1000</v>
      </c>
      <c r="B121">
        <v>2151.5410160000001</v>
      </c>
      <c r="C121">
        <v>-15.555839000000001</v>
      </c>
      <c r="D121" t="s">
        <v>312</v>
      </c>
      <c r="E121">
        <f t="shared" ref="E121:E184" si="13">B121-$P$3</f>
        <v>673.54101600000013</v>
      </c>
      <c r="F121">
        <f t="shared" si="10"/>
        <v>12.997686000000158</v>
      </c>
      <c r="G121">
        <v>1190</v>
      </c>
      <c r="H121">
        <f t="shared" si="11"/>
        <v>2.5647713416176687</v>
      </c>
      <c r="I121">
        <f t="shared" ref="I121:I152" si="14">LN(B121)</f>
        <v>7.6739396160058408</v>
      </c>
    </row>
    <row r="122" spans="1:9" x14ac:dyDescent="0.25">
      <c r="A122">
        <v>1000</v>
      </c>
      <c r="B122">
        <v>2151.9228520000001</v>
      </c>
      <c r="C122">
        <v>-15.546604</v>
      </c>
      <c r="D122" t="s">
        <v>453</v>
      </c>
      <c r="E122">
        <f t="shared" si="13"/>
        <v>673.92285200000015</v>
      </c>
      <c r="F122">
        <f t="shared" si="10"/>
        <v>13.379522000000179</v>
      </c>
      <c r="G122">
        <v>1200</v>
      </c>
      <c r="H122">
        <f t="shared" si="11"/>
        <v>2.5937253290993132</v>
      </c>
      <c r="I122">
        <f t="shared" si="14"/>
        <v>7.6741170711966893</v>
      </c>
    </row>
    <row r="123" spans="1:9" x14ac:dyDescent="0.25">
      <c r="A123">
        <v>1000</v>
      </c>
      <c r="B123">
        <v>2150.5490719999998</v>
      </c>
      <c r="C123">
        <v>-15.491621</v>
      </c>
      <c r="D123" t="s">
        <v>454</v>
      </c>
      <c r="E123">
        <f t="shared" si="13"/>
        <v>672.5490719999998</v>
      </c>
      <c r="F123">
        <f t="shared" si="10"/>
        <v>12.005741999999827</v>
      </c>
      <c r="G123">
        <v>1210</v>
      </c>
      <c r="H123">
        <f t="shared" si="11"/>
        <v>2.4853850353433673</v>
      </c>
      <c r="I123">
        <f t="shared" si="14"/>
        <v>7.6734784708427748</v>
      </c>
    </row>
    <row r="124" spans="1:9" x14ac:dyDescent="0.25">
      <c r="A124">
        <v>1000</v>
      </c>
      <c r="B124">
        <v>2149.876221</v>
      </c>
      <c r="C124">
        <v>-15.456799999999999</v>
      </c>
      <c r="D124" t="s">
        <v>315</v>
      </c>
      <c r="E124">
        <f t="shared" si="13"/>
        <v>671.87622099999999</v>
      </c>
      <c r="F124">
        <f t="shared" si="10"/>
        <v>11.332891000000018</v>
      </c>
      <c r="G124">
        <v>1220</v>
      </c>
      <c r="H124">
        <f t="shared" si="11"/>
        <v>2.4277092057746215</v>
      </c>
      <c r="I124">
        <f t="shared" si="14"/>
        <v>7.6731655478364917</v>
      </c>
    </row>
    <row r="125" spans="1:9" x14ac:dyDescent="0.25">
      <c r="A125">
        <v>1000</v>
      </c>
      <c r="B125">
        <v>2149.4946289999998</v>
      </c>
      <c r="C125">
        <v>-15.452688999999999</v>
      </c>
      <c r="D125" t="s">
        <v>455</v>
      </c>
      <c r="E125">
        <f t="shared" si="13"/>
        <v>671.4946289999998</v>
      </c>
      <c r="F125">
        <f t="shared" si="10"/>
        <v>10.951298999999835</v>
      </c>
      <c r="G125">
        <v>1230</v>
      </c>
      <c r="H125">
        <f t="shared" si="11"/>
        <v>2.3934580793634828</v>
      </c>
      <c r="I125">
        <f t="shared" si="14"/>
        <v>7.6729880372125816</v>
      </c>
    </row>
    <row r="126" spans="1:9" x14ac:dyDescent="0.25">
      <c r="A126">
        <v>1000</v>
      </c>
      <c r="B126">
        <v>2150.4604490000002</v>
      </c>
      <c r="C126">
        <v>-15.456308999999999</v>
      </c>
      <c r="D126" t="s">
        <v>317</v>
      </c>
      <c r="E126">
        <f t="shared" si="13"/>
        <v>672.46044900000015</v>
      </c>
      <c r="F126">
        <f t="shared" si="10"/>
        <v>11.917119000000184</v>
      </c>
      <c r="G126">
        <v>1240</v>
      </c>
      <c r="H126">
        <f t="shared" si="11"/>
        <v>2.477975937793492</v>
      </c>
      <c r="I126">
        <f t="shared" si="14"/>
        <v>7.6734372605178125</v>
      </c>
    </row>
    <row r="127" spans="1:9" x14ac:dyDescent="0.25">
      <c r="A127">
        <v>1000</v>
      </c>
      <c r="B127">
        <v>2149.7951659999999</v>
      </c>
      <c r="C127">
        <v>-15.434943000000001</v>
      </c>
      <c r="D127" t="s">
        <v>456</v>
      </c>
      <c r="E127">
        <f t="shared" si="13"/>
        <v>671.79516599999988</v>
      </c>
      <c r="F127">
        <f t="shared" si="10"/>
        <v>11.251835999999912</v>
      </c>
      <c r="G127">
        <v>1250</v>
      </c>
      <c r="H127">
        <f t="shared" si="11"/>
        <v>2.4205313153347499</v>
      </c>
      <c r="I127">
        <f t="shared" si="14"/>
        <v>7.6731278449551716</v>
      </c>
    </row>
    <row r="128" spans="1:9" x14ac:dyDescent="0.25">
      <c r="A128">
        <v>1000</v>
      </c>
      <c r="B128">
        <v>2148.6840820000002</v>
      </c>
      <c r="C128">
        <v>-15.374988999999999</v>
      </c>
      <c r="D128" t="s">
        <v>457</v>
      </c>
      <c r="E128">
        <f t="shared" si="13"/>
        <v>670.68408200000022</v>
      </c>
      <c r="F128">
        <f t="shared" si="10"/>
        <v>10.140752000000248</v>
      </c>
      <c r="G128">
        <v>1260</v>
      </c>
      <c r="H128">
        <f t="shared" si="11"/>
        <v>2.3165621571489163</v>
      </c>
      <c r="I128">
        <f t="shared" si="14"/>
        <v>7.6726108788559344</v>
      </c>
    </row>
    <row r="129" spans="1:9" x14ac:dyDescent="0.25">
      <c r="A129">
        <v>1000</v>
      </c>
      <c r="B129">
        <v>2148.022461</v>
      </c>
      <c r="C129">
        <v>-15.360469</v>
      </c>
      <c r="D129" t="s">
        <v>320</v>
      </c>
      <c r="E129">
        <f t="shared" si="13"/>
        <v>670.02246100000002</v>
      </c>
      <c r="F129">
        <f t="shared" si="10"/>
        <v>9.4791310000000522</v>
      </c>
      <c r="G129">
        <v>1270</v>
      </c>
      <c r="H129">
        <f t="shared" si="11"/>
        <v>2.2490926453986235</v>
      </c>
      <c r="I129">
        <f t="shared" si="14"/>
        <v>7.6723029122779947</v>
      </c>
    </row>
    <row r="130" spans="1:9" x14ac:dyDescent="0.25">
      <c r="A130">
        <v>1000</v>
      </c>
      <c r="B130">
        <v>2148.8410640000002</v>
      </c>
      <c r="C130">
        <v>-15.389687</v>
      </c>
      <c r="D130" t="s">
        <v>458</v>
      </c>
      <c r="E130">
        <f t="shared" si="13"/>
        <v>670.84106400000019</v>
      </c>
      <c r="F130">
        <f t="shared" si="10"/>
        <v>10.297734000000219</v>
      </c>
      <c r="G130">
        <v>1280</v>
      </c>
      <c r="H130">
        <f t="shared" si="11"/>
        <v>2.3319238710320613</v>
      </c>
      <c r="I130">
        <f t="shared" si="14"/>
        <v>7.6726839357874184</v>
      </c>
    </row>
    <row r="131" spans="1:9" x14ac:dyDescent="0.25">
      <c r="A131">
        <v>1000</v>
      </c>
      <c r="B131">
        <v>2150.638672</v>
      </c>
      <c r="C131">
        <v>-15.429506999999999</v>
      </c>
      <c r="D131" t="s">
        <v>322</v>
      </c>
      <c r="E131">
        <f t="shared" si="13"/>
        <v>672.63867200000004</v>
      </c>
      <c r="F131">
        <f t="shared" ref="F131:F187" si="15">E131-$R$3</f>
        <v>12.095342000000073</v>
      </c>
      <c r="G131">
        <v>1290</v>
      </c>
      <c r="H131">
        <f t="shared" ref="H131:H187" si="16">LN(F131)</f>
        <v>2.4928204198094024</v>
      </c>
      <c r="I131">
        <f t="shared" si="14"/>
        <v>7.6735201337532759</v>
      </c>
    </row>
    <row r="132" spans="1:9" x14ac:dyDescent="0.25">
      <c r="A132">
        <v>1000</v>
      </c>
      <c r="B132">
        <v>2150.9104000000002</v>
      </c>
      <c r="C132">
        <v>-15.476663</v>
      </c>
      <c r="D132" t="s">
        <v>323</v>
      </c>
      <c r="E132">
        <f t="shared" si="13"/>
        <v>672.91040000000021</v>
      </c>
      <c r="F132">
        <f t="shared" si="15"/>
        <v>12.36707000000024</v>
      </c>
      <c r="G132">
        <v>1300</v>
      </c>
      <c r="H132">
        <f t="shared" si="16"/>
        <v>2.5150372949687121</v>
      </c>
      <c r="I132">
        <f t="shared" si="14"/>
        <v>7.6736464733559693</v>
      </c>
    </row>
    <row r="133" spans="1:9" x14ac:dyDescent="0.25">
      <c r="A133">
        <v>1000</v>
      </c>
      <c r="B133">
        <v>2150.3325199999999</v>
      </c>
      <c r="C133">
        <v>-15.483779999999999</v>
      </c>
      <c r="D133" t="s">
        <v>324</v>
      </c>
      <c r="E133">
        <f t="shared" si="13"/>
        <v>672.33251999999993</v>
      </c>
      <c r="F133">
        <f t="shared" si="15"/>
        <v>11.789189999999962</v>
      </c>
      <c r="G133">
        <v>1310</v>
      </c>
      <c r="H133">
        <f t="shared" si="16"/>
        <v>2.4671830098990895</v>
      </c>
      <c r="I133">
        <f t="shared" si="14"/>
        <v>7.6733777696281278</v>
      </c>
    </row>
    <row r="134" spans="1:9" x14ac:dyDescent="0.25">
      <c r="A134">
        <v>1000</v>
      </c>
      <c r="B134">
        <v>2150.6965329999998</v>
      </c>
      <c r="C134">
        <v>-15.470734999999999</v>
      </c>
      <c r="D134" t="s">
        <v>325</v>
      </c>
      <c r="E134">
        <f t="shared" si="13"/>
        <v>672.69653299999982</v>
      </c>
      <c r="F134">
        <f t="shared" si="15"/>
        <v>12.153202999999849</v>
      </c>
      <c r="G134">
        <v>1320</v>
      </c>
      <c r="H134">
        <f t="shared" si="16"/>
        <v>2.4975927564437064</v>
      </c>
      <c r="I134">
        <f t="shared" si="14"/>
        <v>7.6735470374923453</v>
      </c>
    </row>
    <row r="135" spans="1:9" x14ac:dyDescent="0.25">
      <c r="A135">
        <v>1000</v>
      </c>
      <c r="B135">
        <v>2148.671143</v>
      </c>
      <c r="C135">
        <v>-15.409755000000001</v>
      </c>
      <c r="D135" t="s">
        <v>459</v>
      </c>
      <c r="E135">
        <f t="shared" si="13"/>
        <v>670.67114300000003</v>
      </c>
      <c r="F135">
        <f t="shared" si="15"/>
        <v>10.12781300000006</v>
      </c>
      <c r="G135">
        <v>1330</v>
      </c>
      <c r="H135">
        <f t="shared" si="16"/>
        <v>2.315285401566284</v>
      </c>
      <c r="I135">
        <f t="shared" si="14"/>
        <v>7.6726048570125807</v>
      </c>
    </row>
    <row r="136" spans="1:9" x14ac:dyDescent="0.25">
      <c r="A136">
        <v>1000</v>
      </c>
      <c r="B136">
        <v>2149.6596679999998</v>
      </c>
      <c r="C136">
        <v>-15.428701</v>
      </c>
      <c r="D136" t="s">
        <v>460</v>
      </c>
      <c r="E136">
        <f t="shared" si="13"/>
        <v>671.65966799999978</v>
      </c>
      <c r="F136">
        <f t="shared" si="15"/>
        <v>11.116337999999814</v>
      </c>
      <c r="G136">
        <v>1340</v>
      </c>
      <c r="H136">
        <f t="shared" si="16"/>
        <v>2.4084159180390552</v>
      </c>
      <c r="I136">
        <f t="shared" si="14"/>
        <v>7.6730648146384102</v>
      </c>
    </row>
    <row r="137" spans="1:9" x14ac:dyDescent="0.25">
      <c r="A137">
        <v>1000</v>
      </c>
      <c r="B137">
        <v>2149.2714839999999</v>
      </c>
      <c r="C137">
        <v>-15.411079000000001</v>
      </c>
      <c r="D137" t="s">
        <v>461</v>
      </c>
      <c r="E137">
        <f t="shared" si="13"/>
        <v>671.27148399999987</v>
      </c>
      <c r="F137">
        <f t="shared" si="15"/>
        <v>10.728153999999904</v>
      </c>
      <c r="G137">
        <v>1350</v>
      </c>
      <c r="H137">
        <f t="shared" si="16"/>
        <v>2.3728715008353229</v>
      </c>
      <c r="I137">
        <f t="shared" si="14"/>
        <v>7.6728842190497257</v>
      </c>
    </row>
    <row r="138" spans="1:9" x14ac:dyDescent="0.25">
      <c r="A138">
        <v>1000</v>
      </c>
      <c r="B138">
        <v>2148.0366210000002</v>
      </c>
      <c r="C138">
        <v>-15.355399999999999</v>
      </c>
      <c r="D138" t="s">
        <v>462</v>
      </c>
      <c r="E138">
        <f t="shared" si="13"/>
        <v>670.0366210000002</v>
      </c>
      <c r="F138">
        <f t="shared" si="15"/>
        <v>9.4932910000002266</v>
      </c>
      <c r="G138">
        <v>1360</v>
      </c>
      <c r="H138">
        <f t="shared" si="16"/>
        <v>2.2505853385960837</v>
      </c>
      <c r="I138">
        <f t="shared" si="14"/>
        <v>7.6723095043661065</v>
      </c>
    </row>
    <row r="139" spans="1:9" x14ac:dyDescent="0.25">
      <c r="A139">
        <v>1000</v>
      </c>
      <c r="B139">
        <v>2146.53125</v>
      </c>
      <c r="C139">
        <v>-15.282577</v>
      </c>
      <c r="D139" t="s">
        <v>330</v>
      </c>
      <c r="E139">
        <f t="shared" si="13"/>
        <v>668.53125</v>
      </c>
      <c r="F139">
        <f t="shared" si="15"/>
        <v>7.987920000000031</v>
      </c>
      <c r="G139">
        <v>1370</v>
      </c>
      <c r="H139">
        <f t="shared" si="16"/>
        <v>2.0779304004808883</v>
      </c>
      <c r="I139">
        <f t="shared" si="14"/>
        <v>7.6716084461423808</v>
      </c>
    </row>
    <row r="140" spans="1:9" x14ac:dyDescent="0.25">
      <c r="A140">
        <v>1000</v>
      </c>
      <c r="B140">
        <v>2146.4309079999998</v>
      </c>
      <c r="C140">
        <v>-15.309091</v>
      </c>
      <c r="D140" t="s">
        <v>331</v>
      </c>
      <c r="E140">
        <f t="shared" si="13"/>
        <v>668.43090799999982</v>
      </c>
      <c r="F140">
        <f t="shared" si="15"/>
        <v>7.8875779999998485</v>
      </c>
      <c r="G140">
        <v>1380</v>
      </c>
      <c r="H140">
        <f t="shared" si="16"/>
        <v>2.0652891168833922</v>
      </c>
      <c r="I140">
        <f t="shared" si="14"/>
        <v>7.6715616989331927</v>
      </c>
    </row>
    <row r="141" spans="1:9" x14ac:dyDescent="0.25">
      <c r="A141">
        <v>1000</v>
      </c>
      <c r="B141">
        <v>2144.4331050000001</v>
      </c>
      <c r="C141">
        <v>-15.219984</v>
      </c>
      <c r="D141" t="s">
        <v>332</v>
      </c>
      <c r="E141">
        <f t="shared" si="13"/>
        <v>666.43310500000007</v>
      </c>
      <c r="F141">
        <f t="shared" si="15"/>
        <v>5.8897750000000997</v>
      </c>
      <c r="G141">
        <v>1390</v>
      </c>
      <c r="H141">
        <f t="shared" si="16"/>
        <v>1.7732177965943021</v>
      </c>
      <c r="I141">
        <f t="shared" si="14"/>
        <v>7.6706305097189427</v>
      </c>
    </row>
    <row r="142" spans="1:9" x14ac:dyDescent="0.25">
      <c r="A142">
        <v>1000</v>
      </c>
      <c r="B142">
        <v>2145.5603030000002</v>
      </c>
      <c r="C142">
        <v>-15.236513</v>
      </c>
      <c r="D142" t="s">
        <v>463</v>
      </c>
      <c r="E142">
        <f t="shared" si="13"/>
        <v>667.5603030000002</v>
      </c>
      <c r="F142">
        <f t="shared" si="15"/>
        <v>7.0169730000002346</v>
      </c>
      <c r="G142">
        <v>1400</v>
      </c>
      <c r="H142">
        <f t="shared" si="16"/>
        <v>1.9483319284645779</v>
      </c>
      <c r="I142">
        <f t="shared" si="14"/>
        <v>7.671156010771619</v>
      </c>
    </row>
    <row r="143" spans="1:9" x14ac:dyDescent="0.25">
      <c r="A143">
        <v>1000</v>
      </c>
      <c r="B143">
        <v>2145.0783689999998</v>
      </c>
      <c r="C143">
        <v>-15.215408</v>
      </c>
      <c r="D143" t="s">
        <v>334</v>
      </c>
      <c r="E143">
        <f t="shared" si="13"/>
        <v>667.07836899999984</v>
      </c>
      <c r="F143">
        <f t="shared" si="15"/>
        <v>6.5350389999998697</v>
      </c>
      <c r="G143">
        <v>1410</v>
      </c>
      <c r="H143">
        <f t="shared" si="16"/>
        <v>1.8771783149236982</v>
      </c>
      <c r="I143">
        <f t="shared" si="14"/>
        <v>7.6709313663590422</v>
      </c>
    </row>
    <row r="144" spans="1:9" x14ac:dyDescent="0.25">
      <c r="A144">
        <v>1000</v>
      </c>
      <c r="B144">
        <v>2144.4802249999998</v>
      </c>
      <c r="C144">
        <v>-15.119211</v>
      </c>
      <c r="D144" t="s">
        <v>464</v>
      </c>
      <c r="E144">
        <f t="shared" si="13"/>
        <v>666.48022499999979</v>
      </c>
      <c r="F144">
        <f t="shared" si="15"/>
        <v>5.9368949999998222</v>
      </c>
      <c r="G144">
        <v>1420</v>
      </c>
      <c r="H144">
        <f t="shared" si="16"/>
        <v>1.7811862694322662</v>
      </c>
      <c r="I144">
        <f t="shared" si="14"/>
        <v>7.6706524826507207</v>
      </c>
    </row>
    <row r="145" spans="1:9" x14ac:dyDescent="0.25">
      <c r="A145">
        <v>1000</v>
      </c>
      <c r="B145">
        <v>2140.0227049999999</v>
      </c>
      <c r="C145">
        <v>-14.983551</v>
      </c>
      <c r="D145" t="s">
        <v>336</v>
      </c>
      <c r="E145">
        <f t="shared" si="13"/>
        <v>662.02270499999986</v>
      </c>
      <c r="F145">
        <f t="shared" si="15"/>
        <v>1.4793749999998909</v>
      </c>
      <c r="G145">
        <v>1430</v>
      </c>
      <c r="H145">
        <f t="shared" si="16"/>
        <v>0.39161970128603757</v>
      </c>
      <c r="I145">
        <f t="shared" si="14"/>
        <v>7.6685717177726973</v>
      </c>
    </row>
    <row r="146" spans="1:9" x14ac:dyDescent="0.25">
      <c r="A146">
        <v>1000</v>
      </c>
      <c r="B146">
        <v>2140.0734859999998</v>
      </c>
      <c r="C146">
        <v>-14.936928</v>
      </c>
      <c r="D146" t="s">
        <v>337</v>
      </c>
      <c r="E146">
        <f t="shared" si="13"/>
        <v>662.07348599999978</v>
      </c>
      <c r="F146">
        <f t="shared" si="15"/>
        <v>1.5301559999998062</v>
      </c>
      <c r="G146">
        <v>1440</v>
      </c>
      <c r="H146">
        <f t="shared" si="16"/>
        <v>0.42536969099088373</v>
      </c>
      <c r="I146">
        <f t="shared" si="14"/>
        <v>7.6685954466786548</v>
      </c>
    </row>
    <row r="147" spans="1:9" x14ac:dyDescent="0.25">
      <c r="A147">
        <v>1000</v>
      </c>
      <c r="B147">
        <v>2140.4750979999999</v>
      </c>
      <c r="C147">
        <v>-14.8748</v>
      </c>
      <c r="D147" t="s">
        <v>338</v>
      </c>
      <c r="E147">
        <f t="shared" si="13"/>
        <v>662.47509799999989</v>
      </c>
      <c r="F147">
        <f t="shared" si="15"/>
        <v>1.93176799999992</v>
      </c>
      <c r="G147">
        <v>1450</v>
      </c>
      <c r="H147">
        <f t="shared" si="16"/>
        <v>0.65843564576403124</v>
      </c>
      <c r="I147">
        <f t="shared" si="14"/>
        <v>7.6687830917868913</v>
      </c>
    </row>
    <row r="148" spans="1:9" x14ac:dyDescent="0.25">
      <c r="A148">
        <v>1000</v>
      </c>
      <c r="B148">
        <v>2139.005615</v>
      </c>
      <c r="C148">
        <v>-14.789968999999999</v>
      </c>
      <c r="D148" t="s">
        <v>339</v>
      </c>
      <c r="E148">
        <f t="shared" si="13"/>
        <v>661.00561500000003</v>
      </c>
      <c r="F148">
        <f t="shared" si="15"/>
        <v>0.46228500000006534</v>
      </c>
      <c r="G148">
        <v>1460</v>
      </c>
      <c r="H148">
        <f t="shared" si="16"/>
        <v>-0.77157369497754935</v>
      </c>
      <c r="I148">
        <f t="shared" si="14"/>
        <v>7.6680963341373989</v>
      </c>
    </row>
    <row r="149" spans="1:9" x14ac:dyDescent="0.25">
      <c r="A149">
        <v>1000</v>
      </c>
      <c r="B149">
        <v>2136.8862300000001</v>
      </c>
      <c r="C149">
        <v>-14.740574000000001</v>
      </c>
      <c r="D149" t="s">
        <v>465</v>
      </c>
      <c r="E149">
        <f t="shared" si="13"/>
        <v>658.88623000000007</v>
      </c>
      <c r="F149">
        <f t="shared" si="15"/>
        <v>-1.6570999999999003</v>
      </c>
      <c r="G149">
        <v>1470</v>
      </c>
      <c r="H149" t="e">
        <f t="shared" si="16"/>
        <v>#NUM!</v>
      </c>
      <c r="I149">
        <f t="shared" si="14"/>
        <v>7.6671050157175742</v>
      </c>
    </row>
    <row r="150" spans="1:9" x14ac:dyDescent="0.25">
      <c r="A150">
        <v>1000</v>
      </c>
      <c r="B150">
        <v>2134.8215329999998</v>
      </c>
      <c r="C150">
        <v>-14.652601000000001</v>
      </c>
      <c r="D150" t="s">
        <v>466</v>
      </c>
      <c r="E150">
        <f t="shared" si="13"/>
        <v>656.82153299999982</v>
      </c>
      <c r="F150">
        <f t="shared" si="15"/>
        <v>-3.7217970000001515</v>
      </c>
      <c r="G150">
        <v>1480</v>
      </c>
      <c r="H150" t="e">
        <f t="shared" si="16"/>
        <v>#NUM!</v>
      </c>
      <c r="I150">
        <f t="shared" si="14"/>
        <v>7.6661383310680913</v>
      </c>
    </row>
    <row r="151" spans="1:9" x14ac:dyDescent="0.25">
      <c r="A151">
        <v>1000</v>
      </c>
      <c r="B151">
        <v>2134.5102539999998</v>
      </c>
      <c r="C151">
        <v>-14.595596</v>
      </c>
      <c r="D151" t="s">
        <v>467</v>
      </c>
      <c r="E151">
        <f t="shared" si="13"/>
        <v>656.5102539999998</v>
      </c>
      <c r="F151">
        <f t="shared" si="15"/>
        <v>-4.0330760000001646</v>
      </c>
      <c r="G151">
        <v>1490</v>
      </c>
      <c r="H151" t="e">
        <f t="shared" si="16"/>
        <v>#NUM!</v>
      </c>
      <c r="I151">
        <f t="shared" si="14"/>
        <v>7.6659925101218258</v>
      </c>
    </row>
    <row r="152" spans="1:9" x14ac:dyDescent="0.25">
      <c r="A152">
        <v>1000</v>
      </c>
      <c r="B152">
        <v>2133.2280270000001</v>
      </c>
      <c r="C152">
        <v>-14.527759</v>
      </c>
      <c r="D152" t="s">
        <v>468</v>
      </c>
      <c r="E152">
        <f t="shared" si="13"/>
        <v>655.22802700000011</v>
      </c>
      <c r="F152">
        <f t="shared" si="15"/>
        <v>-5.315302999999858</v>
      </c>
      <c r="G152">
        <v>1500</v>
      </c>
      <c r="H152" t="e">
        <f t="shared" si="16"/>
        <v>#NUM!</v>
      </c>
      <c r="I152">
        <f t="shared" si="14"/>
        <v>7.6653916171175434</v>
      </c>
    </row>
    <row r="153" spans="1:9" x14ac:dyDescent="0.25">
      <c r="A153">
        <v>1000</v>
      </c>
      <c r="B153">
        <v>2133.0473630000001</v>
      </c>
      <c r="C153">
        <v>-14.498949</v>
      </c>
      <c r="D153" t="s">
        <v>344</v>
      </c>
      <c r="E153">
        <f t="shared" si="13"/>
        <v>655.04736300000013</v>
      </c>
      <c r="F153">
        <f t="shared" si="15"/>
        <v>-5.4959669999998368</v>
      </c>
      <c r="G153">
        <v>1510</v>
      </c>
      <c r="H153" t="e">
        <f t="shared" si="16"/>
        <v>#NUM!</v>
      </c>
      <c r="I153">
        <f t="shared" ref="I153:I187" si="17">LN(B153)</f>
        <v>7.6653069231005881</v>
      </c>
    </row>
    <row r="154" spans="1:9" x14ac:dyDescent="0.25">
      <c r="A154">
        <v>1000</v>
      </c>
      <c r="B154">
        <v>2132.5234380000002</v>
      </c>
      <c r="C154">
        <v>-14.468171999999999</v>
      </c>
      <c r="D154" t="s">
        <v>345</v>
      </c>
      <c r="E154">
        <f t="shared" si="13"/>
        <v>654.52343800000017</v>
      </c>
      <c r="F154">
        <f t="shared" si="15"/>
        <v>-6.0198919999997997</v>
      </c>
      <c r="G154">
        <v>1520</v>
      </c>
      <c r="H154" t="e">
        <f t="shared" si="16"/>
        <v>#NUM!</v>
      </c>
      <c r="I154">
        <f t="shared" si="17"/>
        <v>7.6650612701612379</v>
      </c>
    </row>
    <row r="155" spans="1:9" x14ac:dyDescent="0.25">
      <c r="A155">
        <v>1000</v>
      </c>
      <c r="B155">
        <v>2132.195557</v>
      </c>
      <c r="C155">
        <v>-14.461779</v>
      </c>
      <c r="D155" t="s">
        <v>346</v>
      </c>
      <c r="E155">
        <f t="shared" si="13"/>
        <v>654.19555700000001</v>
      </c>
      <c r="F155">
        <f t="shared" si="15"/>
        <v>-6.347772999999961</v>
      </c>
      <c r="G155">
        <v>1530</v>
      </c>
      <c r="H155" t="e">
        <f t="shared" si="16"/>
        <v>#NUM!</v>
      </c>
      <c r="I155">
        <f t="shared" si="17"/>
        <v>7.6649075057509544</v>
      </c>
    </row>
    <row r="156" spans="1:9" x14ac:dyDescent="0.25">
      <c r="A156">
        <v>1000</v>
      </c>
      <c r="B156">
        <v>2133.475586</v>
      </c>
      <c r="C156">
        <v>-14.485056</v>
      </c>
      <c r="D156" t="s">
        <v>347</v>
      </c>
      <c r="E156">
        <f t="shared" si="13"/>
        <v>655.47558600000002</v>
      </c>
      <c r="F156">
        <f t="shared" si="15"/>
        <v>-5.0677439999999478</v>
      </c>
      <c r="G156">
        <v>1540</v>
      </c>
      <c r="H156" t="e">
        <f t="shared" si="16"/>
        <v>#NUM!</v>
      </c>
      <c r="I156">
        <f t="shared" si="17"/>
        <v>7.6655076593940787</v>
      </c>
    </row>
    <row r="157" spans="1:9" x14ac:dyDescent="0.25">
      <c r="A157">
        <v>1000</v>
      </c>
      <c r="B157">
        <v>2131.6745609999998</v>
      </c>
      <c r="C157">
        <v>-14.408652999999999</v>
      </c>
      <c r="D157" t="s">
        <v>469</v>
      </c>
      <c r="E157">
        <f t="shared" si="13"/>
        <v>653.67456099999981</v>
      </c>
      <c r="F157">
        <f t="shared" si="15"/>
        <v>-6.8687690000001567</v>
      </c>
      <c r="G157">
        <v>1550</v>
      </c>
      <c r="H157" t="e">
        <f t="shared" si="16"/>
        <v>#NUM!</v>
      </c>
      <c r="I157">
        <f t="shared" si="17"/>
        <v>7.6646631286999778</v>
      </c>
    </row>
    <row r="158" spans="1:9" x14ac:dyDescent="0.25">
      <c r="A158">
        <v>1000</v>
      </c>
      <c r="B158">
        <v>2130.8557129999999</v>
      </c>
      <c r="C158">
        <v>-14.363602</v>
      </c>
      <c r="D158" t="s">
        <v>349</v>
      </c>
      <c r="E158">
        <f t="shared" si="13"/>
        <v>652.85571299999992</v>
      </c>
      <c r="F158">
        <f t="shared" si="15"/>
        <v>-7.6876170000000457</v>
      </c>
      <c r="G158">
        <v>1560</v>
      </c>
      <c r="H158" t="e">
        <f t="shared" si="16"/>
        <v>#NUM!</v>
      </c>
      <c r="I158">
        <f t="shared" si="17"/>
        <v>7.6642789212187692</v>
      </c>
    </row>
    <row r="159" spans="1:9" x14ac:dyDescent="0.25">
      <c r="A159">
        <v>1000</v>
      </c>
      <c r="B159">
        <v>2130.343018</v>
      </c>
      <c r="C159">
        <v>-14.339997</v>
      </c>
      <c r="D159" t="s">
        <v>470</v>
      </c>
      <c r="E159">
        <f t="shared" si="13"/>
        <v>652.34301800000003</v>
      </c>
      <c r="F159">
        <f t="shared" si="15"/>
        <v>-8.2003119999999399</v>
      </c>
      <c r="G159">
        <v>1570</v>
      </c>
      <c r="H159" t="e">
        <f t="shared" si="16"/>
        <v>#NUM!</v>
      </c>
      <c r="I159">
        <f t="shared" si="17"/>
        <v>7.6640382870522643</v>
      </c>
    </row>
    <row r="160" spans="1:9" x14ac:dyDescent="0.25">
      <c r="A160">
        <v>1000</v>
      </c>
      <c r="B160">
        <v>2130.5275879999999</v>
      </c>
      <c r="C160">
        <v>-14.321472999999999</v>
      </c>
      <c r="D160" t="s">
        <v>351</v>
      </c>
      <c r="E160">
        <f t="shared" si="13"/>
        <v>652.52758799999992</v>
      </c>
      <c r="F160">
        <f t="shared" si="15"/>
        <v>-8.0157420000000457</v>
      </c>
      <c r="G160">
        <v>1580</v>
      </c>
      <c r="H160" t="e">
        <f t="shared" si="16"/>
        <v>#NUM!</v>
      </c>
      <c r="I160">
        <f t="shared" si="17"/>
        <v>7.6641249219291154</v>
      </c>
    </row>
    <row r="161" spans="1:9" x14ac:dyDescent="0.25">
      <c r="A161">
        <v>1000</v>
      </c>
      <c r="B161">
        <v>2130.716797</v>
      </c>
      <c r="C161">
        <v>-14.316322</v>
      </c>
      <c r="D161" t="s">
        <v>352</v>
      </c>
      <c r="E161">
        <f t="shared" si="13"/>
        <v>652.71679700000004</v>
      </c>
      <c r="F161">
        <f t="shared" si="15"/>
        <v>-7.8265329999999267</v>
      </c>
      <c r="G161">
        <v>1590</v>
      </c>
      <c r="H161" t="e">
        <f t="shared" si="16"/>
        <v>#NUM!</v>
      </c>
      <c r="I161">
        <f t="shared" si="17"/>
        <v>7.6642137265049763</v>
      </c>
    </row>
    <row r="162" spans="1:9" x14ac:dyDescent="0.25">
      <c r="A162">
        <v>1000</v>
      </c>
      <c r="B162">
        <v>2130.4467770000001</v>
      </c>
      <c r="C162">
        <v>-14.297254000000001</v>
      </c>
      <c r="D162" t="s">
        <v>353</v>
      </c>
      <c r="E162">
        <f t="shared" si="13"/>
        <v>652.44677700000011</v>
      </c>
      <c r="F162">
        <f t="shared" si="15"/>
        <v>-8.096552999999858</v>
      </c>
      <c r="G162">
        <v>1600</v>
      </c>
      <c r="H162" t="e">
        <f t="shared" si="16"/>
        <v>#NUM!</v>
      </c>
      <c r="I162">
        <f t="shared" si="17"/>
        <v>7.6640869911681735</v>
      </c>
    </row>
    <row r="163" spans="1:9" x14ac:dyDescent="0.25">
      <c r="A163">
        <v>1000</v>
      </c>
      <c r="B163">
        <v>2129.842529</v>
      </c>
      <c r="C163">
        <v>-14.27481</v>
      </c>
      <c r="D163" t="s">
        <v>354</v>
      </c>
      <c r="E163">
        <f t="shared" si="13"/>
        <v>651.84252900000001</v>
      </c>
      <c r="F163">
        <f t="shared" si="15"/>
        <v>-8.7008009999999558</v>
      </c>
      <c r="G163">
        <v>1610</v>
      </c>
      <c r="H163" t="e">
        <f t="shared" si="16"/>
        <v>#NUM!</v>
      </c>
      <c r="I163">
        <f t="shared" si="17"/>
        <v>7.6638033259235616</v>
      </c>
    </row>
    <row r="164" spans="1:9" x14ac:dyDescent="0.25">
      <c r="A164">
        <v>1000</v>
      </c>
      <c r="B164">
        <v>2130.3164059999999</v>
      </c>
      <c r="C164">
        <v>-14.273566000000001</v>
      </c>
      <c r="D164" t="s">
        <v>355</v>
      </c>
      <c r="E164">
        <f t="shared" si="13"/>
        <v>652.31640599999992</v>
      </c>
      <c r="F164">
        <f t="shared" si="15"/>
        <v>-8.2269240000000536</v>
      </c>
      <c r="G164">
        <v>1620</v>
      </c>
      <c r="H164" t="e">
        <f t="shared" si="16"/>
        <v>#NUM!</v>
      </c>
      <c r="I164">
        <f t="shared" si="17"/>
        <v>7.6640257950892359</v>
      </c>
    </row>
    <row r="165" spans="1:9" x14ac:dyDescent="0.25">
      <c r="A165">
        <v>1000</v>
      </c>
      <c r="B165">
        <v>2129.0334469999998</v>
      </c>
      <c r="C165">
        <v>-14.253361999999999</v>
      </c>
      <c r="D165" t="s">
        <v>471</v>
      </c>
      <c r="E165">
        <f t="shared" si="13"/>
        <v>651.0334469999998</v>
      </c>
      <c r="F165">
        <f t="shared" si="15"/>
        <v>-9.5098830000001726</v>
      </c>
      <c r="G165">
        <v>1630</v>
      </c>
      <c r="H165" t="e">
        <f t="shared" si="16"/>
        <v>#NUM!</v>
      </c>
      <c r="I165">
        <f t="shared" si="17"/>
        <v>7.6634233749626546</v>
      </c>
    </row>
    <row r="166" spans="1:9" x14ac:dyDescent="0.25">
      <c r="A166">
        <v>1000</v>
      </c>
      <c r="B166">
        <v>2127.6157229999999</v>
      </c>
      <c r="C166">
        <v>-14.205196000000001</v>
      </c>
      <c r="D166" t="s">
        <v>472</v>
      </c>
      <c r="E166">
        <f t="shared" si="13"/>
        <v>649.61572299999989</v>
      </c>
      <c r="F166">
        <f t="shared" si="15"/>
        <v>-10.92760700000008</v>
      </c>
      <c r="G166">
        <v>1640</v>
      </c>
      <c r="H166" t="e">
        <f t="shared" si="16"/>
        <v>#NUM!</v>
      </c>
      <c r="I166">
        <f t="shared" si="17"/>
        <v>7.6627572528577765</v>
      </c>
    </row>
    <row r="167" spans="1:9" x14ac:dyDescent="0.25">
      <c r="A167">
        <v>1000</v>
      </c>
      <c r="B167">
        <v>2128.2941890000002</v>
      </c>
      <c r="C167">
        <v>-14.202928</v>
      </c>
      <c r="D167" t="s">
        <v>358</v>
      </c>
      <c r="E167">
        <f t="shared" si="13"/>
        <v>650.29418900000019</v>
      </c>
      <c r="F167">
        <f t="shared" si="15"/>
        <v>-10.249140999999781</v>
      </c>
      <c r="G167">
        <v>1650</v>
      </c>
      <c r="H167" t="e">
        <f t="shared" si="16"/>
        <v>#NUM!</v>
      </c>
      <c r="I167">
        <f t="shared" si="17"/>
        <v>7.663076087616866</v>
      </c>
    </row>
    <row r="168" spans="1:9" x14ac:dyDescent="0.25">
      <c r="A168">
        <v>1000</v>
      </c>
      <c r="B168">
        <v>2128.8234859999998</v>
      </c>
      <c r="C168">
        <v>-14.194978000000001</v>
      </c>
      <c r="D168" t="s">
        <v>359</v>
      </c>
      <c r="E168">
        <f t="shared" si="13"/>
        <v>650.82348599999978</v>
      </c>
      <c r="F168">
        <f t="shared" si="15"/>
        <v>-9.7198440000001938</v>
      </c>
      <c r="G168">
        <v>1660</v>
      </c>
      <c r="H168" t="e">
        <f t="shared" si="16"/>
        <v>#NUM!</v>
      </c>
      <c r="I168">
        <f t="shared" si="17"/>
        <v>7.6633247521091983</v>
      </c>
    </row>
    <row r="169" spans="1:9" x14ac:dyDescent="0.25">
      <c r="A169">
        <v>1000</v>
      </c>
      <c r="B169">
        <v>2128.3566890000002</v>
      </c>
      <c r="C169">
        <v>-14.173886</v>
      </c>
      <c r="D169" t="s">
        <v>473</v>
      </c>
      <c r="E169">
        <f t="shared" si="13"/>
        <v>650.35668900000019</v>
      </c>
      <c r="F169">
        <f t="shared" si="15"/>
        <v>-10.186640999999781</v>
      </c>
      <c r="G169">
        <v>1670</v>
      </c>
      <c r="H169" t="e">
        <f t="shared" si="16"/>
        <v>#NUM!</v>
      </c>
      <c r="I169">
        <f t="shared" si="17"/>
        <v>7.6631054534266516</v>
      </c>
    </row>
    <row r="170" spans="1:9" x14ac:dyDescent="0.25">
      <c r="A170">
        <v>1000</v>
      </c>
      <c r="B170">
        <v>2129.4541020000001</v>
      </c>
      <c r="C170">
        <v>-14.242393</v>
      </c>
      <c r="D170" t="s">
        <v>361</v>
      </c>
      <c r="E170">
        <f t="shared" si="13"/>
        <v>651.45410200000015</v>
      </c>
      <c r="F170">
        <f t="shared" si="15"/>
        <v>-9.0892279999998209</v>
      </c>
      <c r="G170">
        <v>1680</v>
      </c>
      <c r="H170" t="e">
        <f t="shared" si="16"/>
        <v>#NUM!</v>
      </c>
      <c r="I170">
        <f t="shared" si="17"/>
        <v>7.6636209357146949</v>
      </c>
    </row>
    <row r="171" spans="1:9" x14ac:dyDescent="0.25">
      <c r="A171">
        <v>1000</v>
      </c>
      <c r="B171">
        <v>2129.4602049999999</v>
      </c>
      <c r="C171">
        <v>-14.190238000000001</v>
      </c>
      <c r="D171" t="s">
        <v>362</v>
      </c>
      <c r="E171">
        <f t="shared" si="13"/>
        <v>651.46020499999986</v>
      </c>
      <c r="F171">
        <f t="shared" si="15"/>
        <v>-9.0831250000001091</v>
      </c>
      <c r="G171">
        <v>1690</v>
      </c>
      <c r="H171" t="e">
        <f t="shared" si="16"/>
        <v>#NUM!</v>
      </c>
      <c r="I171">
        <f t="shared" si="17"/>
        <v>7.6636238017033298</v>
      </c>
    </row>
    <row r="172" spans="1:9" x14ac:dyDescent="0.25">
      <c r="A172">
        <v>1000</v>
      </c>
      <c r="B172">
        <v>2129.4270019999999</v>
      </c>
      <c r="C172">
        <v>-14.198092000000001</v>
      </c>
      <c r="D172" t="s">
        <v>363</v>
      </c>
      <c r="E172">
        <f t="shared" si="13"/>
        <v>651.4270019999999</v>
      </c>
      <c r="F172">
        <f t="shared" si="15"/>
        <v>-9.1163280000000668</v>
      </c>
      <c r="G172">
        <v>1700</v>
      </c>
      <c r="H172" t="e">
        <f t="shared" si="16"/>
        <v>#NUM!</v>
      </c>
      <c r="I172">
        <f t="shared" si="17"/>
        <v>7.6636082093674043</v>
      </c>
    </row>
    <row r="173" spans="1:9" x14ac:dyDescent="0.25">
      <c r="A173">
        <v>1000</v>
      </c>
      <c r="B173">
        <v>2129.5759280000002</v>
      </c>
      <c r="C173">
        <v>-14.220017</v>
      </c>
      <c r="D173" t="s">
        <v>364</v>
      </c>
      <c r="E173">
        <f t="shared" si="13"/>
        <v>651.5759280000002</v>
      </c>
      <c r="F173">
        <f t="shared" si="15"/>
        <v>-8.9674019999997654</v>
      </c>
      <c r="G173">
        <v>1710</v>
      </c>
      <c r="H173" t="e">
        <f t="shared" si="16"/>
        <v>#NUM!</v>
      </c>
      <c r="I173">
        <f t="shared" si="17"/>
        <v>7.6636781440457824</v>
      </c>
    </row>
    <row r="174" spans="1:9" x14ac:dyDescent="0.25">
      <c r="A174">
        <v>1000</v>
      </c>
      <c r="B174">
        <v>2130.1528320000002</v>
      </c>
      <c r="C174">
        <v>-14.227926999999999</v>
      </c>
      <c r="D174" t="s">
        <v>365</v>
      </c>
      <c r="E174">
        <f t="shared" si="13"/>
        <v>652.15283200000022</v>
      </c>
      <c r="F174">
        <f t="shared" si="15"/>
        <v>-8.3904979999997522</v>
      </c>
      <c r="G174">
        <v>1720</v>
      </c>
      <c r="H174" t="e">
        <f t="shared" si="16"/>
        <v>#NUM!</v>
      </c>
      <c r="I174">
        <f t="shared" si="17"/>
        <v>7.6639490082420876</v>
      </c>
    </row>
    <row r="175" spans="1:9" x14ac:dyDescent="0.25">
      <c r="A175">
        <v>1000</v>
      </c>
      <c r="B175">
        <v>2130.9428710000002</v>
      </c>
      <c r="C175">
        <v>-14.277828</v>
      </c>
      <c r="D175" t="s">
        <v>474</v>
      </c>
      <c r="E175">
        <f t="shared" si="13"/>
        <v>652.9428710000002</v>
      </c>
      <c r="F175">
        <f t="shared" si="15"/>
        <v>-7.6004589999997734</v>
      </c>
      <c r="G175">
        <v>1730</v>
      </c>
      <c r="H175" t="e">
        <f t="shared" si="16"/>
        <v>#NUM!</v>
      </c>
      <c r="I175">
        <f t="shared" si="17"/>
        <v>7.6643198231986709</v>
      </c>
    </row>
    <row r="176" spans="1:9" x14ac:dyDescent="0.25">
      <c r="A176">
        <v>1000</v>
      </c>
      <c r="B176">
        <v>2132.4428710000002</v>
      </c>
      <c r="C176">
        <v>-14.340011000000001</v>
      </c>
      <c r="D176" t="s">
        <v>367</v>
      </c>
      <c r="E176">
        <f t="shared" si="13"/>
        <v>654.4428710000002</v>
      </c>
      <c r="F176">
        <f t="shared" si="15"/>
        <v>-6.1004589999997734</v>
      </c>
      <c r="G176">
        <v>1740</v>
      </c>
      <c r="H176" t="e">
        <f t="shared" si="16"/>
        <v>#NUM!</v>
      </c>
      <c r="I176">
        <f t="shared" si="17"/>
        <v>7.6650234893235139</v>
      </c>
    </row>
    <row r="177" spans="1:9" x14ac:dyDescent="0.25">
      <c r="A177">
        <v>1000</v>
      </c>
      <c r="B177">
        <v>2132.4396969999998</v>
      </c>
      <c r="C177">
        <v>-14.372590000000001</v>
      </c>
      <c r="D177" t="s">
        <v>368</v>
      </c>
      <c r="E177">
        <f t="shared" si="13"/>
        <v>654.4396969999998</v>
      </c>
      <c r="F177">
        <f t="shared" si="15"/>
        <v>-6.1036330000001726</v>
      </c>
      <c r="G177">
        <v>1750</v>
      </c>
      <c r="H177" t="e">
        <f t="shared" si="16"/>
        <v>#NUM!</v>
      </c>
      <c r="I177">
        <f t="shared" si="17"/>
        <v>7.6650220008886274</v>
      </c>
    </row>
    <row r="178" spans="1:9" x14ac:dyDescent="0.25">
      <c r="A178">
        <v>1000</v>
      </c>
      <c r="B178">
        <v>2133.2014159999999</v>
      </c>
      <c r="C178">
        <v>-14.394584</v>
      </c>
      <c r="D178" t="s">
        <v>369</v>
      </c>
      <c r="E178">
        <f t="shared" si="13"/>
        <v>655.20141599999988</v>
      </c>
      <c r="F178">
        <f t="shared" si="15"/>
        <v>-5.341914000000088</v>
      </c>
      <c r="G178">
        <v>1760</v>
      </c>
      <c r="H178" t="e">
        <f t="shared" si="16"/>
        <v>#NUM!</v>
      </c>
      <c r="I178">
        <f t="shared" si="17"/>
        <v>7.6653791425177138</v>
      </c>
    </row>
    <row r="179" spans="1:9" x14ac:dyDescent="0.25">
      <c r="A179">
        <v>1000</v>
      </c>
      <c r="B179">
        <v>2134.7236330000001</v>
      </c>
      <c r="C179">
        <v>-14.450631</v>
      </c>
      <c r="D179" t="s">
        <v>475</v>
      </c>
      <c r="E179">
        <f t="shared" si="13"/>
        <v>656.72363300000006</v>
      </c>
      <c r="F179">
        <f t="shared" si="15"/>
        <v>-3.8196969999999055</v>
      </c>
      <c r="G179">
        <v>1770</v>
      </c>
      <c r="H179" t="e">
        <f t="shared" si="16"/>
        <v>#NUM!</v>
      </c>
      <c r="I179">
        <f t="shared" si="17"/>
        <v>7.6660924713822416</v>
      </c>
    </row>
    <row r="180" spans="1:9" x14ac:dyDescent="0.25">
      <c r="A180">
        <v>1000</v>
      </c>
      <c r="B180">
        <v>2136.4401859999998</v>
      </c>
      <c r="C180">
        <v>-14.522021000000001</v>
      </c>
      <c r="D180" t="s">
        <v>371</v>
      </c>
      <c r="E180">
        <f t="shared" si="13"/>
        <v>658.44018599999981</v>
      </c>
      <c r="F180">
        <f t="shared" si="15"/>
        <v>-2.1031440000001567</v>
      </c>
      <c r="G180">
        <v>1780</v>
      </c>
      <c r="H180" t="e">
        <f t="shared" si="16"/>
        <v>#NUM!</v>
      </c>
      <c r="I180">
        <f t="shared" si="17"/>
        <v>7.6668962584366191</v>
      </c>
    </row>
    <row r="181" spans="1:9" x14ac:dyDescent="0.25">
      <c r="A181">
        <v>1000</v>
      </c>
      <c r="B181">
        <v>2136.0009770000001</v>
      </c>
      <c r="C181">
        <v>-14.551049000000001</v>
      </c>
      <c r="D181" t="s">
        <v>372</v>
      </c>
      <c r="E181">
        <f t="shared" si="13"/>
        <v>658.00097700000015</v>
      </c>
      <c r="F181">
        <f t="shared" si="15"/>
        <v>-2.5423529999998209</v>
      </c>
      <c r="G181">
        <v>1790</v>
      </c>
      <c r="H181" t="e">
        <f t="shared" si="16"/>
        <v>#NUM!</v>
      </c>
      <c r="I181">
        <f t="shared" si="17"/>
        <v>7.6666906574769849</v>
      </c>
    </row>
    <row r="182" spans="1:9" x14ac:dyDescent="0.25">
      <c r="A182">
        <v>1000</v>
      </c>
      <c r="B182">
        <v>2137.053711</v>
      </c>
      <c r="C182">
        <v>-14.582727</v>
      </c>
      <c r="D182" t="s">
        <v>476</v>
      </c>
      <c r="E182">
        <f t="shared" si="13"/>
        <v>659.05371100000002</v>
      </c>
      <c r="F182">
        <f t="shared" si="15"/>
        <v>-1.4896189999999478</v>
      </c>
      <c r="G182">
        <v>1800</v>
      </c>
      <c r="H182" t="e">
        <f t="shared" si="16"/>
        <v>#NUM!</v>
      </c>
      <c r="I182">
        <f t="shared" si="17"/>
        <v>7.6671833888357739</v>
      </c>
    </row>
    <row r="183" spans="1:9" x14ac:dyDescent="0.25">
      <c r="A183">
        <v>1000</v>
      </c>
      <c r="B183">
        <v>2138.7856449999999</v>
      </c>
      <c r="C183">
        <v>-14.680864</v>
      </c>
      <c r="D183" t="s">
        <v>374</v>
      </c>
      <c r="E183">
        <f t="shared" si="13"/>
        <v>660.78564499999993</v>
      </c>
      <c r="F183">
        <f t="shared" si="15"/>
        <v>0.24231499999996231</v>
      </c>
      <c r="G183">
        <v>1810</v>
      </c>
      <c r="H183">
        <f t="shared" si="16"/>
        <v>-1.4175167463487572</v>
      </c>
      <c r="I183">
        <f t="shared" si="17"/>
        <v>7.6679934913445535</v>
      </c>
    </row>
    <row r="184" spans="1:9" x14ac:dyDescent="0.25">
      <c r="A184">
        <v>1000</v>
      </c>
      <c r="B184">
        <v>2138.8801269999999</v>
      </c>
      <c r="C184">
        <v>-14.679607000000001</v>
      </c>
      <c r="D184" t="s">
        <v>375</v>
      </c>
      <c r="E184">
        <f t="shared" si="13"/>
        <v>660.8801269999999</v>
      </c>
      <c r="F184">
        <f t="shared" si="15"/>
        <v>0.33679699999993318</v>
      </c>
      <c r="G184">
        <v>1820</v>
      </c>
      <c r="H184">
        <f t="shared" si="16"/>
        <v>-1.088274904017255</v>
      </c>
      <c r="I184">
        <f t="shared" si="17"/>
        <v>7.6680376659037881</v>
      </c>
    </row>
    <row r="185" spans="1:9" x14ac:dyDescent="0.25">
      <c r="A185">
        <v>1000</v>
      </c>
      <c r="B185">
        <v>2139.7478030000002</v>
      </c>
      <c r="C185">
        <v>-14.713717000000001</v>
      </c>
      <c r="D185" t="s">
        <v>376</v>
      </c>
      <c r="E185">
        <f t="shared" ref="E185:E187" si="18">B185-$P$3</f>
        <v>661.7478030000002</v>
      </c>
      <c r="F185">
        <f t="shared" si="15"/>
        <v>1.2044730000002346</v>
      </c>
      <c r="G185">
        <v>1830</v>
      </c>
      <c r="H185">
        <f t="shared" si="16"/>
        <v>0.18604212688151869</v>
      </c>
      <c r="I185">
        <f t="shared" si="17"/>
        <v>7.66844325200573</v>
      </c>
    </row>
    <row r="186" spans="1:9" x14ac:dyDescent="0.25">
      <c r="A186">
        <v>1000</v>
      </c>
      <c r="B186">
        <v>2139.2807619999999</v>
      </c>
      <c r="C186">
        <v>-14.697202000000001</v>
      </c>
      <c r="D186" t="s">
        <v>477</v>
      </c>
      <c r="E186">
        <f t="shared" si="18"/>
        <v>661.28076199999987</v>
      </c>
      <c r="F186">
        <f t="shared" si="15"/>
        <v>0.73743199999989884</v>
      </c>
      <c r="G186">
        <v>1840</v>
      </c>
      <c r="H186">
        <f t="shared" si="16"/>
        <v>-0.30458139840912368</v>
      </c>
      <c r="I186">
        <f t="shared" si="17"/>
        <v>7.6682249590007823</v>
      </c>
    </row>
    <row r="187" spans="1:9" x14ac:dyDescent="0.25">
      <c r="A187">
        <v>1000</v>
      </c>
      <c r="B187">
        <v>2138.7685550000001</v>
      </c>
      <c r="C187">
        <v>-14.602372000000001</v>
      </c>
      <c r="D187" t="s">
        <v>378</v>
      </c>
      <c r="E187">
        <f t="shared" si="18"/>
        <v>660.76855500000011</v>
      </c>
      <c r="F187">
        <f t="shared" si="15"/>
        <v>0.22522500000013679</v>
      </c>
      <c r="G187">
        <v>1850</v>
      </c>
      <c r="H187">
        <f t="shared" si="16"/>
        <v>-1.490655376444026</v>
      </c>
      <c r="I187">
        <f t="shared" si="17"/>
        <v>7.6679855007970579</v>
      </c>
    </row>
    <row r="188" spans="1:9" x14ac:dyDescent="0.25">
      <c r="A188">
        <v>1000</v>
      </c>
      <c r="B188">
        <v>2135.5095209999999</v>
      </c>
      <c r="C188">
        <v>-14.4482</v>
      </c>
      <c r="D188" t="s">
        <v>379</v>
      </c>
      <c r="E188">
        <f t="shared" ref="E188:E194" si="19">B188-$P$3</f>
        <v>657.50952099999995</v>
      </c>
      <c r="F188">
        <f t="shared" ref="F188:F194" si="20">E188-$R$3</f>
        <v>-3.0338090000000193</v>
      </c>
      <c r="G188">
        <v>1860</v>
      </c>
      <c r="H188" t="e">
        <f t="shared" ref="H188:H194" si="21">LN(F188)</f>
        <v>#NUM!</v>
      </c>
      <c r="I188">
        <f t="shared" ref="I188:I194" si="22">LN(B188)</f>
        <v>7.6664605487122284</v>
      </c>
    </row>
    <row r="189" spans="1:9" x14ac:dyDescent="0.25">
      <c r="A189">
        <v>1000</v>
      </c>
      <c r="B189">
        <v>2132.6098630000001</v>
      </c>
      <c r="C189">
        <v>-14.264824000000001</v>
      </c>
      <c r="D189" t="s">
        <v>478</v>
      </c>
      <c r="E189">
        <f t="shared" si="19"/>
        <v>654.60986300000013</v>
      </c>
      <c r="F189">
        <f t="shared" si="20"/>
        <v>-5.9334669999998368</v>
      </c>
      <c r="G189">
        <v>1870</v>
      </c>
      <c r="H189" t="e">
        <f t="shared" si="21"/>
        <v>#NUM!</v>
      </c>
      <c r="I189">
        <f t="shared" si="22"/>
        <v>7.6651017964444339</v>
      </c>
    </row>
    <row r="190" spans="1:9" x14ac:dyDescent="0.25">
      <c r="A190">
        <v>1000</v>
      </c>
      <c r="B190">
        <v>2131.155518</v>
      </c>
      <c r="C190">
        <v>-14.205196000000001</v>
      </c>
      <c r="D190" t="s">
        <v>381</v>
      </c>
      <c r="E190">
        <f t="shared" si="19"/>
        <v>653.15551800000003</v>
      </c>
      <c r="F190">
        <f t="shared" si="20"/>
        <v>-7.3878119999999399</v>
      </c>
      <c r="G190">
        <v>1880</v>
      </c>
      <c r="H190" t="e">
        <f t="shared" si="21"/>
        <v>#NUM!</v>
      </c>
      <c r="I190">
        <f t="shared" si="22"/>
        <v>7.6644196083189415</v>
      </c>
    </row>
    <row r="191" spans="1:9" x14ac:dyDescent="0.25">
      <c r="A191">
        <v>1000</v>
      </c>
      <c r="B191">
        <v>2130.835693</v>
      </c>
      <c r="C191">
        <v>-14.157097</v>
      </c>
      <c r="D191" t="s">
        <v>479</v>
      </c>
      <c r="E191">
        <f t="shared" si="19"/>
        <v>652.83569299999999</v>
      </c>
      <c r="F191">
        <f t="shared" si="20"/>
        <v>-7.707636999999977</v>
      </c>
      <c r="G191">
        <v>1890</v>
      </c>
      <c r="H191" t="e">
        <f t="shared" si="21"/>
        <v>#NUM!</v>
      </c>
      <c r="I191">
        <f t="shared" si="22"/>
        <v>7.6642695258880931</v>
      </c>
    </row>
    <row r="192" spans="1:9" x14ac:dyDescent="0.25">
      <c r="A192">
        <v>1000</v>
      </c>
      <c r="B192">
        <v>2130.2026369999999</v>
      </c>
      <c r="C192">
        <v>-14.126117000000001</v>
      </c>
      <c r="D192" t="s">
        <v>383</v>
      </c>
      <c r="E192">
        <f t="shared" si="19"/>
        <v>652.20263699999987</v>
      </c>
      <c r="F192">
        <f t="shared" si="20"/>
        <v>-8.3406930000001012</v>
      </c>
      <c r="G192">
        <v>1900</v>
      </c>
      <c r="H192" t="e">
        <f t="shared" si="21"/>
        <v>#NUM!</v>
      </c>
      <c r="I192">
        <f t="shared" si="22"/>
        <v>7.6639723889202322</v>
      </c>
    </row>
    <row r="193" spans="1:9" x14ac:dyDescent="0.25">
      <c r="A193">
        <v>1000</v>
      </c>
      <c r="B193">
        <v>2131.3100589999999</v>
      </c>
      <c r="C193">
        <v>-14.126075999999999</v>
      </c>
      <c r="D193" t="s">
        <v>384</v>
      </c>
      <c r="E193">
        <f t="shared" si="19"/>
        <v>653.31005899999991</v>
      </c>
      <c r="F193">
        <f t="shared" si="20"/>
        <v>-7.2332710000000588</v>
      </c>
      <c r="G193">
        <v>1910</v>
      </c>
      <c r="H193" t="e">
        <f t="shared" si="21"/>
        <v>#NUM!</v>
      </c>
      <c r="I193">
        <f t="shared" si="22"/>
        <v>7.664492120810726</v>
      </c>
    </row>
    <row r="194" spans="1:9" x14ac:dyDescent="0.25">
      <c r="A194">
        <v>1000</v>
      </c>
      <c r="B194">
        <v>2132.5500489999999</v>
      </c>
      <c r="C194">
        <v>-14.1898</v>
      </c>
      <c r="D194" t="s">
        <v>480</v>
      </c>
      <c r="E194">
        <f t="shared" si="19"/>
        <v>654.55004899999994</v>
      </c>
      <c r="F194">
        <f t="shared" si="20"/>
        <v>-5.9932810000000245</v>
      </c>
      <c r="G194">
        <v>1920</v>
      </c>
      <c r="H194" t="e">
        <f t="shared" si="21"/>
        <v>#NUM!</v>
      </c>
      <c r="I194">
        <f t="shared" si="22"/>
        <v>7.6650737487270035</v>
      </c>
    </row>
  </sheetData>
  <sortState ref="A1:K193">
    <sortCondition ref="I1:I193"/>
  </sortState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6"/>
  <sheetViews>
    <sheetView tabSelected="1" topLeftCell="I26" zoomScale="70" zoomScaleNormal="70" workbookViewId="0">
      <selection activeCell="T50" sqref="T50"/>
    </sheetView>
  </sheetViews>
  <sheetFormatPr baseColWidth="10" defaultRowHeight="15" x14ac:dyDescent="0.25"/>
  <cols>
    <col min="4" max="4" width="25.7109375" bestFit="1" customWidth="1"/>
    <col min="5" max="5" width="13.85546875" bestFit="1" customWidth="1"/>
    <col min="6" max="6" width="27.42578125" bestFit="1" customWidth="1"/>
    <col min="8" max="8" width="16.42578125" bestFit="1" customWidth="1"/>
    <col min="12" max="12" width="9.5703125" bestFit="1" customWidth="1"/>
    <col min="13" max="13" width="9.140625" customWidth="1"/>
    <col min="14" max="14" width="11.5703125" bestFit="1" customWidth="1"/>
    <col min="15" max="15" width="11.7109375" bestFit="1" customWidth="1"/>
    <col min="16" max="16" width="13.85546875" bestFit="1" customWidth="1"/>
    <col min="18" max="18" width="9.42578125" bestFit="1" customWidth="1"/>
  </cols>
  <sheetData>
    <row r="1" spans="1:18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16</v>
      </c>
      <c r="G1" t="s">
        <v>12</v>
      </c>
      <c r="H1" t="s">
        <v>17</v>
      </c>
      <c r="I1" t="s">
        <v>13</v>
      </c>
    </row>
    <row r="2" spans="1:18" x14ac:dyDescent="0.25">
      <c r="A2">
        <v>1000</v>
      </c>
      <c r="B2">
        <v>2156.9960940000001</v>
      </c>
      <c r="C2">
        <v>-13.418514</v>
      </c>
      <c r="D2" t="s">
        <v>190</v>
      </c>
      <c r="E2">
        <f t="shared" ref="E2:E65" si="0">B2-$P$3</f>
        <v>672.99609400000008</v>
      </c>
      <c r="F2">
        <f>E2-$R$3</f>
        <v>164.5925640000001</v>
      </c>
      <c r="G2">
        <v>0</v>
      </c>
      <c r="H2">
        <f>LN(F2)</f>
        <v>5.1034731110378049</v>
      </c>
      <c r="I2">
        <f t="shared" ref="I2:I33" si="1">LN(B2)</f>
        <v>7.6764718355391164</v>
      </c>
      <c r="L2" s="1" t="s">
        <v>0</v>
      </c>
      <c r="M2" s="1" t="s">
        <v>1</v>
      </c>
      <c r="O2" s="2"/>
      <c r="P2" t="s">
        <v>14</v>
      </c>
      <c r="R2" t="s">
        <v>15</v>
      </c>
    </row>
    <row r="3" spans="1:18" x14ac:dyDescent="0.25">
      <c r="A3">
        <v>1000</v>
      </c>
      <c r="B3">
        <v>2115.6564939999998</v>
      </c>
      <c r="C3">
        <v>-13.306115999999999</v>
      </c>
      <c r="D3" t="s">
        <v>191</v>
      </c>
      <c r="E3">
        <f t="shared" si="0"/>
        <v>631.65649399999984</v>
      </c>
      <c r="F3">
        <f t="shared" ref="F3:F66" si="2">E3-$R$3</f>
        <v>123.25296399999985</v>
      </c>
      <c r="G3">
        <v>10</v>
      </c>
      <c r="H3">
        <f t="shared" ref="H3:H66" si="3">LN(F3)</f>
        <v>4.8142388613151752</v>
      </c>
      <c r="I3">
        <f t="shared" si="1"/>
        <v>7.6571204423709318</v>
      </c>
      <c r="K3" t="s">
        <v>2</v>
      </c>
      <c r="L3">
        <f>1/(0.00003)</f>
        <v>33333.333333333336</v>
      </c>
      <c r="M3">
        <f>1/(0.00008)</f>
        <v>12499.999999999998</v>
      </c>
      <c r="N3" s="3" t="s">
        <v>3</v>
      </c>
      <c r="O3" s="2"/>
      <c r="P3">
        <v>1484</v>
      </c>
      <c r="R3">
        <v>508.40352999999999</v>
      </c>
    </row>
    <row r="4" spans="1:18" x14ac:dyDescent="0.25">
      <c r="A4">
        <v>1000</v>
      </c>
      <c r="B4">
        <v>2103.998047</v>
      </c>
      <c r="C4">
        <v>-13.143859000000001</v>
      </c>
      <c r="D4" t="s">
        <v>192</v>
      </c>
      <c r="E4">
        <f t="shared" si="0"/>
        <v>619.99804700000004</v>
      </c>
      <c r="F4">
        <f t="shared" si="2"/>
        <v>111.59451700000005</v>
      </c>
      <c r="G4">
        <v>20</v>
      </c>
      <c r="H4">
        <f t="shared" si="3"/>
        <v>4.7148719179158798</v>
      </c>
      <c r="I4">
        <f t="shared" si="1"/>
        <v>7.6515946456252308</v>
      </c>
      <c r="L4">
        <f>L3/60</f>
        <v>555.55555555555554</v>
      </c>
      <c r="M4">
        <f>M3/60</f>
        <v>208.33333333333331</v>
      </c>
      <c r="N4" s="3" t="s">
        <v>4</v>
      </c>
    </row>
    <row r="5" spans="1:18" x14ac:dyDescent="0.25">
      <c r="A5">
        <v>1000</v>
      </c>
      <c r="B5">
        <v>2086.5622560000002</v>
      </c>
      <c r="C5">
        <v>-12.864981999999999</v>
      </c>
      <c r="D5" t="s">
        <v>193</v>
      </c>
      <c r="E5">
        <f t="shared" si="0"/>
        <v>602.56225600000016</v>
      </c>
      <c r="F5">
        <f t="shared" si="2"/>
        <v>94.158726000000172</v>
      </c>
      <c r="G5">
        <v>30</v>
      </c>
      <c r="H5">
        <f t="shared" si="3"/>
        <v>4.5449819326990619</v>
      </c>
      <c r="I5">
        <f t="shared" si="1"/>
        <v>7.6432731371134359</v>
      </c>
      <c r="L5">
        <f>L4/60</f>
        <v>9.2592592592592595</v>
      </c>
      <c r="M5">
        <f>M4/60</f>
        <v>3.4722222222222219</v>
      </c>
      <c r="N5" s="3" t="s">
        <v>5</v>
      </c>
    </row>
    <row r="6" spans="1:18" x14ac:dyDescent="0.25">
      <c r="A6">
        <v>1000</v>
      </c>
      <c r="B6">
        <v>2076.5998540000001</v>
      </c>
      <c r="C6">
        <v>-12.661346</v>
      </c>
      <c r="D6" t="s">
        <v>194</v>
      </c>
      <c r="E6">
        <f t="shared" si="0"/>
        <v>592.59985400000005</v>
      </c>
      <c r="F6">
        <f t="shared" si="2"/>
        <v>84.196324000000061</v>
      </c>
      <c r="G6">
        <v>40</v>
      </c>
      <c r="H6">
        <f t="shared" si="3"/>
        <v>4.4331512623380007</v>
      </c>
      <c r="I6">
        <f t="shared" si="1"/>
        <v>7.6384871495621178</v>
      </c>
    </row>
    <row r="7" spans="1:18" x14ac:dyDescent="0.25">
      <c r="A7">
        <v>1000</v>
      </c>
      <c r="B7">
        <v>2068.8491210000002</v>
      </c>
      <c r="C7">
        <v>-12.498638</v>
      </c>
      <c r="D7" t="s">
        <v>195</v>
      </c>
      <c r="E7">
        <f t="shared" si="0"/>
        <v>584.8491210000002</v>
      </c>
      <c r="F7">
        <f t="shared" si="2"/>
        <v>76.445591000000206</v>
      </c>
      <c r="G7">
        <v>50</v>
      </c>
      <c r="H7">
        <f t="shared" si="3"/>
        <v>4.3365792590311614</v>
      </c>
      <c r="I7">
        <f t="shared" si="1"/>
        <v>7.6347477514518793</v>
      </c>
    </row>
    <row r="8" spans="1:18" x14ac:dyDescent="0.25">
      <c r="A8">
        <v>1000</v>
      </c>
      <c r="B8">
        <v>2062.7602539999998</v>
      </c>
      <c r="C8">
        <v>-12.349589</v>
      </c>
      <c r="D8" t="s">
        <v>196</v>
      </c>
      <c r="E8">
        <f t="shared" si="0"/>
        <v>578.7602539999998</v>
      </c>
      <c r="F8">
        <f t="shared" si="2"/>
        <v>70.356723999999815</v>
      </c>
      <c r="G8">
        <v>60</v>
      </c>
      <c r="H8">
        <f t="shared" si="3"/>
        <v>4.2535783582396141</v>
      </c>
      <c r="I8">
        <f t="shared" si="1"/>
        <v>7.6318002940059113</v>
      </c>
    </row>
    <row r="9" spans="1:18" x14ac:dyDescent="0.25">
      <c r="A9">
        <v>1000</v>
      </c>
      <c r="B9">
        <v>2057.7885740000002</v>
      </c>
      <c r="C9">
        <v>-12.235238000000001</v>
      </c>
      <c r="D9" t="s">
        <v>197</v>
      </c>
      <c r="E9">
        <f t="shared" si="0"/>
        <v>573.78857400000015</v>
      </c>
      <c r="F9">
        <f t="shared" si="2"/>
        <v>65.385044000000164</v>
      </c>
      <c r="G9">
        <v>70</v>
      </c>
      <c r="H9">
        <f t="shared" si="3"/>
        <v>4.1802935472954594</v>
      </c>
      <c r="I9">
        <f t="shared" si="1"/>
        <v>7.6293871773944648</v>
      </c>
    </row>
    <row r="10" spans="1:18" x14ac:dyDescent="0.25">
      <c r="A10">
        <v>1000</v>
      </c>
      <c r="B10">
        <v>1984.862061</v>
      </c>
      <c r="C10">
        <v>-10.556323000000001</v>
      </c>
      <c r="D10" t="s">
        <v>198</v>
      </c>
      <c r="E10">
        <f t="shared" si="0"/>
        <v>500.86206100000004</v>
      </c>
      <c r="F10">
        <f t="shared" si="2"/>
        <v>-7.5414689999999496</v>
      </c>
      <c r="G10">
        <v>80</v>
      </c>
      <c r="H10" t="e">
        <f t="shared" si="3"/>
        <v>#NUM!</v>
      </c>
      <c r="I10">
        <f t="shared" si="1"/>
        <v>7.593304700026601</v>
      </c>
    </row>
    <row r="11" spans="1:18" x14ac:dyDescent="0.25">
      <c r="A11">
        <v>1000</v>
      </c>
      <c r="B11">
        <v>2011.423096</v>
      </c>
      <c r="C11">
        <v>-11.500159</v>
      </c>
      <c r="D11" t="s">
        <v>199</v>
      </c>
      <c r="E11">
        <f t="shared" si="0"/>
        <v>527.42309599999999</v>
      </c>
      <c r="F11">
        <f t="shared" si="2"/>
        <v>19.019565999999998</v>
      </c>
      <c r="G11">
        <v>90</v>
      </c>
      <c r="H11">
        <f t="shared" si="3"/>
        <v>2.9454682387706828</v>
      </c>
      <c r="I11">
        <f t="shared" si="1"/>
        <v>7.6065977584939244</v>
      </c>
    </row>
    <row r="12" spans="1:18" x14ac:dyDescent="0.25">
      <c r="A12">
        <v>1000</v>
      </c>
      <c r="B12">
        <v>2011.2188719999999</v>
      </c>
      <c r="C12">
        <v>-11.500802</v>
      </c>
      <c r="D12" t="s">
        <v>200</v>
      </c>
      <c r="E12">
        <f t="shared" si="0"/>
        <v>527.21887199999992</v>
      </c>
      <c r="F12">
        <f t="shared" si="2"/>
        <v>18.81534199999993</v>
      </c>
      <c r="G12">
        <v>100</v>
      </c>
      <c r="H12">
        <f t="shared" si="3"/>
        <v>2.9346726008666444</v>
      </c>
      <c r="I12">
        <f t="shared" si="1"/>
        <v>7.6064962212446234</v>
      </c>
    </row>
    <row r="13" spans="1:18" x14ac:dyDescent="0.25">
      <c r="A13">
        <v>1000</v>
      </c>
      <c r="B13">
        <v>2009.3416749999999</v>
      </c>
      <c r="C13">
        <v>-11.483739999999999</v>
      </c>
      <c r="D13" t="s">
        <v>201</v>
      </c>
      <c r="E13">
        <f t="shared" si="0"/>
        <v>525.3416749999999</v>
      </c>
      <c r="F13">
        <f t="shared" si="2"/>
        <v>16.938144999999906</v>
      </c>
      <c r="G13">
        <v>110</v>
      </c>
      <c r="H13">
        <f t="shared" si="3"/>
        <v>2.8295681790956562</v>
      </c>
      <c r="I13">
        <f t="shared" si="1"/>
        <v>7.6055624225295126</v>
      </c>
    </row>
    <row r="14" spans="1:18" x14ac:dyDescent="0.25">
      <c r="A14">
        <v>1000</v>
      </c>
      <c r="B14">
        <v>2008.108154</v>
      </c>
      <c r="C14">
        <v>-11.436926</v>
      </c>
      <c r="D14" t="s">
        <v>202</v>
      </c>
      <c r="E14">
        <f t="shared" si="0"/>
        <v>524.10815400000001</v>
      </c>
      <c r="F14">
        <f t="shared" si="2"/>
        <v>15.704624000000024</v>
      </c>
      <c r="G14">
        <v>120</v>
      </c>
      <c r="H14">
        <f t="shared" si="3"/>
        <v>2.7539551912840809</v>
      </c>
      <c r="I14">
        <f t="shared" si="1"/>
        <v>7.6049483409149232</v>
      </c>
    </row>
    <row r="15" spans="1:18" x14ac:dyDescent="0.25">
      <c r="A15">
        <v>1000</v>
      </c>
      <c r="B15">
        <v>2007.707764</v>
      </c>
      <c r="C15">
        <v>-11.422173000000001</v>
      </c>
      <c r="D15" t="s">
        <v>203</v>
      </c>
      <c r="E15">
        <f t="shared" si="0"/>
        <v>523.707764</v>
      </c>
      <c r="F15">
        <f t="shared" si="2"/>
        <v>15.304234000000008</v>
      </c>
      <c r="G15">
        <v>130</v>
      </c>
      <c r="H15">
        <f t="shared" si="3"/>
        <v>2.7281295221412898</v>
      </c>
      <c r="I15">
        <f t="shared" si="1"/>
        <v>7.604748934363676</v>
      </c>
    </row>
    <row r="16" spans="1:18" x14ac:dyDescent="0.25">
      <c r="A16">
        <v>1000</v>
      </c>
      <c r="B16">
        <v>2006.6929929999999</v>
      </c>
      <c r="C16">
        <v>-11.391259</v>
      </c>
      <c r="D16" t="s">
        <v>204</v>
      </c>
      <c r="E16">
        <f t="shared" si="0"/>
        <v>522.69299299999989</v>
      </c>
      <c r="F16">
        <f t="shared" si="2"/>
        <v>14.289462999999898</v>
      </c>
      <c r="G16">
        <v>140</v>
      </c>
      <c r="H16">
        <f t="shared" si="3"/>
        <v>2.6595224125092889</v>
      </c>
      <c r="I16">
        <f t="shared" si="1"/>
        <v>7.604243368983914</v>
      </c>
    </row>
    <row r="17" spans="1:9" x14ac:dyDescent="0.25">
      <c r="A17">
        <v>1000</v>
      </c>
      <c r="B17">
        <v>2005.5006100000001</v>
      </c>
      <c r="C17">
        <v>-11.336316999999999</v>
      </c>
      <c r="D17" t="s">
        <v>205</v>
      </c>
      <c r="E17">
        <f t="shared" si="0"/>
        <v>521.50061000000005</v>
      </c>
      <c r="F17">
        <f t="shared" si="2"/>
        <v>13.097080000000062</v>
      </c>
      <c r="G17">
        <v>150</v>
      </c>
      <c r="H17">
        <f t="shared" si="3"/>
        <v>2.5723893045976847</v>
      </c>
      <c r="I17">
        <f t="shared" si="1"/>
        <v>7.6036489893736112</v>
      </c>
    </row>
    <row r="18" spans="1:9" x14ac:dyDescent="0.25">
      <c r="A18">
        <v>1000</v>
      </c>
      <c r="B18">
        <v>2002.9698490000001</v>
      </c>
      <c r="C18">
        <v>-11.308422</v>
      </c>
      <c r="D18" t="s">
        <v>206</v>
      </c>
      <c r="E18">
        <f t="shared" si="0"/>
        <v>518.96984900000007</v>
      </c>
      <c r="F18">
        <f t="shared" si="2"/>
        <v>10.566319000000078</v>
      </c>
      <c r="G18">
        <v>160</v>
      </c>
      <c r="H18">
        <f t="shared" si="3"/>
        <v>2.3576714894656412</v>
      </c>
      <c r="I18">
        <f t="shared" si="1"/>
        <v>7.6023862826319029</v>
      </c>
    </row>
    <row r="19" spans="1:9" x14ac:dyDescent="0.25">
      <c r="A19">
        <v>1000</v>
      </c>
      <c r="B19">
        <v>2003.4580080000001</v>
      </c>
      <c r="C19">
        <v>-11.282413</v>
      </c>
      <c r="D19" t="s">
        <v>207</v>
      </c>
      <c r="E19">
        <f t="shared" si="0"/>
        <v>519.45800800000006</v>
      </c>
      <c r="F19">
        <f t="shared" si="2"/>
        <v>11.054478000000074</v>
      </c>
      <c r="G19">
        <v>170</v>
      </c>
      <c r="H19">
        <f t="shared" si="3"/>
        <v>2.4028355947414015</v>
      </c>
      <c r="I19">
        <f t="shared" si="1"/>
        <v>7.6026299705353617</v>
      </c>
    </row>
    <row r="20" spans="1:9" x14ac:dyDescent="0.25">
      <c r="A20">
        <v>1000</v>
      </c>
      <c r="B20">
        <v>2003.2761230000001</v>
      </c>
      <c r="C20">
        <v>-11.282890999999999</v>
      </c>
      <c r="D20" t="s">
        <v>208</v>
      </c>
      <c r="E20">
        <f t="shared" si="0"/>
        <v>519.2761230000001</v>
      </c>
      <c r="F20">
        <f t="shared" si="2"/>
        <v>10.872593000000109</v>
      </c>
      <c r="G20">
        <v>180</v>
      </c>
      <c r="H20">
        <f t="shared" si="3"/>
        <v>2.3862452191435874</v>
      </c>
      <c r="I20">
        <f t="shared" si="1"/>
        <v>7.602539180882653</v>
      </c>
    </row>
    <row r="21" spans="1:9" x14ac:dyDescent="0.25">
      <c r="A21">
        <v>1000</v>
      </c>
      <c r="B21">
        <v>2002.080933</v>
      </c>
      <c r="C21">
        <v>-11.239191999999999</v>
      </c>
      <c r="D21" t="s">
        <v>209</v>
      </c>
      <c r="E21">
        <f t="shared" si="0"/>
        <v>518.08093299999996</v>
      </c>
      <c r="F21">
        <f t="shared" si="2"/>
        <v>9.6774029999999698</v>
      </c>
      <c r="G21">
        <v>190</v>
      </c>
      <c r="H21">
        <f t="shared" si="3"/>
        <v>2.2697935801696238</v>
      </c>
      <c r="I21">
        <f t="shared" si="1"/>
        <v>7.6019423851319798</v>
      </c>
    </row>
    <row r="22" spans="1:9" x14ac:dyDescent="0.25">
      <c r="A22">
        <v>1000</v>
      </c>
      <c r="B22">
        <v>2001.4167480000001</v>
      </c>
      <c r="C22">
        <v>-11.21448</v>
      </c>
      <c r="D22" t="s">
        <v>210</v>
      </c>
      <c r="E22">
        <f t="shared" si="0"/>
        <v>517.4167480000001</v>
      </c>
      <c r="F22">
        <f t="shared" si="2"/>
        <v>9.0132180000001085</v>
      </c>
      <c r="G22">
        <v>200</v>
      </c>
      <c r="H22">
        <f t="shared" si="3"/>
        <v>2.19869216656681</v>
      </c>
      <c r="I22">
        <f t="shared" si="1"/>
        <v>7.6016105827636435</v>
      </c>
    </row>
    <row r="23" spans="1:9" x14ac:dyDescent="0.25">
      <c r="A23">
        <v>1000</v>
      </c>
      <c r="B23">
        <v>2000.0927730000001</v>
      </c>
      <c r="C23">
        <v>-11.179702000000001</v>
      </c>
      <c r="D23" t="s">
        <v>211</v>
      </c>
      <c r="E23">
        <f t="shared" si="0"/>
        <v>516.09277300000008</v>
      </c>
      <c r="F23">
        <f t="shared" si="2"/>
        <v>7.68924300000009</v>
      </c>
      <c r="G23">
        <v>210</v>
      </c>
      <c r="H23">
        <f t="shared" si="3"/>
        <v>2.0398223391402159</v>
      </c>
      <c r="I23">
        <f t="shared" si="1"/>
        <v>7.6009488449662621</v>
      </c>
    </row>
    <row r="24" spans="1:9" x14ac:dyDescent="0.25">
      <c r="A24">
        <v>1000</v>
      </c>
      <c r="B24">
        <v>1999.2951660000001</v>
      </c>
      <c r="C24">
        <v>-11.136111</v>
      </c>
      <c r="D24" t="s">
        <v>212</v>
      </c>
      <c r="E24">
        <f t="shared" si="0"/>
        <v>515.29516600000011</v>
      </c>
      <c r="F24">
        <f t="shared" si="2"/>
        <v>6.8916360000001191</v>
      </c>
      <c r="G24">
        <v>220</v>
      </c>
      <c r="H24">
        <f t="shared" si="3"/>
        <v>1.9303085024131406</v>
      </c>
      <c r="I24">
        <f t="shared" si="1"/>
        <v>7.6005499804286174</v>
      </c>
    </row>
    <row r="25" spans="1:9" x14ac:dyDescent="0.25">
      <c r="A25">
        <v>1000</v>
      </c>
      <c r="B25">
        <v>1999.020264</v>
      </c>
      <c r="C25">
        <v>-11.108886</v>
      </c>
      <c r="D25" t="s">
        <v>213</v>
      </c>
      <c r="E25">
        <f t="shared" si="0"/>
        <v>515.020264</v>
      </c>
      <c r="F25">
        <f t="shared" si="2"/>
        <v>6.6167340000000081</v>
      </c>
      <c r="G25">
        <v>230</v>
      </c>
      <c r="H25">
        <f t="shared" si="3"/>
        <v>1.8896018947357307</v>
      </c>
      <c r="I25">
        <f t="shared" si="1"/>
        <v>7.6004124715175543</v>
      </c>
    </row>
    <row r="26" spans="1:9" x14ac:dyDescent="0.25">
      <c r="A26">
        <v>1000</v>
      </c>
      <c r="B26">
        <v>1998.136841</v>
      </c>
      <c r="C26">
        <v>-11.080171999999999</v>
      </c>
      <c r="D26" t="s">
        <v>214</v>
      </c>
      <c r="E26">
        <f t="shared" si="0"/>
        <v>514.136841</v>
      </c>
      <c r="F26">
        <f t="shared" si="2"/>
        <v>5.7333110000000147</v>
      </c>
      <c r="G26">
        <v>240</v>
      </c>
      <c r="H26">
        <f t="shared" si="3"/>
        <v>1.7462931997948761</v>
      </c>
      <c r="I26">
        <f t="shared" si="1"/>
        <v>7.5999704458522244</v>
      </c>
    </row>
    <row r="27" spans="1:9" x14ac:dyDescent="0.25">
      <c r="A27">
        <v>1000</v>
      </c>
      <c r="B27">
        <v>1997.0318600000001</v>
      </c>
      <c r="C27">
        <v>-11.046676</v>
      </c>
      <c r="D27" t="s">
        <v>215</v>
      </c>
      <c r="E27">
        <f t="shared" si="0"/>
        <v>513.03186000000005</v>
      </c>
      <c r="F27">
        <f t="shared" si="2"/>
        <v>4.6283300000000622</v>
      </c>
      <c r="G27">
        <v>250</v>
      </c>
      <c r="H27">
        <f t="shared" si="3"/>
        <v>1.5321961118887508</v>
      </c>
      <c r="I27">
        <f t="shared" si="1"/>
        <v>7.599417287219449</v>
      </c>
    </row>
    <row r="28" spans="1:9" x14ac:dyDescent="0.25">
      <c r="A28">
        <v>1000</v>
      </c>
      <c r="B28">
        <v>1996.8549800000001</v>
      </c>
      <c r="C28">
        <v>-11.021813999999999</v>
      </c>
      <c r="D28" t="s">
        <v>216</v>
      </c>
      <c r="E28">
        <f t="shared" si="0"/>
        <v>512.85498000000007</v>
      </c>
      <c r="F28">
        <f t="shared" si="2"/>
        <v>4.4514500000000794</v>
      </c>
      <c r="G28">
        <v>260</v>
      </c>
      <c r="H28">
        <f t="shared" si="3"/>
        <v>1.4932298857995936</v>
      </c>
      <c r="I28">
        <f t="shared" si="1"/>
        <v>7.599328711850541</v>
      </c>
    </row>
    <row r="29" spans="1:9" x14ac:dyDescent="0.25">
      <c r="A29">
        <v>1000</v>
      </c>
      <c r="B29">
        <v>1995.924438</v>
      </c>
      <c r="C29">
        <v>-10.984481000000001</v>
      </c>
      <c r="D29" t="s">
        <v>217</v>
      </c>
      <c r="E29">
        <f t="shared" si="0"/>
        <v>511.92443800000001</v>
      </c>
      <c r="F29">
        <f t="shared" si="2"/>
        <v>3.5209080000000199</v>
      </c>
      <c r="G29">
        <v>270</v>
      </c>
      <c r="H29">
        <f t="shared" si="3"/>
        <v>1.2587189108909125</v>
      </c>
      <c r="I29">
        <f t="shared" si="1"/>
        <v>7.5988625994413992</v>
      </c>
    </row>
    <row r="30" spans="1:9" x14ac:dyDescent="0.25">
      <c r="A30">
        <v>1000</v>
      </c>
      <c r="B30">
        <v>1995.2645259999999</v>
      </c>
      <c r="C30">
        <v>-10.959631999999999</v>
      </c>
      <c r="D30" t="s">
        <v>218</v>
      </c>
      <c r="E30">
        <f t="shared" si="0"/>
        <v>511.26452599999993</v>
      </c>
      <c r="F30">
        <f t="shared" si="2"/>
        <v>2.8609959999999433</v>
      </c>
      <c r="G30">
        <v>280</v>
      </c>
      <c r="H30">
        <f t="shared" si="3"/>
        <v>1.051169815954428</v>
      </c>
      <c r="I30">
        <f t="shared" si="1"/>
        <v>7.598531915020307</v>
      </c>
    </row>
    <row r="31" spans="1:9" x14ac:dyDescent="0.25">
      <c r="A31">
        <v>1000</v>
      </c>
      <c r="B31">
        <v>1994.2517089999999</v>
      </c>
      <c r="C31">
        <v>-10.911998000000001</v>
      </c>
      <c r="D31" t="s">
        <v>219</v>
      </c>
      <c r="E31">
        <f t="shared" si="0"/>
        <v>510.25170899999989</v>
      </c>
      <c r="F31">
        <f t="shared" si="2"/>
        <v>1.8481789999999023</v>
      </c>
      <c r="G31">
        <v>290</v>
      </c>
      <c r="H31">
        <f t="shared" si="3"/>
        <v>0.61420083000053161</v>
      </c>
      <c r="I31">
        <f t="shared" si="1"/>
        <v>7.5980241757546425</v>
      </c>
    </row>
    <row r="32" spans="1:9" x14ac:dyDescent="0.25">
      <c r="A32">
        <v>1000</v>
      </c>
      <c r="B32">
        <v>1994.6866460000001</v>
      </c>
      <c r="C32">
        <v>-10.903352</v>
      </c>
      <c r="D32" t="s">
        <v>220</v>
      </c>
      <c r="E32">
        <f t="shared" si="0"/>
        <v>510.68664600000011</v>
      </c>
      <c r="F32">
        <f t="shared" si="2"/>
        <v>2.2831160000001205</v>
      </c>
      <c r="G32">
        <v>300</v>
      </c>
      <c r="H32">
        <f t="shared" si="3"/>
        <v>0.82554117659418536</v>
      </c>
      <c r="I32">
        <f t="shared" si="1"/>
        <v>7.5982422473130455</v>
      </c>
    </row>
    <row r="33" spans="1:21" x14ac:dyDescent="0.25">
      <c r="A33">
        <v>1000</v>
      </c>
      <c r="B33">
        <v>1994.6389160000001</v>
      </c>
      <c r="C33">
        <v>-10.894746</v>
      </c>
      <c r="D33" t="s">
        <v>221</v>
      </c>
      <c r="E33">
        <f t="shared" si="0"/>
        <v>510.63891600000011</v>
      </c>
      <c r="F33">
        <f t="shared" si="2"/>
        <v>2.2353860000001191</v>
      </c>
      <c r="G33">
        <v>310</v>
      </c>
      <c r="H33">
        <f t="shared" si="3"/>
        <v>0.8044139200885827</v>
      </c>
      <c r="I33">
        <f t="shared" si="1"/>
        <v>7.5982183184562695</v>
      </c>
    </row>
    <row r="34" spans="1:21" x14ac:dyDescent="0.25">
      <c r="A34">
        <v>1000</v>
      </c>
      <c r="B34">
        <v>1993.6669919999999</v>
      </c>
      <c r="C34">
        <v>-10.878325</v>
      </c>
      <c r="D34" t="s">
        <v>222</v>
      </c>
      <c r="E34">
        <f t="shared" si="0"/>
        <v>509.66699199999994</v>
      </c>
      <c r="F34">
        <f t="shared" si="2"/>
        <v>1.2634619999999472</v>
      </c>
      <c r="G34">
        <v>320</v>
      </c>
      <c r="H34">
        <f t="shared" si="3"/>
        <v>0.23385557220583264</v>
      </c>
      <c r="I34">
        <f t="shared" ref="I34:I65" si="4">LN(B34)</f>
        <v>7.5977309315598482</v>
      </c>
    </row>
    <row r="35" spans="1:21" x14ac:dyDescent="0.25">
      <c r="A35">
        <v>1000</v>
      </c>
      <c r="B35">
        <v>1993.2338870000001</v>
      </c>
      <c r="C35">
        <v>-10.846973999999999</v>
      </c>
      <c r="D35" t="s">
        <v>223</v>
      </c>
      <c r="E35">
        <f t="shared" si="0"/>
        <v>509.2338870000001</v>
      </c>
      <c r="F35">
        <f t="shared" si="2"/>
        <v>0.83035700000010593</v>
      </c>
      <c r="G35">
        <v>330</v>
      </c>
      <c r="H35">
        <f t="shared" si="3"/>
        <v>-0.18589955018473658</v>
      </c>
      <c r="I35">
        <f t="shared" si="4"/>
        <v>7.5975136675671644</v>
      </c>
    </row>
    <row r="36" spans="1:21" x14ac:dyDescent="0.25">
      <c r="A36">
        <v>1000</v>
      </c>
      <c r="B36">
        <v>1993.8426509999999</v>
      </c>
      <c r="C36">
        <v>-10.834543999999999</v>
      </c>
      <c r="D36" t="s">
        <v>224</v>
      </c>
      <c r="E36">
        <f t="shared" si="0"/>
        <v>509.84265099999993</v>
      </c>
      <c r="F36">
        <f t="shared" si="2"/>
        <v>1.4391209999999433</v>
      </c>
      <c r="G36">
        <v>340</v>
      </c>
      <c r="H36">
        <f t="shared" si="3"/>
        <v>0.36403251054109947</v>
      </c>
      <c r="I36">
        <f t="shared" si="4"/>
        <v>7.5978190361744273</v>
      </c>
    </row>
    <row r="37" spans="1:21" x14ac:dyDescent="0.25">
      <c r="A37">
        <v>1000</v>
      </c>
      <c r="B37">
        <v>1993.489746</v>
      </c>
      <c r="C37">
        <v>-10.810829999999999</v>
      </c>
      <c r="D37" t="s">
        <v>225</v>
      </c>
      <c r="E37">
        <f t="shared" si="0"/>
        <v>509.48974599999997</v>
      </c>
      <c r="F37">
        <f t="shared" si="2"/>
        <v>1.086215999999979</v>
      </c>
      <c r="G37">
        <v>350</v>
      </c>
      <c r="H37">
        <f t="shared" si="3"/>
        <v>8.2700096762354958E-2</v>
      </c>
      <c r="I37">
        <f t="shared" si="4"/>
        <v>7.5976420230911001</v>
      </c>
    </row>
    <row r="38" spans="1:21" x14ac:dyDescent="0.25">
      <c r="A38">
        <v>1000</v>
      </c>
      <c r="B38">
        <v>1993.5736079999999</v>
      </c>
      <c r="C38">
        <v>-10.793303</v>
      </c>
      <c r="D38" t="s">
        <v>226</v>
      </c>
      <c r="E38">
        <f t="shared" si="0"/>
        <v>509.57360799999992</v>
      </c>
      <c r="F38">
        <f t="shared" si="2"/>
        <v>1.1700779999999327</v>
      </c>
      <c r="G38">
        <v>360</v>
      </c>
      <c r="H38">
        <f t="shared" si="3"/>
        <v>0.15707041325415041</v>
      </c>
      <c r="I38">
        <f t="shared" si="4"/>
        <v>7.5976840901427449</v>
      </c>
    </row>
    <row r="39" spans="1:21" x14ac:dyDescent="0.25">
      <c r="A39">
        <v>1000</v>
      </c>
      <c r="B39">
        <v>1992.390991</v>
      </c>
      <c r="C39">
        <v>-10.749426</v>
      </c>
      <c r="D39" t="s">
        <v>227</v>
      </c>
      <c r="E39">
        <f t="shared" si="0"/>
        <v>508.39099099999999</v>
      </c>
      <c r="F39">
        <f t="shared" si="2"/>
        <v>-1.2539000000003853E-2</v>
      </c>
      <c r="G39">
        <v>370</v>
      </c>
      <c r="H39" t="e">
        <f t="shared" si="3"/>
        <v>#NUM!</v>
      </c>
      <c r="I39">
        <f t="shared" si="4"/>
        <v>7.5970906995065119</v>
      </c>
    </row>
    <row r="40" spans="1:21" x14ac:dyDescent="0.25">
      <c r="A40">
        <v>1000</v>
      </c>
      <c r="B40">
        <v>1992.521851</v>
      </c>
      <c r="C40">
        <v>-10.739549999999999</v>
      </c>
      <c r="D40" t="s">
        <v>228</v>
      </c>
      <c r="E40">
        <f t="shared" si="0"/>
        <v>508.52185099999997</v>
      </c>
      <c r="F40">
        <f t="shared" si="2"/>
        <v>0.11832099999998036</v>
      </c>
      <c r="G40">
        <v>380</v>
      </c>
      <c r="H40">
        <f t="shared" si="3"/>
        <v>-2.1343540089589492</v>
      </c>
      <c r="I40">
        <f t="shared" si="4"/>
        <v>7.59715637722908</v>
      </c>
      <c r="T40">
        <v>-1.2699999999999999E-2</v>
      </c>
    </row>
    <row r="41" spans="1:21" x14ac:dyDescent="0.25">
      <c r="A41">
        <v>1000</v>
      </c>
      <c r="B41">
        <v>1992.1241460000001</v>
      </c>
      <c r="C41">
        <v>-10.722023999999999</v>
      </c>
      <c r="D41" t="s">
        <v>229</v>
      </c>
      <c r="E41">
        <f t="shared" si="0"/>
        <v>508.12414600000011</v>
      </c>
      <c r="F41">
        <f t="shared" si="2"/>
        <v>-0.27938399999987951</v>
      </c>
      <c r="G41">
        <v>390</v>
      </c>
      <c r="H41" t="e">
        <f t="shared" si="3"/>
        <v>#NUM!</v>
      </c>
      <c r="I41">
        <f t="shared" si="4"/>
        <v>7.5969567584917472</v>
      </c>
      <c r="S41" t="s">
        <v>2</v>
      </c>
      <c r="T41">
        <f>1/ABS(T40)</f>
        <v>78.740157480314963</v>
      </c>
      <c r="U41" s="3" t="s">
        <v>3</v>
      </c>
    </row>
    <row r="42" spans="1:21" x14ac:dyDescent="0.25">
      <c r="A42">
        <v>1000</v>
      </c>
      <c r="B42">
        <v>1991.989624</v>
      </c>
      <c r="C42">
        <v>-10.714483</v>
      </c>
      <c r="D42" t="s">
        <v>230</v>
      </c>
      <c r="E42">
        <f t="shared" si="0"/>
        <v>507.98962400000005</v>
      </c>
      <c r="F42">
        <f t="shared" si="2"/>
        <v>-0.41390599999994038</v>
      </c>
      <c r="G42">
        <v>400</v>
      </c>
      <c r="H42" t="e">
        <f t="shared" si="3"/>
        <v>#NUM!</v>
      </c>
      <c r="I42">
        <f t="shared" si="4"/>
        <v>7.5968892292956358</v>
      </c>
      <c r="T42">
        <f>T41/60</f>
        <v>1.3123359580052494</v>
      </c>
      <c r="U42" s="3" t="s">
        <v>4</v>
      </c>
    </row>
    <row r="43" spans="1:21" x14ac:dyDescent="0.25">
      <c r="A43">
        <v>1000</v>
      </c>
      <c r="B43">
        <v>1991.946655</v>
      </c>
      <c r="C43">
        <v>-10.68066</v>
      </c>
      <c r="D43" t="s">
        <v>231</v>
      </c>
      <c r="E43">
        <f t="shared" si="0"/>
        <v>507.94665499999996</v>
      </c>
      <c r="F43">
        <f t="shared" si="2"/>
        <v>-0.45687500000002501</v>
      </c>
      <c r="G43">
        <v>410</v>
      </c>
      <c r="H43" t="e">
        <f t="shared" si="3"/>
        <v>#NUM!</v>
      </c>
      <c r="I43">
        <f t="shared" si="4"/>
        <v>7.596867658167489</v>
      </c>
      <c r="T43">
        <f>T42/60</f>
        <v>2.1872265966754158E-2</v>
      </c>
      <c r="U43" s="3" t="s">
        <v>5</v>
      </c>
    </row>
    <row r="44" spans="1:21" x14ac:dyDescent="0.25">
      <c r="A44">
        <v>1000</v>
      </c>
      <c r="B44">
        <v>1991.1142580000001</v>
      </c>
      <c r="C44">
        <v>-10.656919</v>
      </c>
      <c r="D44" t="s">
        <v>232</v>
      </c>
      <c r="E44">
        <f t="shared" si="0"/>
        <v>507.11425800000006</v>
      </c>
      <c r="F44">
        <f t="shared" si="2"/>
        <v>-1.2892719999999258</v>
      </c>
      <c r="G44">
        <v>420</v>
      </c>
      <c r="H44" t="e">
        <f t="shared" si="3"/>
        <v>#NUM!</v>
      </c>
      <c r="I44">
        <f t="shared" si="4"/>
        <v>7.5964496896602034</v>
      </c>
    </row>
    <row r="45" spans="1:21" x14ac:dyDescent="0.25">
      <c r="A45">
        <v>1000</v>
      </c>
      <c r="B45">
        <v>1991.0686040000001</v>
      </c>
      <c r="C45">
        <v>-10.634392999999999</v>
      </c>
      <c r="D45" t="s">
        <v>233</v>
      </c>
      <c r="E45">
        <f t="shared" si="0"/>
        <v>507.06860400000005</v>
      </c>
      <c r="F45">
        <f t="shared" si="2"/>
        <v>-1.334925999999939</v>
      </c>
      <c r="G45">
        <v>430</v>
      </c>
      <c r="H45" t="e">
        <f t="shared" si="3"/>
        <v>#NUM!</v>
      </c>
      <c r="I45">
        <f t="shared" si="4"/>
        <v>7.5964267605273212</v>
      </c>
    </row>
    <row r="46" spans="1:21" x14ac:dyDescent="0.25">
      <c r="A46">
        <v>1000</v>
      </c>
      <c r="B46">
        <v>1991.6397710000001</v>
      </c>
      <c r="C46">
        <v>-10.604476</v>
      </c>
      <c r="D46" t="s">
        <v>234</v>
      </c>
      <c r="E46">
        <f t="shared" si="0"/>
        <v>507.63977100000011</v>
      </c>
      <c r="F46">
        <f t="shared" si="2"/>
        <v>-0.76375899999987951</v>
      </c>
      <c r="G46">
        <v>440</v>
      </c>
      <c r="H46" t="e">
        <f t="shared" si="3"/>
        <v>#NUM!</v>
      </c>
      <c r="I46">
        <f t="shared" si="4"/>
        <v>7.5967135839400024</v>
      </c>
    </row>
    <row r="47" spans="1:21" x14ac:dyDescent="0.25">
      <c r="A47">
        <v>1000</v>
      </c>
      <c r="B47">
        <v>1990.5850829999999</v>
      </c>
      <c r="C47">
        <v>-10.603096000000001</v>
      </c>
      <c r="D47" t="s">
        <v>235</v>
      </c>
      <c r="E47">
        <f t="shared" si="0"/>
        <v>506.58508299999994</v>
      </c>
      <c r="F47">
        <f t="shared" si="2"/>
        <v>-1.8184470000000488</v>
      </c>
      <c r="G47">
        <v>450</v>
      </c>
      <c r="H47" t="e">
        <f t="shared" si="3"/>
        <v>#NUM!</v>
      </c>
      <c r="I47">
        <f t="shared" si="4"/>
        <v>7.5961838860633986</v>
      </c>
    </row>
    <row r="48" spans="1:21" x14ac:dyDescent="0.25">
      <c r="A48">
        <v>1000</v>
      </c>
      <c r="B48">
        <v>1990.847534</v>
      </c>
      <c r="C48">
        <v>-10.584327999999999</v>
      </c>
      <c r="D48" t="s">
        <v>236</v>
      </c>
      <c r="E48">
        <f t="shared" si="0"/>
        <v>506.847534</v>
      </c>
      <c r="F48">
        <f t="shared" si="2"/>
        <v>-1.5559959999999933</v>
      </c>
      <c r="G48">
        <v>460</v>
      </c>
      <c r="H48" t="e">
        <f t="shared" si="3"/>
        <v>#NUM!</v>
      </c>
      <c r="I48">
        <f t="shared" si="4"/>
        <v>7.5963157235327863</v>
      </c>
    </row>
    <row r="49" spans="1:9" x14ac:dyDescent="0.25">
      <c r="A49">
        <v>1000</v>
      </c>
      <c r="B49">
        <v>1989.974487</v>
      </c>
      <c r="C49">
        <v>-10.555477</v>
      </c>
      <c r="D49" t="s">
        <v>237</v>
      </c>
      <c r="E49">
        <f t="shared" si="0"/>
        <v>505.97448699999995</v>
      </c>
      <c r="F49">
        <f t="shared" si="2"/>
        <v>-2.4290430000000356</v>
      </c>
      <c r="G49">
        <v>470</v>
      </c>
      <c r="H49" t="e">
        <f t="shared" si="3"/>
        <v>#NUM!</v>
      </c>
      <c r="I49">
        <f t="shared" si="4"/>
        <v>7.5958770970333385</v>
      </c>
    </row>
    <row r="50" spans="1:9" x14ac:dyDescent="0.25">
      <c r="A50">
        <v>1000</v>
      </c>
      <c r="B50">
        <v>1989.892212</v>
      </c>
      <c r="C50">
        <v>-10.519057</v>
      </c>
      <c r="D50" t="s">
        <v>238</v>
      </c>
      <c r="E50">
        <f t="shared" si="0"/>
        <v>505.89221199999997</v>
      </c>
      <c r="F50">
        <f t="shared" si="2"/>
        <v>-2.511318000000017</v>
      </c>
      <c r="G50">
        <v>480</v>
      </c>
      <c r="H50" t="e">
        <f t="shared" si="3"/>
        <v>#NUM!</v>
      </c>
      <c r="I50">
        <f t="shared" si="4"/>
        <v>7.5958357514274502</v>
      </c>
    </row>
    <row r="51" spans="1:9" x14ac:dyDescent="0.25">
      <c r="A51">
        <v>1000</v>
      </c>
      <c r="B51">
        <v>1989.453857</v>
      </c>
      <c r="C51">
        <v>-10.492815999999999</v>
      </c>
      <c r="D51" t="s">
        <v>239</v>
      </c>
      <c r="E51">
        <f t="shared" si="0"/>
        <v>505.45385699999997</v>
      </c>
      <c r="F51">
        <f t="shared" si="2"/>
        <v>-2.9496730000000184</v>
      </c>
      <c r="G51">
        <v>490</v>
      </c>
      <c r="H51" t="e">
        <f t="shared" si="3"/>
        <v>#NUM!</v>
      </c>
      <c r="I51">
        <f t="shared" si="4"/>
        <v>7.5956154363333761</v>
      </c>
    </row>
    <row r="52" spans="1:9" x14ac:dyDescent="0.25">
      <c r="A52">
        <v>1000</v>
      </c>
      <c r="B52">
        <v>1989.8000489999999</v>
      </c>
      <c r="C52">
        <v>-10.500247999999999</v>
      </c>
      <c r="D52" t="s">
        <v>240</v>
      </c>
      <c r="E52">
        <f t="shared" si="0"/>
        <v>505.80004899999994</v>
      </c>
      <c r="F52">
        <f t="shared" si="2"/>
        <v>-2.6034810000000448</v>
      </c>
      <c r="G52">
        <v>500</v>
      </c>
      <c r="H52" t="e">
        <f t="shared" si="3"/>
        <v>#NUM!</v>
      </c>
      <c r="I52">
        <f t="shared" si="4"/>
        <v>7.5957894347808494</v>
      </c>
    </row>
    <row r="53" spans="1:9" x14ac:dyDescent="0.25">
      <c r="A53">
        <v>1000</v>
      </c>
      <c r="B53">
        <v>1989.8889160000001</v>
      </c>
      <c r="C53">
        <v>-10.485234</v>
      </c>
      <c r="D53" t="s">
        <v>241</v>
      </c>
      <c r="E53">
        <f t="shared" si="0"/>
        <v>505.88891600000011</v>
      </c>
      <c r="F53">
        <f t="shared" si="2"/>
        <v>-2.5146139999998809</v>
      </c>
      <c r="G53">
        <v>510</v>
      </c>
      <c r="H53" t="e">
        <f t="shared" si="3"/>
        <v>#NUM!</v>
      </c>
      <c r="I53">
        <f t="shared" si="4"/>
        <v>7.595834095054955</v>
      </c>
    </row>
    <row r="54" spans="1:9" x14ac:dyDescent="0.25">
      <c r="A54">
        <v>1000</v>
      </c>
      <c r="B54">
        <v>1989.625732</v>
      </c>
      <c r="C54">
        <v>-10.472709</v>
      </c>
      <c r="D54" t="s">
        <v>242</v>
      </c>
      <c r="E54">
        <f t="shared" si="0"/>
        <v>505.62573199999997</v>
      </c>
      <c r="F54">
        <f t="shared" si="2"/>
        <v>-2.7777980000000184</v>
      </c>
      <c r="G54">
        <v>520</v>
      </c>
      <c r="H54" t="e">
        <f t="shared" si="3"/>
        <v>#NUM!</v>
      </c>
      <c r="I54">
        <f t="shared" si="4"/>
        <v>7.5957018256584758</v>
      </c>
    </row>
    <row r="55" spans="1:9" x14ac:dyDescent="0.25">
      <c r="A55">
        <v>1000</v>
      </c>
      <c r="B55">
        <v>1989.497437</v>
      </c>
      <c r="C55">
        <v>-10.438898999999999</v>
      </c>
      <c r="D55" t="s">
        <v>243</v>
      </c>
      <c r="E55">
        <f t="shared" si="0"/>
        <v>505.49743699999999</v>
      </c>
      <c r="F55">
        <f t="shared" si="2"/>
        <v>-2.9060929999999985</v>
      </c>
      <c r="G55">
        <v>530</v>
      </c>
      <c r="H55" t="e">
        <f t="shared" si="3"/>
        <v>#NUM!</v>
      </c>
      <c r="I55">
        <f t="shared" si="4"/>
        <v>7.5956373416027709</v>
      </c>
    </row>
    <row r="56" spans="1:9" x14ac:dyDescent="0.25">
      <c r="A56">
        <v>1000</v>
      </c>
      <c r="B56">
        <v>1988.626587</v>
      </c>
      <c r="C56">
        <v>-10.410021</v>
      </c>
      <c r="D56" t="s">
        <v>244</v>
      </c>
      <c r="E56">
        <f t="shared" si="0"/>
        <v>504.62658699999997</v>
      </c>
      <c r="F56">
        <f t="shared" si="2"/>
        <v>-3.776943000000017</v>
      </c>
      <c r="G56">
        <v>540</v>
      </c>
      <c r="H56" t="e">
        <f t="shared" si="3"/>
        <v>#NUM!</v>
      </c>
      <c r="I56">
        <f t="shared" si="4"/>
        <v>7.5951995221639317</v>
      </c>
    </row>
    <row r="57" spans="1:9" x14ac:dyDescent="0.25">
      <c r="A57">
        <v>1000</v>
      </c>
      <c r="B57">
        <v>1988.4967039999999</v>
      </c>
      <c r="C57">
        <v>-10.391183</v>
      </c>
      <c r="D57" t="s">
        <v>245</v>
      </c>
      <c r="E57">
        <f t="shared" si="0"/>
        <v>504.49670399999991</v>
      </c>
      <c r="F57">
        <f t="shared" si="2"/>
        <v>-3.9068260000000805</v>
      </c>
      <c r="G57">
        <v>550</v>
      </c>
      <c r="H57" t="e">
        <f t="shared" si="3"/>
        <v>#NUM!</v>
      </c>
      <c r="I57">
        <f t="shared" si="4"/>
        <v>7.5951342071155699</v>
      </c>
    </row>
    <row r="58" spans="1:9" x14ac:dyDescent="0.25">
      <c r="A58">
        <v>1000</v>
      </c>
      <c r="B58">
        <v>1988.2797849999999</v>
      </c>
      <c r="C58">
        <v>-10.372387</v>
      </c>
      <c r="D58" t="s">
        <v>246</v>
      </c>
      <c r="E58">
        <f t="shared" si="0"/>
        <v>504.27978499999995</v>
      </c>
      <c r="F58">
        <f t="shared" si="2"/>
        <v>-4.1237450000000422</v>
      </c>
      <c r="G58">
        <v>560</v>
      </c>
      <c r="H58" t="e">
        <f t="shared" si="3"/>
        <v>#NUM!</v>
      </c>
      <c r="I58">
        <f t="shared" si="4"/>
        <v>7.5950251142355372</v>
      </c>
    </row>
    <row r="59" spans="1:9" x14ac:dyDescent="0.25">
      <c r="A59">
        <v>1000</v>
      </c>
      <c r="B59">
        <v>1987.8900149999999</v>
      </c>
      <c r="C59">
        <v>-10.343508</v>
      </c>
      <c r="D59" t="s">
        <v>247</v>
      </c>
      <c r="E59">
        <f t="shared" si="0"/>
        <v>503.89001499999995</v>
      </c>
      <c r="F59">
        <f t="shared" si="2"/>
        <v>-4.5135150000000408</v>
      </c>
      <c r="G59">
        <v>570</v>
      </c>
      <c r="H59" t="e">
        <f t="shared" si="3"/>
        <v>#NUM!</v>
      </c>
      <c r="I59">
        <f t="shared" si="4"/>
        <v>7.5948290612393858</v>
      </c>
    </row>
    <row r="60" spans="1:9" x14ac:dyDescent="0.25">
      <c r="A60">
        <v>1000</v>
      </c>
      <c r="B60">
        <v>1988.7613530000001</v>
      </c>
      <c r="C60">
        <v>-10.341077</v>
      </c>
      <c r="D60" t="s">
        <v>248</v>
      </c>
      <c r="E60">
        <f t="shared" si="0"/>
        <v>504.7613530000001</v>
      </c>
      <c r="F60">
        <f t="shared" si="2"/>
        <v>-3.6421769999998901</v>
      </c>
      <c r="G60">
        <v>580</v>
      </c>
      <c r="H60" t="e">
        <f t="shared" si="3"/>
        <v>#NUM!</v>
      </c>
      <c r="I60">
        <f t="shared" si="4"/>
        <v>7.5952672882466388</v>
      </c>
    </row>
    <row r="61" spans="1:9" x14ac:dyDescent="0.25">
      <c r="A61">
        <v>1000</v>
      </c>
      <c r="B61">
        <v>1988.3714600000001</v>
      </c>
      <c r="C61">
        <v>-10.312184999999999</v>
      </c>
      <c r="D61" t="s">
        <v>249</v>
      </c>
      <c r="E61">
        <f t="shared" si="0"/>
        <v>504.37146000000007</v>
      </c>
      <c r="F61">
        <f t="shared" si="2"/>
        <v>-4.0320699999999192</v>
      </c>
      <c r="G61">
        <v>590</v>
      </c>
      <c r="H61" t="e">
        <f t="shared" si="3"/>
        <v>#NUM!</v>
      </c>
      <c r="I61">
        <f t="shared" si="4"/>
        <v>7.5950712208686655</v>
      </c>
    </row>
    <row r="62" spans="1:9" x14ac:dyDescent="0.25">
      <c r="A62">
        <v>1000</v>
      </c>
      <c r="B62">
        <v>1988.155518</v>
      </c>
      <c r="C62">
        <v>-10.293388</v>
      </c>
      <c r="D62" t="s">
        <v>250</v>
      </c>
      <c r="E62">
        <f t="shared" si="0"/>
        <v>504.15551800000003</v>
      </c>
      <c r="F62">
        <f t="shared" si="2"/>
        <v>-4.2480119999999602</v>
      </c>
      <c r="G62">
        <v>600</v>
      </c>
      <c r="H62" t="e">
        <f t="shared" si="3"/>
        <v>#NUM!</v>
      </c>
      <c r="I62">
        <f t="shared" si="4"/>
        <v>7.5949626125270617</v>
      </c>
    </row>
    <row r="63" spans="1:9" x14ac:dyDescent="0.25">
      <c r="A63">
        <v>1000</v>
      </c>
      <c r="B63">
        <v>1988.154419</v>
      </c>
      <c r="C63">
        <v>-10.290903</v>
      </c>
      <c r="D63" t="s">
        <v>251</v>
      </c>
      <c r="E63">
        <f t="shared" si="0"/>
        <v>504.15441899999996</v>
      </c>
      <c r="F63">
        <f t="shared" si="2"/>
        <v>-4.2491110000000276</v>
      </c>
      <c r="G63">
        <v>610</v>
      </c>
      <c r="H63" t="e">
        <f t="shared" si="3"/>
        <v>#NUM!</v>
      </c>
      <c r="I63">
        <f t="shared" si="4"/>
        <v>7.5949620597532492</v>
      </c>
    </row>
    <row r="64" spans="1:9" x14ac:dyDescent="0.25">
      <c r="A64">
        <v>1000</v>
      </c>
      <c r="B64">
        <v>1988.025024</v>
      </c>
      <c r="C64">
        <v>-10.272064</v>
      </c>
      <c r="D64" t="s">
        <v>252</v>
      </c>
      <c r="E64">
        <f t="shared" si="0"/>
        <v>504.02502400000003</v>
      </c>
      <c r="F64">
        <f t="shared" si="2"/>
        <v>-4.3785059999999589</v>
      </c>
      <c r="G64">
        <v>620</v>
      </c>
      <c r="H64" t="e">
        <f t="shared" si="3"/>
        <v>#NUM!</v>
      </c>
      <c r="I64">
        <f t="shared" si="4"/>
        <v>7.594896974662448</v>
      </c>
    </row>
    <row r="65" spans="1:9" x14ac:dyDescent="0.25">
      <c r="A65">
        <v>1000</v>
      </c>
      <c r="B65">
        <v>1988.8125</v>
      </c>
      <c r="C65">
        <v>-10.258336</v>
      </c>
      <c r="D65" t="s">
        <v>253</v>
      </c>
      <c r="E65">
        <f t="shared" si="0"/>
        <v>504.8125</v>
      </c>
      <c r="F65">
        <f t="shared" si="2"/>
        <v>-3.5910299999999893</v>
      </c>
      <c r="G65">
        <v>630</v>
      </c>
      <c r="H65" t="e">
        <f t="shared" si="3"/>
        <v>#NUM!</v>
      </c>
      <c r="I65">
        <f t="shared" si="4"/>
        <v>7.5952930059337991</v>
      </c>
    </row>
    <row r="66" spans="1:9" x14ac:dyDescent="0.25">
      <c r="A66">
        <v>1000</v>
      </c>
      <c r="B66">
        <v>1987.765991</v>
      </c>
      <c r="C66">
        <v>-10.234387999999999</v>
      </c>
      <c r="D66" t="s">
        <v>254</v>
      </c>
      <c r="E66">
        <f t="shared" ref="E66:E129" si="5">B66-$P$3</f>
        <v>503.76599099999999</v>
      </c>
      <c r="F66">
        <f t="shared" si="2"/>
        <v>-4.6375390000000039</v>
      </c>
      <c r="G66">
        <v>640</v>
      </c>
      <c r="H66" t="e">
        <f t="shared" si="3"/>
        <v>#NUM!</v>
      </c>
      <c r="I66">
        <f t="shared" ref="I66:I97" si="6">LN(B66)</f>
        <v>7.5947666695234757</v>
      </c>
    </row>
    <row r="67" spans="1:9" x14ac:dyDescent="0.25">
      <c r="A67">
        <v>1000</v>
      </c>
      <c r="B67">
        <v>1988.5078129999999</v>
      </c>
      <c r="C67">
        <v>-10.226957000000001</v>
      </c>
      <c r="D67" t="s">
        <v>255</v>
      </c>
      <c r="E67">
        <f t="shared" si="5"/>
        <v>504.50781299999994</v>
      </c>
      <c r="F67">
        <f t="shared" ref="F67:F130" si="7">E67-$R$3</f>
        <v>-3.8957170000000474</v>
      </c>
      <c r="G67">
        <v>650</v>
      </c>
      <c r="H67" t="e">
        <f t="shared" ref="H67:H130" si="8">LN(F67)</f>
        <v>#NUM!</v>
      </c>
      <c r="I67">
        <f t="shared" si="6"/>
        <v>7.5951397937323071</v>
      </c>
    </row>
    <row r="68" spans="1:9" x14ac:dyDescent="0.25">
      <c r="A68">
        <v>1000</v>
      </c>
      <c r="B68">
        <v>1987.5535890000001</v>
      </c>
      <c r="C68">
        <v>-10.195608</v>
      </c>
      <c r="D68" t="s">
        <v>256</v>
      </c>
      <c r="E68">
        <f t="shared" si="5"/>
        <v>503.5535890000001</v>
      </c>
      <c r="F68">
        <f t="shared" si="7"/>
        <v>-4.8499409999998875</v>
      </c>
      <c r="G68">
        <v>660</v>
      </c>
      <c r="H68" t="e">
        <f t="shared" si="8"/>
        <v>#NUM!</v>
      </c>
      <c r="I68">
        <f t="shared" si="6"/>
        <v>7.5946598091838595</v>
      </c>
    </row>
    <row r="69" spans="1:9" x14ac:dyDescent="0.25">
      <c r="A69">
        <v>1000</v>
      </c>
      <c r="B69">
        <v>1988.038086</v>
      </c>
      <c r="C69">
        <v>-10.169243</v>
      </c>
      <c r="D69" t="s">
        <v>257</v>
      </c>
      <c r="E69">
        <f t="shared" si="5"/>
        <v>504.03808600000002</v>
      </c>
      <c r="F69">
        <f t="shared" si="7"/>
        <v>-4.3654439999999681</v>
      </c>
      <c r="G69">
        <v>670</v>
      </c>
      <c r="H69" t="e">
        <f t="shared" si="8"/>
        <v>#NUM!</v>
      </c>
      <c r="I69">
        <f t="shared" si="6"/>
        <v>7.5949035449806948</v>
      </c>
    </row>
    <row r="70" spans="1:9" x14ac:dyDescent="0.25">
      <c r="A70">
        <v>1000</v>
      </c>
      <c r="B70">
        <v>1986.512817</v>
      </c>
      <c r="C70">
        <v>-10.156634</v>
      </c>
      <c r="D70" t="s">
        <v>258</v>
      </c>
      <c r="E70">
        <f t="shared" si="5"/>
        <v>502.51281700000004</v>
      </c>
      <c r="F70">
        <f t="shared" si="7"/>
        <v>-5.8907129999999484</v>
      </c>
      <c r="G70">
        <v>680</v>
      </c>
      <c r="H70" t="e">
        <f t="shared" si="8"/>
        <v>#NUM!</v>
      </c>
      <c r="I70">
        <f t="shared" si="6"/>
        <v>7.5941360272851854</v>
      </c>
    </row>
    <row r="71" spans="1:9" x14ac:dyDescent="0.25">
      <c r="A71">
        <v>1000</v>
      </c>
      <c r="B71">
        <v>1986.955322</v>
      </c>
      <c r="C71">
        <v>-10.130380000000001</v>
      </c>
      <c r="D71" t="s">
        <v>259</v>
      </c>
      <c r="E71">
        <f t="shared" si="5"/>
        <v>502.95532200000002</v>
      </c>
      <c r="F71">
        <f t="shared" si="7"/>
        <v>-5.4482079999999655</v>
      </c>
      <c r="G71">
        <v>690</v>
      </c>
      <c r="H71" t="e">
        <f t="shared" si="8"/>
        <v>#NUM!</v>
      </c>
      <c r="I71">
        <f t="shared" si="6"/>
        <v>7.5943587571455247</v>
      </c>
    </row>
    <row r="72" spans="1:9" x14ac:dyDescent="0.25">
      <c r="A72">
        <v>1000</v>
      </c>
      <c r="B72">
        <v>1987.563721</v>
      </c>
      <c r="C72">
        <v>-10.135433000000001</v>
      </c>
      <c r="D72" t="s">
        <v>260</v>
      </c>
      <c r="E72">
        <f t="shared" si="5"/>
        <v>503.56372099999999</v>
      </c>
      <c r="F72">
        <f t="shared" si="7"/>
        <v>-4.8398090000000025</v>
      </c>
      <c r="G72">
        <v>700</v>
      </c>
      <c r="H72" t="e">
        <f t="shared" si="8"/>
        <v>#NUM!</v>
      </c>
      <c r="I72">
        <f t="shared" si="6"/>
        <v>7.5946649068950514</v>
      </c>
    </row>
    <row r="73" spans="1:9" x14ac:dyDescent="0.25">
      <c r="A73">
        <v>1000</v>
      </c>
      <c r="B73">
        <v>1986.5634769999999</v>
      </c>
      <c r="C73">
        <v>-10.102757</v>
      </c>
      <c r="D73" t="s">
        <v>261</v>
      </c>
      <c r="E73">
        <f t="shared" si="5"/>
        <v>502.56347699999992</v>
      </c>
      <c r="F73">
        <f t="shared" si="7"/>
        <v>-5.8400530000000686</v>
      </c>
      <c r="G73">
        <v>710</v>
      </c>
      <c r="H73" t="e">
        <f t="shared" si="8"/>
        <v>#NUM!</v>
      </c>
      <c r="I73">
        <f t="shared" si="6"/>
        <v>7.5941615289349169</v>
      </c>
    </row>
    <row r="74" spans="1:9" x14ac:dyDescent="0.25">
      <c r="A74">
        <v>1000</v>
      </c>
      <c r="B74">
        <v>1987.002686</v>
      </c>
      <c r="C74">
        <v>-10.082677</v>
      </c>
      <c r="D74" t="s">
        <v>262</v>
      </c>
      <c r="E74">
        <f t="shared" si="5"/>
        <v>503.00268600000004</v>
      </c>
      <c r="F74">
        <f t="shared" si="7"/>
        <v>-5.4008439999999496</v>
      </c>
      <c r="G74">
        <v>720</v>
      </c>
      <c r="H74" t="e">
        <f t="shared" si="8"/>
        <v>#NUM!</v>
      </c>
      <c r="I74">
        <f t="shared" si="6"/>
        <v>7.5943825943375165</v>
      </c>
    </row>
    <row r="75" spans="1:9" x14ac:dyDescent="0.25">
      <c r="A75">
        <v>1000</v>
      </c>
      <c r="B75">
        <v>1986.4011230000001</v>
      </c>
      <c r="C75">
        <v>-10.048759</v>
      </c>
      <c r="D75" t="s">
        <v>263</v>
      </c>
      <c r="E75">
        <f t="shared" si="5"/>
        <v>502.4011230000001</v>
      </c>
      <c r="F75">
        <f t="shared" si="7"/>
        <v>-6.0024069999998915</v>
      </c>
      <c r="G75">
        <v>730</v>
      </c>
      <c r="H75" t="e">
        <f t="shared" si="8"/>
        <v>#NUM!</v>
      </c>
      <c r="I75">
        <f t="shared" si="6"/>
        <v>7.5940797995381386</v>
      </c>
    </row>
    <row r="76" spans="1:9" x14ac:dyDescent="0.25">
      <c r="A76">
        <v>1000</v>
      </c>
      <c r="B76">
        <v>1987.3183590000001</v>
      </c>
      <c r="C76">
        <v>-10.037571</v>
      </c>
      <c r="D76" t="s">
        <v>264</v>
      </c>
      <c r="E76">
        <f t="shared" si="5"/>
        <v>503.3183590000001</v>
      </c>
      <c r="F76">
        <f t="shared" si="7"/>
        <v>-5.0851709999998889</v>
      </c>
      <c r="G76">
        <v>740</v>
      </c>
      <c r="H76" t="e">
        <f t="shared" si="8"/>
        <v>#NUM!</v>
      </c>
      <c r="I76">
        <f t="shared" si="6"/>
        <v>7.5945414506538977</v>
      </c>
    </row>
    <row r="77" spans="1:9" x14ac:dyDescent="0.25">
      <c r="A77">
        <v>1000</v>
      </c>
      <c r="B77">
        <v>1986.1885990000001</v>
      </c>
      <c r="C77">
        <v>-10.013679</v>
      </c>
      <c r="D77" t="s">
        <v>265</v>
      </c>
      <c r="E77">
        <f t="shared" si="5"/>
        <v>502.18859900000007</v>
      </c>
      <c r="F77">
        <f t="shared" si="7"/>
        <v>-6.2149309999999218</v>
      </c>
      <c r="G77">
        <v>750</v>
      </c>
      <c r="H77" t="e">
        <f t="shared" si="8"/>
        <v>#NUM!</v>
      </c>
      <c r="I77">
        <f t="shared" si="6"/>
        <v>7.5939728043460475</v>
      </c>
    </row>
    <row r="78" spans="1:9" x14ac:dyDescent="0.25">
      <c r="A78">
        <v>1000</v>
      </c>
      <c r="B78">
        <v>1986.930908</v>
      </c>
      <c r="C78">
        <v>-10.017585</v>
      </c>
      <c r="D78" t="s">
        <v>266</v>
      </c>
      <c r="E78">
        <f t="shared" si="5"/>
        <v>502.93090800000004</v>
      </c>
      <c r="F78">
        <f t="shared" si="7"/>
        <v>-5.4726219999999444</v>
      </c>
      <c r="G78">
        <v>760</v>
      </c>
      <c r="H78" t="e">
        <f t="shared" si="8"/>
        <v>#NUM!</v>
      </c>
      <c r="I78">
        <f t="shared" si="6"/>
        <v>7.5943464699291381</v>
      </c>
    </row>
    <row r="79" spans="1:9" x14ac:dyDescent="0.25">
      <c r="A79">
        <v>1000</v>
      </c>
      <c r="B79">
        <v>1986.453857</v>
      </c>
      <c r="C79">
        <v>-10.003774999999999</v>
      </c>
      <c r="D79" t="s">
        <v>267</v>
      </c>
      <c r="E79">
        <f t="shared" si="5"/>
        <v>502.45385699999997</v>
      </c>
      <c r="F79">
        <f t="shared" si="7"/>
        <v>-5.9496730000000184</v>
      </c>
      <c r="G79">
        <v>770</v>
      </c>
      <c r="H79" t="e">
        <f t="shared" si="8"/>
        <v>#NUM!</v>
      </c>
      <c r="I79">
        <f t="shared" si="6"/>
        <v>7.5941063466939083</v>
      </c>
    </row>
    <row r="80" spans="1:9" x14ac:dyDescent="0.25">
      <c r="A80">
        <v>1000</v>
      </c>
      <c r="B80">
        <v>1986.849121</v>
      </c>
      <c r="C80">
        <v>-9.9762210000000007</v>
      </c>
      <c r="D80" t="s">
        <v>268</v>
      </c>
      <c r="E80">
        <f t="shared" si="5"/>
        <v>502.84912099999997</v>
      </c>
      <c r="F80">
        <f t="shared" si="7"/>
        <v>-5.554409000000021</v>
      </c>
      <c r="G80">
        <v>780</v>
      </c>
      <c r="H80" t="e">
        <f t="shared" si="8"/>
        <v>#NUM!</v>
      </c>
      <c r="I80">
        <f t="shared" si="6"/>
        <v>7.5943053066038333</v>
      </c>
    </row>
    <row r="81" spans="1:9" x14ac:dyDescent="0.25">
      <c r="A81">
        <v>1000</v>
      </c>
      <c r="B81">
        <v>1986.9848629999999</v>
      </c>
      <c r="C81">
        <v>-9.9637360000000008</v>
      </c>
      <c r="D81" t="s">
        <v>269</v>
      </c>
      <c r="E81">
        <f t="shared" si="5"/>
        <v>502.9848629999999</v>
      </c>
      <c r="F81">
        <f t="shared" si="7"/>
        <v>-5.4186670000000845</v>
      </c>
      <c r="G81">
        <v>790</v>
      </c>
      <c r="H81" t="e">
        <f t="shared" si="8"/>
        <v>#NUM!</v>
      </c>
      <c r="I81">
        <f t="shared" si="6"/>
        <v>7.5943736245056881</v>
      </c>
    </row>
    <row r="82" spans="1:9" x14ac:dyDescent="0.25">
      <c r="A82">
        <v>1000</v>
      </c>
      <c r="B82">
        <v>1986.598755</v>
      </c>
      <c r="C82">
        <v>-9.9461689999999994</v>
      </c>
      <c r="D82" t="s">
        <v>270</v>
      </c>
      <c r="E82">
        <f t="shared" si="5"/>
        <v>502.59875499999998</v>
      </c>
      <c r="F82">
        <f t="shared" si="7"/>
        <v>-5.8047750000000065</v>
      </c>
      <c r="G82">
        <v>800</v>
      </c>
      <c r="H82" t="e">
        <f t="shared" si="8"/>
        <v>#NUM!</v>
      </c>
      <c r="I82">
        <f t="shared" si="6"/>
        <v>7.5941792870821763</v>
      </c>
    </row>
    <row r="83" spans="1:9" x14ac:dyDescent="0.25">
      <c r="A83">
        <v>1000</v>
      </c>
      <c r="B83">
        <v>1985.697876</v>
      </c>
      <c r="C83">
        <v>-9.8857359999999996</v>
      </c>
      <c r="D83" t="s">
        <v>271</v>
      </c>
      <c r="E83">
        <f t="shared" si="5"/>
        <v>501.69787599999995</v>
      </c>
      <c r="F83">
        <f t="shared" si="7"/>
        <v>-6.7056540000000382</v>
      </c>
      <c r="G83">
        <v>810</v>
      </c>
      <c r="H83" t="e">
        <f t="shared" si="8"/>
        <v>#NUM!</v>
      </c>
      <c r="I83">
        <f t="shared" si="6"/>
        <v>7.5937257061444319</v>
      </c>
    </row>
    <row r="84" spans="1:9" x14ac:dyDescent="0.25">
      <c r="A84">
        <v>1000</v>
      </c>
      <c r="B84">
        <v>1985.2677000000001</v>
      </c>
      <c r="C84">
        <v>-9.8631820000000001</v>
      </c>
      <c r="D84" t="s">
        <v>272</v>
      </c>
      <c r="E84">
        <f t="shared" si="5"/>
        <v>501.2677000000001</v>
      </c>
      <c r="F84">
        <f t="shared" si="7"/>
        <v>-7.1358299999998849</v>
      </c>
      <c r="G84">
        <v>820</v>
      </c>
      <c r="H84" t="e">
        <f t="shared" si="8"/>
        <v>#NUM!</v>
      </c>
      <c r="I84">
        <f t="shared" si="6"/>
        <v>7.5935090454892586</v>
      </c>
    </row>
    <row r="85" spans="1:9" x14ac:dyDescent="0.25">
      <c r="A85">
        <v>1000</v>
      </c>
      <c r="B85">
        <v>1986.1397710000001</v>
      </c>
      <c r="C85">
        <v>-9.8607910000000007</v>
      </c>
      <c r="D85" t="s">
        <v>273</v>
      </c>
      <c r="E85">
        <f t="shared" si="5"/>
        <v>502.13977100000011</v>
      </c>
      <c r="F85">
        <f t="shared" si="7"/>
        <v>-6.2637589999998795</v>
      </c>
      <c r="G85">
        <v>830</v>
      </c>
      <c r="H85" t="e">
        <f t="shared" si="8"/>
        <v>#NUM!</v>
      </c>
      <c r="I85">
        <f t="shared" si="6"/>
        <v>7.5939482202757214</v>
      </c>
    </row>
    <row r="86" spans="1:9" x14ac:dyDescent="0.25">
      <c r="A86">
        <v>1000</v>
      </c>
      <c r="B86">
        <v>1985.497314</v>
      </c>
      <c r="C86">
        <v>-9.8217920000000003</v>
      </c>
      <c r="D86" t="s">
        <v>274</v>
      </c>
      <c r="E86">
        <f t="shared" si="5"/>
        <v>501.49731399999996</v>
      </c>
      <c r="F86">
        <f t="shared" si="7"/>
        <v>-6.906216000000029</v>
      </c>
      <c r="G86">
        <v>840</v>
      </c>
      <c r="H86" t="e">
        <f t="shared" si="8"/>
        <v>#NUM!</v>
      </c>
      <c r="I86">
        <f t="shared" si="6"/>
        <v>7.5936246977625341</v>
      </c>
    </row>
    <row r="87" spans="1:9" x14ac:dyDescent="0.25">
      <c r="A87">
        <v>1000</v>
      </c>
      <c r="B87">
        <v>1986.1948239999999</v>
      </c>
      <c r="C87">
        <v>-9.8344810000000003</v>
      </c>
      <c r="D87" t="s">
        <v>275</v>
      </c>
      <c r="E87">
        <f t="shared" si="5"/>
        <v>502.19482399999993</v>
      </c>
      <c r="F87">
        <f t="shared" si="7"/>
        <v>-6.2087060000000633</v>
      </c>
      <c r="G87">
        <v>850</v>
      </c>
      <c r="H87" t="e">
        <f t="shared" si="8"/>
        <v>#NUM!</v>
      </c>
      <c r="I87">
        <f t="shared" si="6"/>
        <v>7.5939759384845917</v>
      </c>
    </row>
    <row r="88" spans="1:9" x14ac:dyDescent="0.25">
      <c r="A88">
        <v>1000</v>
      </c>
      <c r="B88">
        <v>1986.197144</v>
      </c>
      <c r="C88">
        <v>-9.8182950000000009</v>
      </c>
      <c r="D88" t="s">
        <v>276</v>
      </c>
      <c r="E88">
        <f t="shared" si="5"/>
        <v>502.19714399999998</v>
      </c>
      <c r="F88">
        <f t="shared" si="7"/>
        <v>-6.2063860000000091</v>
      </c>
      <c r="G88">
        <v>860</v>
      </c>
      <c r="H88" t="e">
        <f t="shared" si="8"/>
        <v>#NUM!</v>
      </c>
      <c r="I88">
        <f t="shared" si="6"/>
        <v>7.5939771065465651</v>
      </c>
    </row>
    <row r="89" spans="1:9" x14ac:dyDescent="0.25">
      <c r="A89">
        <v>1000</v>
      </c>
      <c r="B89">
        <v>1985.850952</v>
      </c>
      <c r="C89">
        <v>-9.795795</v>
      </c>
      <c r="D89" t="s">
        <v>277</v>
      </c>
      <c r="E89">
        <f t="shared" si="5"/>
        <v>501.85095200000001</v>
      </c>
      <c r="F89">
        <f t="shared" si="7"/>
        <v>-6.5525779999999827</v>
      </c>
      <c r="G89">
        <v>870</v>
      </c>
      <c r="H89" t="e">
        <f t="shared" si="8"/>
        <v>#NUM!</v>
      </c>
      <c r="I89">
        <f t="shared" si="6"/>
        <v>7.5938027924433573</v>
      </c>
    </row>
    <row r="90" spans="1:9" x14ac:dyDescent="0.25">
      <c r="A90">
        <v>1000</v>
      </c>
      <c r="B90">
        <v>1986.2459719999999</v>
      </c>
      <c r="C90">
        <v>-9.7820250000000009</v>
      </c>
      <c r="D90" t="s">
        <v>278</v>
      </c>
      <c r="E90">
        <f t="shared" si="5"/>
        <v>502.24597199999994</v>
      </c>
      <c r="F90">
        <f t="shared" si="7"/>
        <v>-6.1575580000000514</v>
      </c>
      <c r="G90">
        <v>880</v>
      </c>
      <c r="H90" t="e">
        <f t="shared" si="8"/>
        <v>#NUM!</v>
      </c>
      <c r="I90">
        <f t="shared" si="6"/>
        <v>7.5940016899067677</v>
      </c>
    </row>
    <row r="91" spans="1:9" x14ac:dyDescent="0.25">
      <c r="A91">
        <v>1000</v>
      </c>
      <c r="B91">
        <v>1985.2116699999999</v>
      </c>
      <c r="C91">
        <v>-9.754391</v>
      </c>
      <c r="D91" t="s">
        <v>279</v>
      </c>
      <c r="E91">
        <f t="shared" si="5"/>
        <v>501.21166999999991</v>
      </c>
      <c r="F91">
        <f t="shared" si="7"/>
        <v>-7.1918600000000765</v>
      </c>
      <c r="G91">
        <v>890</v>
      </c>
      <c r="H91" t="e">
        <f t="shared" si="8"/>
        <v>#NUM!</v>
      </c>
      <c r="I91">
        <f t="shared" si="6"/>
        <v>7.5934808221969137</v>
      </c>
    </row>
    <row r="92" spans="1:9" x14ac:dyDescent="0.25">
      <c r="A92">
        <v>1000</v>
      </c>
      <c r="B92">
        <v>1985.7070309999999</v>
      </c>
      <c r="C92">
        <v>-9.7103359999999999</v>
      </c>
      <c r="D92" t="s">
        <v>280</v>
      </c>
      <c r="E92">
        <f t="shared" si="5"/>
        <v>501.70703099999992</v>
      </c>
      <c r="F92">
        <f t="shared" si="7"/>
        <v>-6.6964990000000739</v>
      </c>
      <c r="G92">
        <v>900</v>
      </c>
      <c r="H92" t="e">
        <f t="shared" si="8"/>
        <v>#NUM!</v>
      </c>
      <c r="I92">
        <f t="shared" si="6"/>
        <v>7.5937303166035584</v>
      </c>
    </row>
    <row r="93" spans="1:9" x14ac:dyDescent="0.25">
      <c r="A93">
        <v>1000</v>
      </c>
      <c r="B93">
        <v>1985.3154300000001</v>
      </c>
      <c r="C93">
        <v>-9.7193240000000003</v>
      </c>
      <c r="D93" t="s">
        <v>281</v>
      </c>
      <c r="E93">
        <f t="shared" si="5"/>
        <v>501.31543000000011</v>
      </c>
      <c r="F93">
        <f t="shared" si="7"/>
        <v>-7.0880999999998835</v>
      </c>
      <c r="G93">
        <v>910</v>
      </c>
      <c r="H93" t="e">
        <f t="shared" si="8"/>
        <v>#NUM!</v>
      </c>
      <c r="I93">
        <f t="shared" si="6"/>
        <v>7.5935330872979501</v>
      </c>
    </row>
    <row r="94" spans="1:9" x14ac:dyDescent="0.25">
      <c r="A94">
        <v>1000</v>
      </c>
      <c r="B94">
        <v>1985.802612</v>
      </c>
      <c r="C94">
        <v>-9.6904339999999998</v>
      </c>
      <c r="D94" t="s">
        <v>282</v>
      </c>
      <c r="E94">
        <f t="shared" si="5"/>
        <v>501.80261199999995</v>
      </c>
      <c r="F94">
        <f t="shared" si="7"/>
        <v>-6.6009180000000356</v>
      </c>
      <c r="G94">
        <v>920</v>
      </c>
      <c r="H94" t="e">
        <f t="shared" si="8"/>
        <v>#NUM!</v>
      </c>
      <c r="I94">
        <f t="shared" si="6"/>
        <v>7.5937784499375347</v>
      </c>
    </row>
    <row r="95" spans="1:9" x14ac:dyDescent="0.25">
      <c r="A95">
        <v>1000</v>
      </c>
      <c r="B95">
        <v>1985.8039550000001</v>
      </c>
      <c r="C95">
        <v>-9.6766769999999998</v>
      </c>
      <c r="D95" t="s">
        <v>283</v>
      </c>
      <c r="E95">
        <f t="shared" si="5"/>
        <v>501.80395500000009</v>
      </c>
      <c r="F95">
        <f t="shared" si="7"/>
        <v>-6.599574999999902</v>
      </c>
      <c r="G95">
        <v>930</v>
      </c>
      <c r="H95" t="e">
        <f t="shared" si="8"/>
        <v>#NUM!</v>
      </c>
      <c r="I95">
        <f t="shared" si="6"/>
        <v>7.5937791262381591</v>
      </c>
    </row>
    <row r="96" spans="1:9" x14ac:dyDescent="0.25">
      <c r="A96">
        <v>1000</v>
      </c>
      <c r="B96">
        <v>1985.805908</v>
      </c>
      <c r="C96">
        <v>-9.6743000000000006</v>
      </c>
      <c r="D96" t="s">
        <v>284</v>
      </c>
      <c r="E96">
        <f t="shared" si="5"/>
        <v>501.80590800000004</v>
      </c>
      <c r="F96">
        <f t="shared" si="7"/>
        <v>-6.5976219999999444</v>
      </c>
      <c r="G96">
        <v>940</v>
      </c>
      <c r="H96" t="e">
        <f t="shared" si="8"/>
        <v>#NUM!</v>
      </c>
      <c r="I96">
        <f t="shared" si="6"/>
        <v>7.5937801097184439</v>
      </c>
    </row>
    <row r="97" spans="1:9" x14ac:dyDescent="0.25">
      <c r="A97">
        <v>1000</v>
      </c>
      <c r="B97">
        <v>1985.2939449999999</v>
      </c>
      <c r="C97">
        <v>-9.6289619999999996</v>
      </c>
      <c r="D97" t="s">
        <v>285</v>
      </c>
      <c r="E97">
        <f t="shared" si="5"/>
        <v>501.29394499999989</v>
      </c>
      <c r="F97">
        <f t="shared" si="7"/>
        <v>-7.1095850000000951</v>
      </c>
      <c r="G97">
        <v>950</v>
      </c>
      <c r="H97" t="e">
        <f t="shared" si="8"/>
        <v>#NUM!</v>
      </c>
      <c r="I97">
        <f t="shared" si="6"/>
        <v>7.5935222652814929</v>
      </c>
    </row>
    <row r="98" spans="1:9" x14ac:dyDescent="0.25">
      <c r="A98">
        <v>1000</v>
      </c>
      <c r="B98">
        <v>1985.461548</v>
      </c>
      <c r="C98">
        <v>-9.6380859999999995</v>
      </c>
      <c r="D98" t="s">
        <v>286</v>
      </c>
      <c r="E98">
        <f t="shared" si="5"/>
        <v>501.46154799999999</v>
      </c>
      <c r="F98">
        <f t="shared" si="7"/>
        <v>-6.9419819999999959</v>
      </c>
      <c r="G98">
        <v>960</v>
      </c>
      <c r="H98" t="e">
        <f t="shared" si="8"/>
        <v>#NUM!</v>
      </c>
      <c r="I98">
        <f t="shared" ref="I98:I129" si="9">LN(B98)</f>
        <v>7.5936066839773284</v>
      </c>
    </row>
    <row r="99" spans="1:9" x14ac:dyDescent="0.25">
      <c r="A99">
        <v>1000</v>
      </c>
      <c r="B99">
        <v>1985.469116</v>
      </c>
      <c r="C99">
        <v>-9.6001510000000003</v>
      </c>
      <c r="D99" t="s">
        <v>287</v>
      </c>
      <c r="E99">
        <f t="shared" si="5"/>
        <v>501.46911599999999</v>
      </c>
      <c r="F99">
        <f t="shared" si="7"/>
        <v>-6.9344140000000039</v>
      </c>
      <c r="G99">
        <v>970</v>
      </c>
      <c r="H99" t="e">
        <f t="shared" si="8"/>
        <v>#NUM!</v>
      </c>
      <c r="I99">
        <f t="shared" si="9"/>
        <v>7.5936104956782318</v>
      </c>
    </row>
    <row r="100" spans="1:9" x14ac:dyDescent="0.25">
      <c r="A100">
        <v>1000</v>
      </c>
      <c r="B100">
        <v>1985.5277100000001</v>
      </c>
      <c r="C100">
        <v>-9.5875699999999995</v>
      </c>
      <c r="D100" t="s">
        <v>288</v>
      </c>
      <c r="E100">
        <f t="shared" si="5"/>
        <v>501.52771000000007</v>
      </c>
      <c r="F100">
        <f t="shared" si="7"/>
        <v>-6.8758199999999192</v>
      </c>
      <c r="G100">
        <v>980</v>
      </c>
      <c r="H100" t="e">
        <f t="shared" si="8"/>
        <v>#NUM!</v>
      </c>
      <c r="I100">
        <f t="shared" si="9"/>
        <v>7.5936400066562415</v>
      </c>
    </row>
    <row r="101" spans="1:9" x14ac:dyDescent="0.25">
      <c r="A101">
        <v>1000</v>
      </c>
      <c r="B101">
        <v>1985.090942</v>
      </c>
      <c r="C101">
        <v>-9.5916139999999999</v>
      </c>
      <c r="D101" t="s">
        <v>289</v>
      </c>
      <c r="E101">
        <f t="shared" si="5"/>
        <v>501.09094200000004</v>
      </c>
      <c r="F101">
        <f t="shared" si="7"/>
        <v>-7.3125879999999484</v>
      </c>
      <c r="G101">
        <v>990</v>
      </c>
      <c r="H101" t="e">
        <f t="shared" si="8"/>
        <v>#NUM!</v>
      </c>
      <c r="I101">
        <f t="shared" si="9"/>
        <v>7.5934200066814057</v>
      </c>
    </row>
    <row r="102" spans="1:9" x14ac:dyDescent="0.25">
      <c r="A102">
        <v>1000</v>
      </c>
      <c r="B102">
        <v>1986.2298579999999</v>
      </c>
      <c r="C102">
        <v>-9.5841829999999995</v>
      </c>
      <c r="D102" t="s">
        <v>290</v>
      </c>
      <c r="E102">
        <f t="shared" si="5"/>
        <v>502.22985799999992</v>
      </c>
      <c r="F102">
        <f t="shared" si="7"/>
        <v>-6.1736720000000673</v>
      </c>
      <c r="G102">
        <v>1000</v>
      </c>
      <c r="H102" t="e">
        <f t="shared" si="8"/>
        <v>#NUM!</v>
      </c>
      <c r="I102">
        <f t="shared" si="9"/>
        <v>7.5939935770820757</v>
      </c>
    </row>
    <row r="103" spans="1:9" x14ac:dyDescent="0.25">
      <c r="A103">
        <v>1000</v>
      </c>
      <c r="B103">
        <v>1985.360962</v>
      </c>
      <c r="C103">
        <v>-9.5704259999999994</v>
      </c>
      <c r="D103" t="s">
        <v>291</v>
      </c>
      <c r="E103">
        <f t="shared" si="5"/>
        <v>501.36096199999997</v>
      </c>
      <c r="F103">
        <f t="shared" si="7"/>
        <v>-7.042568000000017</v>
      </c>
      <c r="G103">
        <v>1010</v>
      </c>
      <c r="H103" t="e">
        <f t="shared" si="8"/>
        <v>#NUM!</v>
      </c>
      <c r="I103">
        <f t="shared" si="9"/>
        <v>7.5935560214257949</v>
      </c>
    </row>
    <row r="104" spans="1:9" x14ac:dyDescent="0.25">
      <c r="A104">
        <v>1000</v>
      </c>
      <c r="B104">
        <v>1986.5006100000001</v>
      </c>
      <c r="C104">
        <v>-9.5378740000000004</v>
      </c>
      <c r="D104" t="s">
        <v>292</v>
      </c>
      <c r="E104">
        <f t="shared" si="5"/>
        <v>502.50061000000005</v>
      </c>
      <c r="F104">
        <f t="shared" si="7"/>
        <v>-5.9029199999999378</v>
      </c>
      <c r="G104">
        <v>1020</v>
      </c>
      <c r="H104" t="e">
        <f t="shared" si="8"/>
        <v>#NUM!</v>
      </c>
      <c r="I104">
        <f t="shared" si="9"/>
        <v>7.5941298823273478</v>
      </c>
    </row>
    <row r="105" spans="1:9" x14ac:dyDescent="0.25">
      <c r="A105">
        <v>1000</v>
      </c>
      <c r="B105">
        <v>1986.5467530000001</v>
      </c>
      <c r="C105">
        <v>-9.5177379999999996</v>
      </c>
      <c r="D105" t="s">
        <v>293</v>
      </c>
      <c r="E105">
        <f t="shared" si="5"/>
        <v>502.54675300000008</v>
      </c>
      <c r="F105">
        <f t="shared" si="7"/>
        <v>-5.8567769999999086</v>
      </c>
      <c r="G105">
        <v>1030</v>
      </c>
      <c r="H105" t="e">
        <f t="shared" si="8"/>
        <v>#NUM!</v>
      </c>
      <c r="I105">
        <f t="shared" si="9"/>
        <v>7.5941531103414066</v>
      </c>
    </row>
    <row r="106" spans="1:9" x14ac:dyDescent="0.25">
      <c r="A106">
        <v>1000</v>
      </c>
      <c r="B106">
        <v>1986.421509</v>
      </c>
      <c r="C106">
        <v>-9.5103349999999995</v>
      </c>
      <c r="D106" t="s">
        <v>294</v>
      </c>
      <c r="E106">
        <f t="shared" si="5"/>
        <v>502.42150900000001</v>
      </c>
      <c r="F106">
        <f t="shared" si="7"/>
        <v>-5.9820209999999747</v>
      </c>
      <c r="G106">
        <v>1040</v>
      </c>
      <c r="H106" t="e">
        <f t="shared" si="8"/>
        <v>#NUM!</v>
      </c>
      <c r="I106">
        <f t="shared" si="9"/>
        <v>7.5940900622666261</v>
      </c>
    </row>
    <row r="107" spans="1:9" x14ac:dyDescent="0.25">
      <c r="A107">
        <v>1000</v>
      </c>
      <c r="B107">
        <v>1986.647095</v>
      </c>
      <c r="C107">
        <v>-9.4955540000000003</v>
      </c>
      <c r="D107" t="s">
        <v>295</v>
      </c>
      <c r="E107">
        <f t="shared" si="5"/>
        <v>502.64709500000004</v>
      </c>
      <c r="F107">
        <f t="shared" si="7"/>
        <v>-5.7564349999999536</v>
      </c>
      <c r="G107">
        <v>1050</v>
      </c>
      <c r="H107" t="e">
        <f t="shared" si="8"/>
        <v>#NUM!</v>
      </c>
      <c r="I107">
        <f t="shared" si="9"/>
        <v>7.5942036198326921</v>
      </c>
    </row>
    <row r="108" spans="1:9" x14ac:dyDescent="0.25">
      <c r="A108">
        <v>1000</v>
      </c>
      <c r="B108">
        <v>1986.1347659999999</v>
      </c>
      <c r="C108">
        <v>-9.4639170000000004</v>
      </c>
      <c r="D108" t="s">
        <v>296</v>
      </c>
      <c r="E108">
        <f t="shared" si="5"/>
        <v>502.1347659999999</v>
      </c>
      <c r="F108">
        <f t="shared" si="7"/>
        <v>-6.2687640000000897</v>
      </c>
      <c r="G108">
        <v>1060</v>
      </c>
      <c r="H108" t="e">
        <f t="shared" si="8"/>
        <v>#NUM!</v>
      </c>
      <c r="I108">
        <f t="shared" si="9"/>
        <v>7.5939457003089101</v>
      </c>
    </row>
    <row r="109" spans="1:9" x14ac:dyDescent="0.25">
      <c r="A109">
        <v>1000</v>
      </c>
      <c r="B109">
        <v>1987.0908199999999</v>
      </c>
      <c r="C109">
        <v>-9.4730550000000004</v>
      </c>
      <c r="D109" t="s">
        <v>297</v>
      </c>
      <c r="E109">
        <f t="shared" si="5"/>
        <v>503.09081999999989</v>
      </c>
      <c r="F109">
        <f t="shared" si="7"/>
        <v>-5.3127100000000951</v>
      </c>
      <c r="G109">
        <v>1070</v>
      </c>
      <c r="H109" t="e">
        <f t="shared" si="8"/>
        <v>#NUM!</v>
      </c>
      <c r="I109">
        <f t="shared" si="9"/>
        <v>7.5944269486034042</v>
      </c>
    </row>
    <row r="110" spans="1:9" x14ac:dyDescent="0.25">
      <c r="A110">
        <v>1000</v>
      </c>
      <c r="B110">
        <v>1986.4990230000001</v>
      </c>
      <c r="C110">
        <v>-9.4275929999999999</v>
      </c>
      <c r="D110" t="s">
        <v>298</v>
      </c>
      <c r="E110">
        <f t="shared" si="5"/>
        <v>502.49902300000008</v>
      </c>
      <c r="F110">
        <f t="shared" si="7"/>
        <v>-5.90450699999991</v>
      </c>
      <c r="G110">
        <v>1080</v>
      </c>
      <c r="H110" t="e">
        <f t="shared" si="8"/>
        <v>#NUM!</v>
      </c>
      <c r="I110">
        <f t="shared" si="9"/>
        <v>7.5941290834347495</v>
      </c>
    </row>
    <row r="111" spans="1:9" x14ac:dyDescent="0.25">
      <c r="A111">
        <v>1000</v>
      </c>
      <c r="B111">
        <v>1986.2795410000001</v>
      </c>
      <c r="C111">
        <v>-9.4239599999999992</v>
      </c>
      <c r="D111" t="s">
        <v>299</v>
      </c>
      <c r="E111">
        <f t="shared" si="5"/>
        <v>502.27954100000011</v>
      </c>
      <c r="F111">
        <f t="shared" si="7"/>
        <v>-6.1239889999998809</v>
      </c>
      <c r="G111">
        <v>1090</v>
      </c>
      <c r="H111" t="e">
        <f t="shared" si="8"/>
        <v>#NUM!</v>
      </c>
      <c r="I111">
        <f t="shared" si="9"/>
        <v>7.5940185904904851</v>
      </c>
    </row>
    <row r="112" spans="1:9" x14ac:dyDescent="0.25">
      <c r="A112">
        <v>1000</v>
      </c>
      <c r="B112">
        <v>1986.8858640000001</v>
      </c>
      <c r="C112">
        <v>-9.4267330000000005</v>
      </c>
      <c r="D112" t="s">
        <v>300</v>
      </c>
      <c r="E112">
        <f t="shared" si="5"/>
        <v>502.88586400000008</v>
      </c>
      <c r="F112">
        <f t="shared" si="7"/>
        <v>-5.517665999999906</v>
      </c>
      <c r="G112">
        <v>1100</v>
      </c>
      <c r="H112" t="e">
        <f t="shared" si="8"/>
        <v>#NUM!</v>
      </c>
      <c r="I112">
        <f t="shared" si="9"/>
        <v>7.5943237995331003</v>
      </c>
    </row>
    <row r="113" spans="1:9" x14ac:dyDescent="0.25">
      <c r="A113">
        <v>1000</v>
      </c>
      <c r="B113">
        <v>1987.331543</v>
      </c>
      <c r="C113">
        <v>-9.4156130000000005</v>
      </c>
      <c r="D113" t="s">
        <v>301</v>
      </c>
      <c r="E113">
        <f t="shared" si="5"/>
        <v>503.33154300000001</v>
      </c>
      <c r="F113">
        <f t="shared" si="7"/>
        <v>-5.0719869999999787</v>
      </c>
      <c r="G113">
        <v>1110</v>
      </c>
      <c r="H113" t="e">
        <f t="shared" si="8"/>
        <v>#NUM!</v>
      </c>
      <c r="I113">
        <f t="shared" si="9"/>
        <v>7.594548084697311</v>
      </c>
    </row>
    <row r="114" spans="1:9" x14ac:dyDescent="0.25">
      <c r="A114">
        <v>1000</v>
      </c>
      <c r="B114">
        <v>1987.460327</v>
      </c>
      <c r="C114">
        <v>-9.4069529999999997</v>
      </c>
      <c r="D114" t="s">
        <v>302</v>
      </c>
      <c r="E114">
        <f t="shared" si="5"/>
        <v>503.46032700000001</v>
      </c>
      <c r="F114">
        <f t="shared" si="7"/>
        <v>-4.9432029999999827</v>
      </c>
      <c r="G114">
        <v>1120</v>
      </c>
      <c r="H114" t="e">
        <f t="shared" si="8"/>
        <v>#NUM!</v>
      </c>
      <c r="I114">
        <f t="shared" si="9"/>
        <v>7.5946128850713972</v>
      </c>
    </row>
    <row r="115" spans="1:9" x14ac:dyDescent="0.25">
      <c r="A115">
        <v>1000</v>
      </c>
      <c r="B115">
        <v>1987.3370359999999</v>
      </c>
      <c r="C115">
        <v>-9.3858610000000002</v>
      </c>
      <c r="D115" t="s">
        <v>303</v>
      </c>
      <c r="E115">
        <f t="shared" si="5"/>
        <v>503.3370359999999</v>
      </c>
      <c r="F115">
        <f t="shared" si="7"/>
        <v>-5.0664940000000911</v>
      </c>
      <c r="G115">
        <v>1130</v>
      </c>
      <c r="H115" t="e">
        <f t="shared" si="8"/>
        <v>#NUM!</v>
      </c>
      <c r="I115">
        <f t="shared" si="9"/>
        <v>7.5945508487013482</v>
      </c>
    </row>
    <row r="116" spans="1:9" x14ac:dyDescent="0.25">
      <c r="A116">
        <v>1000</v>
      </c>
      <c r="B116">
        <v>1988.0352780000001</v>
      </c>
      <c r="C116">
        <v>-9.3872</v>
      </c>
      <c r="D116" t="s">
        <v>304</v>
      </c>
      <c r="E116">
        <f t="shared" si="5"/>
        <v>504.03527800000006</v>
      </c>
      <c r="F116">
        <f t="shared" si="7"/>
        <v>-4.3682519999999272</v>
      </c>
      <c r="G116">
        <v>1140</v>
      </c>
      <c r="H116" t="e">
        <f t="shared" si="8"/>
        <v>#NUM!</v>
      </c>
      <c r="I116">
        <f t="shared" si="9"/>
        <v>7.5949021325319075</v>
      </c>
    </row>
    <row r="117" spans="1:9" x14ac:dyDescent="0.25">
      <c r="A117">
        <v>1000</v>
      </c>
      <c r="B117">
        <v>1988.083374</v>
      </c>
      <c r="C117">
        <v>-9.3784569999999992</v>
      </c>
      <c r="D117" t="s">
        <v>305</v>
      </c>
      <c r="E117">
        <f t="shared" si="5"/>
        <v>504.08337400000005</v>
      </c>
      <c r="F117">
        <f t="shared" si="7"/>
        <v>-4.3201559999999404</v>
      </c>
      <c r="G117">
        <v>1150</v>
      </c>
      <c r="H117" t="e">
        <f t="shared" si="8"/>
        <v>#NUM!</v>
      </c>
      <c r="I117">
        <f t="shared" si="9"/>
        <v>7.5949263249689105</v>
      </c>
    </row>
    <row r="118" spans="1:9" x14ac:dyDescent="0.25">
      <c r="A118">
        <v>1000</v>
      </c>
      <c r="B118">
        <v>1987.2601320000001</v>
      </c>
      <c r="C118">
        <v>-9.3446339999999992</v>
      </c>
      <c r="D118" t="s">
        <v>306</v>
      </c>
      <c r="E118">
        <f t="shared" si="5"/>
        <v>503.26013200000011</v>
      </c>
      <c r="F118">
        <f t="shared" si="7"/>
        <v>-5.1433979999998769</v>
      </c>
      <c r="G118">
        <v>1160</v>
      </c>
      <c r="H118" t="e">
        <f t="shared" si="8"/>
        <v>#NUM!</v>
      </c>
      <c r="I118">
        <f t="shared" si="9"/>
        <v>7.5945121509431814</v>
      </c>
    </row>
    <row r="119" spans="1:9" x14ac:dyDescent="0.25">
      <c r="A119">
        <v>1000</v>
      </c>
      <c r="B119">
        <v>1987.7977289999999</v>
      </c>
      <c r="C119">
        <v>-9.3457950000000007</v>
      </c>
      <c r="D119" t="s">
        <v>307</v>
      </c>
      <c r="E119">
        <f t="shared" si="5"/>
        <v>503.79772899999989</v>
      </c>
      <c r="F119">
        <f t="shared" si="7"/>
        <v>-4.6058010000000991</v>
      </c>
      <c r="G119">
        <v>1170</v>
      </c>
      <c r="H119" t="e">
        <f t="shared" si="8"/>
        <v>#NUM!</v>
      </c>
      <c r="I119">
        <f t="shared" si="9"/>
        <v>7.594782636064191</v>
      </c>
    </row>
    <row r="120" spans="1:9" x14ac:dyDescent="0.25">
      <c r="A120">
        <v>1000</v>
      </c>
      <c r="B120">
        <v>1987.4068600000001</v>
      </c>
      <c r="C120">
        <v>-9.3298260000000006</v>
      </c>
      <c r="D120" t="s">
        <v>308</v>
      </c>
      <c r="E120">
        <f t="shared" si="5"/>
        <v>503.40686000000005</v>
      </c>
      <c r="F120">
        <f t="shared" si="7"/>
        <v>-4.9966699999999378</v>
      </c>
      <c r="G120">
        <v>1180</v>
      </c>
      <c r="H120" t="e">
        <f t="shared" si="8"/>
        <v>#NUM!</v>
      </c>
      <c r="I120">
        <f t="shared" si="9"/>
        <v>7.5945859825373052</v>
      </c>
    </row>
    <row r="121" spans="1:9" x14ac:dyDescent="0.25">
      <c r="A121">
        <v>1000</v>
      </c>
      <c r="B121">
        <v>1987.7667240000001</v>
      </c>
      <c r="C121">
        <v>-9.2981470000000002</v>
      </c>
      <c r="D121" t="s">
        <v>309</v>
      </c>
      <c r="E121">
        <f t="shared" si="5"/>
        <v>503.76672400000007</v>
      </c>
      <c r="F121">
        <f t="shared" si="7"/>
        <v>-4.6368059999999218</v>
      </c>
      <c r="G121">
        <v>1190</v>
      </c>
      <c r="H121" t="e">
        <f t="shared" si="8"/>
        <v>#NUM!</v>
      </c>
      <c r="I121">
        <f t="shared" si="9"/>
        <v>7.5947670382790884</v>
      </c>
    </row>
    <row r="122" spans="1:9" x14ac:dyDescent="0.25">
      <c r="A122">
        <v>1000</v>
      </c>
      <c r="B122">
        <v>1988.229736</v>
      </c>
      <c r="C122">
        <v>-9.2997189999999996</v>
      </c>
      <c r="D122" t="s">
        <v>310</v>
      </c>
      <c r="E122">
        <f t="shared" si="5"/>
        <v>504.229736</v>
      </c>
      <c r="F122">
        <f t="shared" si="7"/>
        <v>-4.1737939999999867</v>
      </c>
      <c r="G122">
        <v>1200</v>
      </c>
      <c r="H122" t="e">
        <f t="shared" si="8"/>
        <v>#NUM!</v>
      </c>
      <c r="I122">
        <f t="shared" si="9"/>
        <v>7.5949999419080276</v>
      </c>
    </row>
    <row r="123" spans="1:9" x14ac:dyDescent="0.25">
      <c r="A123">
        <v>1000</v>
      </c>
      <c r="B123">
        <v>1988.4213870000001</v>
      </c>
      <c r="C123">
        <v>-9.2922060000000002</v>
      </c>
      <c r="D123" t="s">
        <v>311</v>
      </c>
      <c r="E123">
        <f t="shared" si="5"/>
        <v>504.4213870000001</v>
      </c>
      <c r="F123">
        <f t="shared" si="7"/>
        <v>-3.9821429999998941</v>
      </c>
      <c r="G123">
        <v>1210</v>
      </c>
      <c r="H123" t="e">
        <f t="shared" si="8"/>
        <v>#NUM!</v>
      </c>
      <c r="I123">
        <f t="shared" si="9"/>
        <v>7.5950963300468013</v>
      </c>
    </row>
    <row r="124" spans="1:9" x14ac:dyDescent="0.25">
      <c r="A124">
        <v>1000</v>
      </c>
      <c r="B124">
        <v>1989.281982</v>
      </c>
      <c r="C124">
        <v>-9.3051279999999998</v>
      </c>
      <c r="D124" t="s">
        <v>312</v>
      </c>
      <c r="E124">
        <f t="shared" si="5"/>
        <v>505.28198199999997</v>
      </c>
      <c r="F124">
        <f t="shared" si="7"/>
        <v>-3.1215480000000184</v>
      </c>
      <c r="G124">
        <v>1220</v>
      </c>
      <c r="H124" t="e">
        <f t="shared" si="8"/>
        <v>#NUM!</v>
      </c>
      <c r="I124">
        <f t="shared" si="9"/>
        <v>7.5955290395445152</v>
      </c>
    </row>
    <row r="125" spans="1:9" x14ac:dyDescent="0.25">
      <c r="A125">
        <v>1000</v>
      </c>
      <c r="B125">
        <v>1989.506226</v>
      </c>
      <c r="C125">
        <v>-9.2927379999999999</v>
      </c>
      <c r="D125" t="s">
        <v>313</v>
      </c>
      <c r="E125">
        <f t="shared" si="5"/>
        <v>505.50622599999997</v>
      </c>
      <c r="F125">
        <f t="shared" si="7"/>
        <v>-2.8973040000000196</v>
      </c>
      <c r="G125">
        <v>1230</v>
      </c>
      <c r="H125" t="e">
        <f t="shared" si="8"/>
        <v>#NUM!</v>
      </c>
      <c r="I125">
        <f t="shared" si="9"/>
        <v>7.5956417592915919</v>
      </c>
    </row>
    <row r="126" spans="1:9" x14ac:dyDescent="0.25">
      <c r="A126">
        <v>1000</v>
      </c>
      <c r="B126">
        <v>1989.159668</v>
      </c>
      <c r="C126">
        <v>-9.2703629999999997</v>
      </c>
      <c r="D126" t="s">
        <v>314</v>
      </c>
      <c r="E126">
        <f t="shared" si="5"/>
        <v>505.15966800000001</v>
      </c>
      <c r="F126">
        <f t="shared" si="7"/>
        <v>-3.2438619999999787</v>
      </c>
      <c r="G126">
        <v>1240</v>
      </c>
      <c r="H126" t="e">
        <f t="shared" si="8"/>
        <v>#NUM!</v>
      </c>
      <c r="I126">
        <f t="shared" si="9"/>
        <v>7.5954675511473999</v>
      </c>
    </row>
    <row r="127" spans="1:9" x14ac:dyDescent="0.25">
      <c r="A127">
        <v>1000</v>
      </c>
      <c r="B127">
        <v>1989.60437</v>
      </c>
      <c r="C127">
        <v>-9.2615800000000004</v>
      </c>
      <c r="D127" t="s">
        <v>315</v>
      </c>
      <c r="E127">
        <f t="shared" si="5"/>
        <v>505.60437000000002</v>
      </c>
      <c r="F127">
        <f t="shared" si="7"/>
        <v>-2.7991599999999721</v>
      </c>
      <c r="G127">
        <v>1250</v>
      </c>
      <c r="H127" t="e">
        <f t="shared" si="8"/>
        <v>#NUM!</v>
      </c>
      <c r="I127">
        <f t="shared" si="9"/>
        <v>7.5956910889081737</v>
      </c>
    </row>
    <row r="128" spans="1:9" x14ac:dyDescent="0.25">
      <c r="A128">
        <v>1000</v>
      </c>
      <c r="B128">
        <v>1989.6530760000001</v>
      </c>
      <c r="C128">
        <v>-9.2528500000000005</v>
      </c>
      <c r="D128" t="s">
        <v>316</v>
      </c>
      <c r="E128">
        <f t="shared" si="5"/>
        <v>505.65307600000006</v>
      </c>
      <c r="F128">
        <f t="shared" si="7"/>
        <v>-2.7504539999999338</v>
      </c>
      <c r="G128">
        <v>1260</v>
      </c>
      <c r="H128" t="e">
        <f t="shared" si="8"/>
        <v>#NUM!</v>
      </c>
      <c r="I128">
        <f t="shared" si="9"/>
        <v>7.5957155688523157</v>
      </c>
    </row>
    <row r="129" spans="1:9" x14ac:dyDescent="0.25">
      <c r="A129">
        <v>1000</v>
      </c>
      <c r="B129">
        <v>1990.002563</v>
      </c>
      <c r="C129">
        <v>-9.234121</v>
      </c>
      <c r="D129" t="s">
        <v>317</v>
      </c>
      <c r="E129">
        <f t="shared" si="5"/>
        <v>506.00256300000001</v>
      </c>
      <c r="F129">
        <f t="shared" si="7"/>
        <v>-2.4009669999999801</v>
      </c>
      <c r="G129">
        <v>1270</v>
      </c>
      <c r="H129" t="e">
        <f t="shared" si="8"/>
        <v>#NUM!</v>
      </c>
      <c r="I129">
        <f t="shared" si="9"/>
        <v>7.5958912056574075</v>
      </c>
    </row>
    <row r="130" spans="1:9" x14ac:dyDescent="0.25">
      <c r="A130">
        <v>1000</v>
      </c>
      <c r="B130">
        <v>1990.0076899999999</v>
      </c>
      <c r="C130">
        <v>-9.2432470000000002</v>
      </c>
      <c r="D130" t="s">
        <v>318</v>
      </c>
      <c r="E130">
        <f t="shared" ref="E130:E193" si="10">B130-$P$3</f>
        <v>506.00768999999991</v>
      </c>
      <c r="F130">
        <f t="shared" si="7"/>
        <v>-2.3958400000000779</v>
      </c>
      <c r="G130">
        <v>1280</v>
      </c>
      <c r="H130" t="e">
        <f t="shared" si="8"/>
        <v>#NUM!</v>
      </c>
      <c r="I130">
        <f t="shared" ref="I130:I161" si="11">LN(B130)</f>
        <v>7.5958937820326797</v>
      </c>
    </row>
    <row r="131" spans="1:9" x14ac:dyDescent="0.25">
      <c r="A131">
        <v>1000</v>
      </c>
      <c r="B131">
        <v>1989.8835449999999</v>
      </c>
      <c r="C131">
        <v>-9.2358980000000006</v>
      </c>
      <c r="D131" t="s">
        <v>319</v>
      </c>
      <c r="E131">
        <f t="shared" si="10"/>
        <v>505.88354499999991</v>
      </c>
      <c r="F131">
        <f t="shared" ref="F131:F194" si="12">E131-$R$3</f>
        <v>-2.5199850000000765</v>
      </c>
      <c r="G131">
        <v>1290</v>
      </c>
      <c r="H131" t="e">
        <f t="shared" ref="H131:H191" si="13">LN(F131)</f>
        <v>#NUM!</v>
      </c>
      <c r="I131">
        <f t="shared" si="11"/>
        <v>7.5958313959056678</v>
      </c>
    </row>
    <row r="132" spans="1:9" x14ac:dyDescent="0.25">
      <c r="A132">
        <v>1000</v>
      </c>
      <c r="B132">
        <v>1990.439453</v>
      </c>
      <c r="C132">
        <v>-9.2223199999999999</v>
      </c>
      <c r="D132" t="s">
        <v>320</v>
      </c>
      <c r="E132">
        <f t="shared" si="10"/>
        <v>506.43945299999996</v>
      </c>
      <c r="F132">
        <f t="shared" si="12"/>
        <v>-1.9640770000000316</v>
      </c>
      <c r="G132">
        <v>1300</v>
      </c>
      <c r="H132" t="e">
        <f t="shared" si="13"/>
        <v>#NUM!</v>
      </c>
      <c r="I132">
        <f t="shared" si="11"/>
        <v>7.5961107239923047</v>
      </c>
    </row>
    <row r="133" spans="1:9" x14ac:dyDescent="0.25">
      <c r="A133">
        <v>1000</v>
      </c>
      <c r="B133">
        <v>1990.964111</v>
      </c>
      <c r="C133">
        <v>-9.2136320000000005</v>
      </c>
      <c r="D133" t="s">
        <v>321</v>
      </c>
      <c r="E133">
        <f t="shared" si="10"/>
        <v>506.964111</v>
      </c>
      <c r="F133">
        <f t="shared" si="12"/>
        <v>-1.4394189999999867</v>
      </c>
      <c r="G133">
        <v>1310</v>
      </c>
      <c r="H133" t="e">
        <f t="shared" si="13"/>
        <v>#NUM!</v>
      </c>
      <c r="I133">
        <f t="shared" si="11"/>
        <v>7.5963742782864641</v>
      </c>
    </row>
    <row r="134" spans="1:9" x14ac:dyDescent="0.25">
      <c r="A134">
        <v>1000</v>
      </c>
      <c r="B134">
        <v>1991.4104</v>
      </c>
      <c r="C134">
        <v>-9.1911590000000007</v>
      </c>
      <c r="D134" t="s">
        <v>322</v>
      </c>
      <c r="E134">
        <f t="shared" si="10"/>
        <v>507.41039999999998</v>
      </c>
      <c r="F134">
        <f t="shared" si="12"/>
        <v>-0.99313000000000784</v>
      </c>
      <c r="G134">
        <v>1320</v>
      </c>
      <c r="H134" t="e">
        <f t="shared" si="13"/>
        <v>#NUM!</v>
      </c>
      <c r="I134">
        <f t="shared" si="11"/>
        <v>7.5965984103969104</v>
      </c>
    </row>
    <row r="135" spans="1:9" x14ac:dyDescent="0.25">
      <c r="A135">
        <v>1000</v>
      </c>
      <c r="B135">
        <v>1990.9345699999999</v>
      </c>
      <c r="C135">
        <v>-9.1911330000000007</v>
      </c>
      <c r="D135" t="s">
        <v>323</v>
      </c>
      <c r="E135">
        <f t="shared" si="10"/>
        <v>506.93456999999989</v>
      </c>
      <c r="F135">
        <f t="shared" si="12"/>
        <v>-1.4689600000000951</v>
      </c>
      <c r="G135">
        <v>1330</v>
      </c>
      <c r="H135" t="e">
        <f t="shared" si="13"/>
        <v>#NUM!</v>
      </c>
      <c r="I135">
        <f t="shared" si="11"/>
        <v>7.5963594406412263</v>
      </c>
    </row>
    <row r="136" spans="1:9" x14ac:dyDescent="0.25">
      <c r="A136">
        <v>1000</v>
      </c>
      <c r="B136">
        <v>1991.7294919999999</v>
      </c>
      <c r="C136">
        <v>-9.1773209999999992</v>
      </c>
      <c r="D136" t="s">
        <v>324</v>
      </c>
      <c r="E136">
        <f t="shared" si="10"/>
        <v>507.72949199999994</v>
      </c>
      <c r="F136">
        <f t="shared" si="12"/>
        <v>-0.67403800000005276</v>
      </c>
      <c r="G136">
        <v>1340</v>
      </c>
      <c r="H136" t="e">
        <f t="shared" si="13"/>
        <v>#NUM!</v>
      </c>
      <c r="I136">
        <f t="shared" si="11"/>
        <v>7.5967586317345157</v>
      </c>
    </row>
    <row r="137" spans="1:9" x14ac:dyDescent="0.25">
      <c r="A137">
        <v>1000</v>
      </c>
      <c r="B137">
        <v>1991.457764</v>
      </c>
      <c r="C137">
        <v>-9.1573360000000008</v>
      </c>
      <c r="D137" t="s">
        <v>325</v>
      </c>
      <c r="E137">
        <f t="shared" si="10"/>
        <v>507.457764</v>
      </c>
      <c r="F137">
        <f t="shared" si="12"/>
        <v>-0.94576599999999189</v>
      </c>
      <c r="G137">
        <v>1350</v>
      </c>
      <c r="H137" t="e">
        <f t="shared" si="13"/>
        <v>#NUM!</v>
      </c>
      <c r="I137">
        <f t="shared" si="11"/>
        <v>7.5966221942622312</v>
      </c>
    </row>
    <row r="138" spans="1:9" x14ac:dyDescent="0.25">
      <c r="A138">
        <v>1000</v>
      </c>
      <c r="B138">
        <v>1991.8139650000001</v>
      </c>
      <c r="C138">
        <v>-9.1728690000000004</v>
      </c>
      <c r="D138" t="s">
        <v>326</v>
      </c>
      <c r="E138">
        <f t="shared" si="10"/>
        <v>507.81396500000005</v>
      </c>
      <c r="F138">
        <f t="shared" si="12"/>
        <v>-0.58956499999993639</v>
      </c>
      <c r="G138">
        <v>1360</v>
      </c>
      <c r="H138" t="e">
        <f t="shared" si="13"/>
        <v>#NUM!</v>
      </c>
      <c r="I138">
        <f t="shared" si="11"/>
        <v>7.5968010427190693</v>
      </c>
    </row>
    <row r="139" spans="1:9" x14ac:dyDescent="0.25">
      <c r="A139">
        <v>1000</v>
      </c>
      <c r="B139">
        <v>1992.290894</v>
      </c>
      <c r="C139">
        <v>-9.1591939999999994</v>
      </c>
      <c r="D139" t="s">
        <v>327</v>
      </c>
      <c r="E139">
        <f t="shared" si="10"/>
        <v>508.29089399999998</v>
      </c>
      <c r="F139">
        <f t="shared" si="12"/>
        <v>-0.11263600000000906</v>
      </c>
      <c r="G139">
        <v>1370</v>
      </c>
      <c r="H139" t="e">
        <f t="shared" si="13"/>
        <v>#NUM!</v>
      </c>
      <c r="I139">
        <f t="shared" si="11"/>
        <v>7.5970404586075349</v>
      </c>
    </row>
    <row r="140" spans="1:9" x14ac:dyDescent="0.25">
      <c r="A140">
        <v>1000</v>
      </c>
      <c r="B140">
        <v>1993.1186520000001</v>
      </c>
      <c r="C140">
        <v>-9.1519139999999997</v>
      </c>
      <c r="D140" t="s">
        <v>328</v>
      </c>
      <c r="E140">
        <f t="shared" si="10"/>
        <v>509.11865200000011</v>
      </c>
      <c r="F140">
        <f t="shared" si="12"/>
        <v>0.71512200000012172</v>
      </c>
      <c r="G140">
        <v>1380</v>
      </c>
      <c r="H140">
        <f t="shared" si="13"/>
        <v>-0.3353021214728652</v>
      </c>
      <c r="I140">
        <f t="shared" si="11"/>
        <v>7.5974558528109908</v>
      </c>
    </row>
    <row r="141" spans="1:9" x14ac:dyDescent="0.25">
      <c r="A141">
        <v>1000</v>
      </c>
      <c r="B141">
        <v>1992.6457519999999</v>
      </c>
      <c r="C141">
        <v>-9.1496320000000004</v>
      </c>
      <c r="D141" t="s">
        <v>329</v>
      </c>
      <c r="E141">
        <f t="shared" si="10"/>
        <v>508.6457519999999</v>
      </c>
      <c r="F141">
        <f t="shared" si="12"/>
        <v>0.2422219999999129</v>
      </c>
      <c r="G141">
        <v>1390</v>
      </c>
      <c r="H141">
        <f t="shared" si="13"/>
        <v>-1.4179006179671949</v>
      </c>
      <c r="I141">
        <f t="shared" si="11"/>
        <v>7.5972185583026928</v>
      </c>
    </row>
    <row r="142" spans="1:9" x14ac:dyDescent="0.25">
      <c r="A142">
        <v>1000</v>
      </c>
      <c r="B142">
        <v>1992.738525</v>
      </c>
      <c r="C142">
        <v>-9.1230630000000001</v>
      </c>
      <c r="D142" t="s">
        <v>330</v>
      </c>
      <c r="E142">
        <f t="shared" si="10"/>
        <v>508.73852499999998</v>
      </c>
      <c r="F142">
        <f t="shared" si="12"/>
        <v>0.33499499999999216</v>
      </c>
      <c r="G142">
        <v>1400</v>
      </c>
      <c r="H142">
        <f t="shared" si="13"/>
        <v>-1.0936396726416129</v>
      </c>
      <c r="I142">
        <f t="shared" si="11"/>
        <v>7.5972651149173469</v>
      </c>
    </row>
    <row r="143" spans="1:9" x14ac:dyDescent="0.25">
      <c r="A143">
        <v>1000</v>
      </c>
      <c r="B143">
        <v>1992.4250489999999</v>
      </c>
      <c r="C143">
        <v>-9.1323650000000001</v>
      </c>
      <c r="D143" t="s">
        <v>331</v>
      </c>
      <c r="E143">
        <f t="shared" si="10"/>
        <v>508.42504899999994</v>
      </c>
      <c r="F143">
        <f t="shared" si="12"/>
        <v>2.1518999999955213E-2</v>
      </c>
      <c r="G143">
        <v>1410</v>
      </c>
      <c r="H143">
        <f t="shared" si="13"/>
        <v>-3.8388190131718112</v>
      </c>
      <c r="I143">
        <f t="shared" si="11"/>
        <v>7.5971077933947413</v>
      </c>
    </row>
    <row r="144" spans="1:9" x14ac:dyDescent="0.25">
      <c r="A144">
        <v>1000</v>
      </c>
      <c r="B144">
        <v>1993.1695560000001</v>
      </c>
      <c r="C144">
        <v>-9.1021619999999999</v>
      </c>
      <c r="D144" t="s">
        <v>332</v>
      </c>
      <c r="E144">
        <f t="shared" si="10"/>
        <v>509.16955600000006</v>
      </c>
      <c r="F144">
        <f t="shared" si="12"/>
        <v>0.7660260000000676</v>
      </c>
      <c r="G144">
        <v>1420</v>
      </c>
      <c r="H144">
        <f t="shared" si="13"/>
        <v>-0.26653916725874638</v>
      </c>
      <c r="I144">
        <f t="shared" si="11"/>
        <v>7.597481392359235</v>
      </c>
    </row>
    <row r="145" spans="1:9" x14ac:dyDescent="0.25">
      <c r="A145">
        <v>1000</v>
      </c>
      <c r="B145">
        <v>1993.525269</v>
      </c>
      <c r="C145">
        <v>-9.1313949999999995</v>
      </c>
      <c r="D145" t="s">
        <v>333</v>
      </c>
      <c r="E145">
        <f t="shared" si="10"/>
        <v>509.52526899999998</v>
      </c>
      <c r="F145">
        <f t="shared" si="12"/>
        <v>1.1217389999999909</v>
      </c>
      <c r="G145">
        <v>1430</v>
      </c>
      <c r="H145">
        <f t="shared" si="13"/>
        <v>0.11488015971933745</v>
      </c>
      <c r="I145">
        <f t="shared" si="11"/>
        <v>7.5976598424370856</v>
      </c>
    </row>
    <row r="146" spans="1:9" x14ac:dyDescent="0.25">
      <c r="A146">
        <v>1000</v>
      </c>
      <c r="B146">
        <v>1993.6970209999999</v>
      </c>
      <c r="C146">
        <v>-9.1048950000000008</v>
      </c>
      <c r="D146" t="s">
        <v>334</v>
      </c>
      <c r="E146">
        <f t="shared" si="10"/>
        <v>509.69702099999995</v>
      </c>
      <c r="F146">
        <f t="shared" si="12"/>
        <v>1.2934909999999604</v>
      </c>
      <c r="G146">
        <v>1440</v>
      </c>
      <c r="H146">
        <f t="shared" si="13"/>
        <v>0.25734476475345575</v>
      </c>
      <c r="I146">
        <f t="shared" si="11"/>
        <v>7.5977459936409133</v>
      </c>
    </row>
    <row r="147" spans="1:9" x14ac:dyDescent="0.25">
      <c r="A147">
        <v>1000</v>
      </c>
      <c r="B147">
        <v>1994.3054199999999</v>
      </c>
      <c r="C147">
        <v>-9.1054689999999994</v>
      </c>
      <c r="D147" t="s">
        <v>335</v>
      </c>
      <c r="E147">
        <f t="shared" si="10"/>
        <v>510.30541999999991</v>
      </c>
      <c r="F147">
        <f t="shared" si="12"/>
        <v>1.9018899999999235</v>
      </c>
      <c r="G147">
        <v>1450</v>
      </c>
      <c r="H147">
        <f t="shared" si="13"/>
        <v>0.64284812859162055</v>
      </c>
      <c r="I147">
        <f t="shared" si="11"/>
        <v>7.5980511083010578</v>
      </c>
    </row>
    <row r="148" spans="1:9" x14ac:dyDescent="0.25">
      <c r="A148">
        <v>1000</v>
      </c>
      <c r="B148">
        <v>1994.830811</v>
      </c>
      <c r="C148">
        <v>-9.0967800000000008</v>
      </c>
      <c r="D148" t="s">
        <v>336</v>
      </c>
      <c r="E148">
        <f t="shared" si="10"/>
        <v>510.83081100000004</v>
      </c>
      <c r="F148">
        <f t="shared" si="12"/>
        <v>2.4272810000000504</v>
      </c>
      <c r="G148">
        <v>1460</v>
      </c>
      <c r="H148">
        <f t="shared" si="13"/>
        <v>0.88677170084174639</v>
      </c>
      <c r="I148">
        <f t="shared" si="11"/>
        <v>7.5983145192113968</v>
      </c>
    </row>
    <row r="149" spans="1:9" x14ac:dyDescent="0.25">
      <c r="A149">
        <v>1000</v>
      </c>
      <c r="B149">
        <v>1994.528198</v>
      </c>
      <c r="C149">
        <v>-9.0816990000000004</v>
      </c>
      <c r="D149" t="s">
        <v>337</v>
      </c>
      <c r="E149">
        <f t="shared" si="10"/>
        <v>510.52819799999997</v>
      </c>
      <c r="F149">
        <f t="shared" si="12"/>
        <v>2.1246679999999856</v>
      </c>
      <c r="G149">
        <v>1470</v>
      </c>
      <c r="H149">
        <f t="shared" si="13"/>
        <v>0.75361555487625076</v>
      </c>
      <c r="I149">
        <f t="shared" si="11"/>
        <v>7.5981628091246902</v>
      </c>
    </row>
    <row r="150" spans="1:9" x14ac:dyDescent="0.25">
      <c r="A150">
        <v>1000</v>
      </c>
      <c r="B150">
        <v>1995.3587649999999</v>
      </c>
      <c r="C150">
        <v>-9.0858519999999992</v>
      </c>
      <c r="D150" t="s">
        <v>338</v>
      </c>
      <c r="E150">
        <f t="shared" si="10"/>
        <v>511.35876499999995</v>
      </c>
      <c r="F150">
        <f t="shared" si="12"/>
        <v>2.9552349999999592</v>
      </c>
      <c r="G150">
        <v>1480</v>
      </c>
      <c r="H150">
        <f t="shared" si="13"/>
        <v>1.0835781739227393</v>
      </c>
      <c r="I150">
        <f t="shared" si="11"/>
        <v>7.5985791452363145</v>
      </c>
    </row>
    <row r="151" spans="1:9" x14ac:dyDescent="0.25">
      <c r="A151">
        <v>1000</v>
      </c>
      <c r="B151">
        <v>1995.2811280000001</v>
      </c>
      <c r="C151">
        <v>-9.0721089999999993</v>
      </c>
      <c r="D151" t="s">
        <v>339</v>
      </c>
      <c r="E151">
        <f t="shared" si="10"/>
        <v>511.28112800000008</v>
      </c>
      <c r="F151">
        <f t="shared" si="12"/>
        <v>2.8775980000000914</v>
      </c>
      <c r="G151">
        <v>1490</v>
      </c>
      <c r="H151">
        <f t="shared" si="13"/>
        <v>1.0569559183754365</v>
      </c>
      <c r="I151">
        <f t="shared" si="11"/>
        <v>7.5985402356869232</v>
      </c>
    </row>
    <row r="152" spans="1:9" x14ac:dyDescent="0.25">
      <c r="A152">
        <v>1000</v>
      </c>
      <c r="B152">
        <v>1995.4548339999999</v>
      </c>
      <c r="C152">
        <v>-9.057029</v>
      </c>
      <c r="D152" t="s">
        <v>340</v>
      </c>
      <c r="E152">
        <f t="shared" si="10"/>
        <v>511.45483399999989</v>
      </c>
      <c r="F152">
        <f t="shared" si="12"/>
        <v>3.0513039999999023</v>
      </c>
      <c r="G152">
        <v>1500</v>
      </c>
      <c r="H152">
        <f t="shared" si="13"/>
        <v>1.1155690402332903</v>
      </c>
      <c r="I152">
        <f t="shared" si="11"/>
        <v>7.598627290306303</v>
      </c>
    </row>
    <row r="153" spans="1:9" x14ac:dyDescent="0.25">
      <c r="A153">
        <v>1000</v>
      </c>
      <c r="B153">
        <v>1996.029663</v>
      </c>
      <c r="C153">
        <v>-9.0533269999999995</v>
      </c>
      <c r="D153" t="s">
        <v>341</v>
      </c>
      <c r="E153">
        <f t="shared" si="10"/>
        <v>512.02966300000003</v>
      </c>
      <c r="F153">
        <f t="shared" si="12"/>
        <v>3.6261330000000385</v>
      </c>
      <c r="G153">
        <v>1510</v>
      </c>
      <c r="H153">
        <f t="shared" si="13"/>
        <v>1.2881667911966717</v>
      </c>
      <c r="I153">
        <f t="shared" si="11"/>
        <v>7.598915317983427</v>
      </c>
    </row>
    <row r="154" spans="1:9" x14ac:dyDescent="0.25">
      <c r="A154">
        <v>1000</v>
      </c>
      <c r="B154">
        <v>1995.807251</v>
      </c>
      <c r="C154">
        <v>-9.0360739999999993</v>
      </c>
      <c r="D154" t="s">
        <v>342</v>
      </c>
      <c r="E154">
        <f t="shared" si="10"/>
        <v>511.80725099999995</v>
      </c>
      <c r="F154">
        <f t="shared" si="12"/>
        <v>3.4037209999999618</v>
      </c>
      <c r="G154">
        <v>1520</v>
      </c>
      <c r="H154">
        <f t="shared" si="13"/>
        <v>1.224869244954836</v>
      </c>
      <c r="I154">
        <f t="shared" si="11"/>
        <v>7.5988038845731847</v>
      </c>
    </row>
    <row r="155" spans="1:9" x14ac:dyDescent="0.25">
      <c r="A155">
        <v>1000</v>
      </c>
      <c r="B155">
        <v>1995.631592</v>
      </c>
      <c r="C155">
        <v>-9.0260470000000002</v>
      </c>
      <c r="D155" t="s">
        <v>343</v>
      </c>
      <c r="E155">
        <f t="shared" si="10"/>
        <v>511.63159199999996</v>
      </c>
      <c r="F155">
        <f t="shared" si="12"/>
        <v>3.2280619999999658</v>
      </c>
      <c r="G155">
        <v>1530</v>
      </c>
      <c r="H155">
        <f t="shared" si="13"/>
        <v>1.1718819571625221</v>
      </c>
      <c r="I155">
        <f t="shared" si="11"/>
        <v>7.598715866689397</v>
      </c>
    </row>
    <row r="156" spans="1:9" x14ac:dyDescent="0.25">
      <c r="A156">
        <v>1000</v>
      </c>
      <c r="B156">
        <v>1996.0375979999999</v>
      </c>
      <c r="C156">
        <v>-9.0466189999999997</v>
      </c>
      <c r="D156" t="s">
        <v>344</v>
      </c>
      <c r="E156">
        <f t="shared" si="10"/>
        <v>512.03759799999989</v>
      </c>
      <c r="F156">
        <f t="shared" si="12"/>
        <v>3.6340679999998997</v>
      </c>
      <c r="G156">
        <v>1540</v>
      </c>
      <c r="H156">
        <f t="shared" si="13"/>
        <v>1.2903526819617874</v>
      </c>
      <c r="I156">
        <f t="shared" si="11"/>
        <v>7.5989192933673477</v>
      </c>
    </row>
    <row r="157" spans="1:9" x14ac:dyDescent="0.25">
      <c r="A157">
        <v>1000</v>
      </c>
      <c r="B157">
        <v>1996.340332</v>
      </c>
      <c r="C157">
        <v>-9.0480400000000003</v>
      </c>
      <c r="D157" t="s">
        <v>345</v>
      </c>
      <c r="E157">
        <f t="shared" si="10"/>
        <v>512.34033199999999</v>
      </c>
      <c r="F157">
        <f t="shared" si="12"/>
        <v>3.9368020000000001</v>
      </c>
      <c r="G157">
        <v>1550</v>
      </c>
      <c r="H157">
        <f t="shared" si="13"/>
        <v>1.3703687185963263</v>
      </c>
      <c r="I157">
        <f t="shared" si="11"/>
        <v>7.5990709493507689</v>
      </c>
    </row>
    <row r="158" spans="1:9" x14ac:dyDescent="0.25">
      <c r="A158">
        <v>1000</v>
      </c>
      <c r="B158">
        <v>1996.6335449999999</v>
      </c>
      <c r="C158">
        <v>-9.003698</v>
      </c>
      <c r="D158" t="s">
        <v>346</v>
      </c>
      <c r="E158">
        <f t="shared" si="10"/>
        <v>512.63354499999991</v>
      </c>
      <c r="F158">
        <f t="shared" si="12"/>
        <v>4.2300149999999235</v>
      </c>
      <c r="G158">
        <v>1560</v>
      </c>
      <c r="H158">
        <f t="shared" si="13"/>
        <v>1.4422055391511719</v>
      </c>
      <c r="I158">
        <f t="shared" si="11"/>
        <v>7.5992178138229933</v>
      </c>
    </row>
    <row r="159" spans="1:9" x14ac:dyDescent="0.25">
      <c r="A159">
        <v>1000</v>
      </c>
      <c r="B159">
        <v>1997.6407469999999</v>
      </c>
      <c r="C159">
        <v>-9.0179050000000007</v>
      </c>
      <c r="D159" t="s">
        <v>347</v>
      </c>
      <c r="E159">
        <f t="shared" si="10"/>
        <v>513.64074699999992</v>
      </c>
      <c r="F159">
        <f t="shared" si="12"/>
        <v>5.2372169999999301</v>
      </c>
      <c r="G159">
        <v>1570</v>
      </c>
      <c r="H159">
        <f t="shared" si="13"/>
        <v>1.6557902503754975</v>
      </c>
      <c r="I159">
        <f t="shared" si="11"/>
        <v>7.5997221367351004</v>
      </c>
    </row>
    <row r="160" spans="1:9" x14ac:dyDescent="0.25">
      <c r="A160">
        <v>1000</v>
      </c>
      <c r="B160">
        <v>1997.819336</v>
      </c>
      <c r="C160">
        <v>-9.0257190000000005</v>
      </c>
      <c r="D160" t="s">
        <v>348</v>
      </c>
      <c r="E160">
        <f t="shared" si="10"/>
        <v>513.81933600000002</v>
      </c>
      <c r="F160">
        <f t="shared" si="12"/>
        <v>5.4158060000000319</v>
      </c>
      <c r="G160">
        <v>1580</v>
      </c>
      <c r="H160">
        <f t="shared" si="13"/>
        <v>1.6893217151752302</v>
      </c>
      <c r="I160">
        <f t="shared" si="11"/>
        <v>7.5998115326977231</v>
      </c>
    </row>
    <row r="161" spans="1:9" x14ac:dyDescent="0.25">
      <c r="A161">
        <v>1000</v>
      </c>
      <c r="B161">
        <v>1997.2163089999999</v>
      </c>
      <c r="C161">
        <v>-9.0069900000000001</v>
      </c>
      <c r="D161" t="s">
        <v>349</v>
      </c>
      <c r="E161">
        <f t="shared" si="10"/>
        <v>513.21630899999991</v>
      </c>
      <c r="F161">
        <f t="shared" si="12"/>
        <v>4.8127789999999209</v>
      </c>
      <c r="G161">
        <v>1590</v>
      </c>
      <c r="H161">
        <f t="shared" si="13"/>
        <v>1.5712746719594313</v>
      </c>
      <c r="I161">
        <f t="shared" si="11"/>
        <v>7.5995096445254182</v>
      </c>
    </row>
    <row r="162" spans="1:9" x14ac:dyDescent="0.25">
      <c r="A162">
        <v>1000</v>
      </c>
      <c r="B162">
        <v>1998.045288</v>
      </c>
      <c r="C162">
        <v>-8.9997229999999995</v>
      </c>
      <c r="D162" t="s">
        <v>350</v>
      </c>
      <c r="E162">
        <f t="shared" si="10"/>
        <v>514.04528800000003</v>
      </c>
      <c r="F162">
        <f t="shared" si="12"/>
        <v>5.6417580000000385</v>
      </c>
      <c r="G162">
        <v>1600</v>
      </c>
      <c r="H162">
        <f t="shared" si="13"/>
        <v>1.7301957190686181</v>
      </c>
      <c r="I162">
        <f t="shared" ref="I162:I187" si="14">LN(B162)</f>
        <v>7.5999246256182804</v>
      </c>
    </row>
    <row r="163" spans="1:9" x14ac:dyDescent="0.25">
      <c r="A163">
        <v>1000</v>
      </c>
      <c r="B163">
        <v>1997.5219729999999</v>
      </c>
      <c r="C163">
        <v>-8.9925239999999995</v>
      </c>
      <c r="D163" t="s">
        <v>351</v>
      </c>
      <c r="E163">
        <f t="shared" si="10"/>
        <v>513.52197299999989</v>
      </c>
      <c r="F163">
        <f t="shared" si="12"/>
        <v>5.1184429999998997</v>
      </c>
      <c r="G163">
        <v>1610</v>
      </c>
      <c r="H163">
        <f t="shared" si="13"/>
        <v>1.6328502912406404</v>
      </c>
      <c r="I163">
        <f t="shared" si="14"/>
        <v>7.5996626778302403</v>
      </c>
    </row>
    <row r="164" spans="1:9" x14ac:dyDescent="0.25">
      <c r="A164">
        <v>1000</v>
      </c>
      <c r="B164">
        <v>1998.122437</v>
      </c>
      <c r="C164">
        <v>-8.9861450000000005</v>
      </c>
      <c r="D164" t="s">
        <v>352</v>
      </c>
      <c r="E164">
        <f t="shared" si="10"/>
        <v>514.12243699999999</v>
      </c>
      <c r="F164">
        <f t="shared" si="12"/>
        <v>5.7189070000000015</v>
      </c>
      <c r="G164">
        <v>1620</v>
      </c>
      <c r="H164">
        <f t="shared" si="13"/>
        <v>1.7437777032167654</v>
      </c>
      <c r="I164">
        <f t="shared" si="14"/>
        <v>7.5999632371107495</v>
      </c>
    </row>
    <row r="165" spans="1:9" x14ac:dyDescent="0.25">
      <c r="A165">
        <v>1000</v>
      </c>
      <c r="B165">
        <v>1999.1770019999999</v>
      </c>
      <c r="C165">
        <v>-8.9802160000000004</v>
      </c>
      <c r="D165" t="s">
        <v>353</v>
      </c>
      <c r="E165">
        <f t="shared" si="10"/>
        <v>515.1770019999999</v>
      </c>
      <c r="F165">
        <f t="shared" si="12"/>
        <v>6.7734719999999129</v>
      </c>
      <c r="G165">
        <v>1630</v>
      </c>
      <c r="H165">
        <f t="shared" si="13"/>
        <v>1.913013806273546</v>
      </c>
      <c r="I165">
        <f t="shared" si="14"/>
        <v>7.6004908758531347</v>
      </c>
    </row>
    <row r="166" spans="1:9" x14ac:dyDescent="0.25">
      <c r="A166">
        <v>1000</v>
      </c>
      <c r="B166">
        <v>1998.3977050000001</v>
      </c>
      <c r="C166">
        <v>-8.9651490000000003</v>
      </c>
      <c r="D166" t="s">
        <v>354</v>
      </c>
      <c r="E166">
        <f t="shared" si="10"/>
        <v>514.39770500000009</v>
      </c>
      <c r="F166">
        <f t="shared" si="12"/>
        <v>5.994175000000098</v>
      </c>
      <c r="G166">
        <v>1640</v>
      </c>
      <c r="H166">
        <f t="shared" si="13"/>
        <v>1.7907881643308261</v>
      </c>
      <c r="I166">
        <f t="shared" si="14"/>
        <v>7.600100990951919</v>
      </c>
    </row>
    <row r="167" spans="1:9" x14ac:dyDescent="0.25">
      <c r="A167">
        <v>1000</v>
      </c>
      <c r="B167">
        <v>1997.998413</v>
      </c>
      <c r="C167">
        <v>-8.9515709999999995</v>
      </c>
      <c r="D167" t="s">
        <v>355</v>
      </c>
      <c r="E167">
        <f t="shared" si="10"/>
        <v>513.99841300000003</v>
      </c>
      <c r="F167">
        <f t="shared" si="12"/>
        <v>5.5948830000000385</v>
      </c>
      <c r="G167">
        <v>1650</v>
      </c>
      <c r="H167">
        <f t="shared" si="13"/>
        <v>1.7218524300170963</v>
      </c>
      <c r="I167">
        <f t="shared" si="14"/>
        <v>7.5999011649138888</v>
      </c>
    </row>
    <row r="168" spans="1:9" x14ac:dyDescent="0.25">
      <c r="A168">
        <v>1000</v>
      </c>
      <c r="B168">
        <v>2000.0855710000001</v>
      </c>
      <c r="C168">
        <v>-8.9708179999999995</v>
      </c>
      <c r="D168" t="s">
        <v>356</v>
      </c>
      <c r="E168">
        <f t="shared" si="10"/>
        <v>516.08557100000007</v>
      </c>
      <c r="F168">
        <f t="shared" si="12"/>
        <v>7.6820410000000834</v>
      </c>
      <c r="G168">
        <v>1660</v>
      </c>
      <c r="H168">
        <f t="shared" si="13"/>
        <v>2.0388852670612647</v>
      </c>
      <c r="I168">
        <f t="shared" si="14"/>
        <v>7.6009452441268088</v>
      </c>
    </row>
    <row r="169" spans="1:9" x14ac:dyDescent="0.25">
      <c r="A169">
        <v>1000</v>
      </c>
      <c r="B169">
        <v>2000.184937</v>
      </c>
      <c r="C169">
        <v>-8.9671160000000008</v>
      </c>
      <c r="D169" t="s">
        <v>357</v>
      </c>
      <c r="E169">
        <f t="shared" si="10"/>
        <v>516.18493699999999</v>
      </c>
      <c r="F169">
        <f t="shared" si="12"/>
        <v>7.7814070000000015</v>
      </c>
      <c r="G169">
        <v>1670</v>
      </c>
      <c r="H169">
        <f t="shared" si="13"/>
        <v>2.0517371701682614</v>
      </c>
      <c r="I169">
        <f t="shared" si="14"/>
        <v>7.6009949237671339</v>
      </c>
    </row>
    <row r="170" spans="1:9" x14ac:dyDescent="0.25">
      <c r="A170">
        <v>1000</v>
      </c>
      <c r="B170">
        <v>2000.22937</v>
      </c>
      <c r="C170">
        <v>-8.9355340000000005</v>
      </c>
      <c r="D170" t="s">
        <v>358</v>
      </c>
      <c r="E170">
        <f t="shared" si="10"/>
        <v>516.22937000000002</v>
      </c>
      <c r="F170">
        <f t="shared" si="12"/>
        <v>7.8258400000000279</v>
      </c>
      <c r="G170">
        <v>1680</v>
      </c>
      <c r="H170">
        <f t="shared" si="13"/>
        <v>2.0574310789076216</v>
      </c>
      <c r="I170">
        <f t="shared" si="14"/>
        <v>7.6010171379662603</v>
      </c>
    </row>
    <row r="171" spans="1:9" x14ac:dyDescent="0.25">
      <c r="A171">
        <v>1000</v>
      </c>
      <c r="B171">
        <v>2000.084961</v>
      </c>
      <c r="C171">
        <v>-8.9298509999999993</v>
      </c>
      <c r="D171" t="s">
        <v>359</v>
      </c>
      <c r="E171">
        <f t="shared" si="10"/>
        <v>516.08496100000002</v>
      </c>
      <c r="F171">
        <f t="shared" si="12"/>
        <v>7.6814310000000319</v>
      </c>
      <c r="G171">
        <v>1690</v>
      </c>
      <c r="H171">
        <f t="shared" si="13"/>
        <v>2.038805857927656</v>
      </c>
      <c r="I171">
        <f t="shared" si="14"/>
        <v>7.6009449391398114</v>
      </c>
    </row>
    <row r="172" spans="1:9" x14ac:dyDescent="0.25">
      <c r="A172">
        <v>1000</v>
      </c>
      <c r="B172">
        <v>2001.140625</v>
      </c>
      <c r="C172">
        <v>-8.9376099999999994</v>
      </c>
      <c r="D172" t="s">
        <v>360</v>
      </c>
      <c r="E172">
        <f t="shared" si="10"/>
        <v>517.140625</v>
      </c>
      <c r="F172">
        <f t="shared" si="12"/>
        <v>8.7370950000000107</v>
      </c>
      <c r="G172">
        <v>1700</v>
      </c>
      <c r="H172">
        <f t="shared" si="13"/>
        <v>2.1675777545543156</v>
      </c>
      <c r="I172">
        <f t="shared" si="14"/>
        <v>7.6014726094757146</v>
      </c>
    </row>
    <row r="173" spans="1:9" x14ac:dyDescent="0.25">
      <c r="A173">
        <v>1000</v>
      </c>
      <c r="B173">
        <v>2000.916504</v>
      </c>
      <c r="C173">
        <v>-8.9340580000000003</v>
      </c>
      <c r="D173" t="s">
        <v>361</v>
      </c>
      <c r="E173">
        <f t="shared" si="10"/>
        <v>516.91650400000003</v>
      </c>
      <c r="F173">
        <f t="shared" si="12"/>
        <v>8.5129740000000425</v>
      </c>
      <c r="G173">
        <v>1710</v>
      </c>
      <c r="H173">
        <f t="shared" si="13"/>
        <v>2.1415913527447885</v>
      </c>
      <c r="I173">
        <f t="shared" si="14"/>
        <v>7.6013606065767005</v>
      </c>
    </row>
    <row r="174" spans="1:9" x14ac:dyDescent="0.25">
      <c r="A174">
        <v>1000</v>
      </c>
      <c r="B174">
        <v>2000.3101810000001</v>
      </c>
      <c r="C174">
        <v>-8.9039090000000005</v>
      </c>
      <c r="D174" t="s">
        <v>362</v>
      </c>
      <c r="E174">
        <f t="shared" si="10"/>
        <v>516.31018100000006</v>
      </c>
      <c r="F174">
        <f t="shared" si="12"/>
        <v>7.9066510000000676</v>
      </c>
      <c r="G174">
        <v>1720</v>
      </c>
      <c r="H174">
        <f t="shared" si="13"/>
        <v>2.0677043040092076</v>
      </c>
      <c r="I174">
        <f t="shared" si="14"/>
        <v>7.6010575380167937</v>
      </c>
    </row>
    <row r="175" spans="1:9" x14ac:dyDescent="0.25">
      <c r="A175">
        <v>1000</v>
      </c>
      <c r="B175">
        <v>2001.4160159999999</v>
      </c>
      <c r="C175">
        <v>-8.9029939999999996</v>
      </c>
      <c r="D175" t="s">
        <v>363</v>
      </c>
      <c r="E175">
        <f t="shared" si="10"/>
        <v>517.4160159999999</v>
      </c>
      <c r="F175">
        <f t="shared" si="12"/>
        <v>9.0124859999999103</v>
      </c>
      <c r="G175">
        <v>1730</v>
      </c>
      <c r="H175">
        <f t="shared" si="13"/>
        <v>2.1986109492117927</v>
      </c>
      <c r="I175">
        <f t="shared" si="14"/>
        <v>7.6016102170226576</v>
      </c>
    </row>
    <row r="176" spans="1:9" x14ac:dyDescent="0.25">
      <c r="A176">
        <v>1000</v>
      </c>
      <c r="B176">
        <v>2001.112427</v>
      </c>
      <c r="C176">
        <v>-8.8878990000000009</v>
      </c>
      <c r="D176" t="s">
        <v>364</v>
      </c>
      <c r="E176">
        <f t="shared" si="10"/>
        <v>517.11242700000003</v>
      </c>
      <c r="F176">
        <f t="shared" si="12"/>
        <v>8.7088970000000359</v>
      </c>
      <c r="G176">
        <v>1740</v>
      </c>
      <c r="H176">
        <f t="shared" si="13"/>
        <v>2.1643451467948771</v>
      </c>
      <c r="I176">
        <f t="shared" si="14"/>
        <v>7.6014585184126888</v>
      </c>
    </row>
    <row r="177" spans="1:9" x14ac:dyDescent="0.25">
      <c r="A177">
        <v>1000</v>
      </c>
      <c r="B177">
        <v>2001.9399410000001</v>
      </c>
      <c r="C177">
        <v>-8.8828449999999997</v>
      </c>
      <c r="D177" t="s">
        <v>365</v>
      </c>
      <c r="E177">
        <f t="shared" si="10"/>
        <v>517.93994100000009</v>
      </c>
      <c r="F177">
        <f t="shared" si="12"/>
        <v>9.5364110000001006</v>
      </c>
      <c r="G177">
        <v>1750</v>
      </c>
      <c r="H177">
        <f t="shared" si="13"/>
        <v>2.255117209226448</v>
      </c>
      <c r="I177">
        <f t="shared" si="14"/>
        <v>7.6018719599246722</v>
      </c>
    </row>
    <row r="178" spans="1:9" x14ac:dyDescent="0.25">
      <c r="A178">
        <v>1000</v>
      </c>
      <c r="B178">
        <v>2002.7246090000001</v>
      </c>
      <c r="C178">
        <v>-8.8935270000000006</v>
      </c>
      <c r="D178" t="s">
        <v>366</v>
      </c>
      <c r="E178">
        <f t="shared" si="10"/>
        <v>518.7246090000001</v>
      </c>
      <c r="F178">
        <f t="shared" si="12"/>
        <v>10.321079000000111</v>
      </c>
      <c r="G178">
        <v>1760</v>
      </c>
      <c r="H178">
        <f t="shared" si="13"/>
        <v>2.3341883088515774</v>
      </c>
      <c r="I178">
        <f t="shared" si="14"/>
        <v>7.602263836947202</v>
      </c>
    </row>
    <row r="179" spans="1:9" x14ac:dyDescent="0.25">
      <c r="A179">
        <v>1000</v>
      </c>
      <c r="B179">
        <v>2001.638672</v>
      </c>
      <c r="C179">
        <v>-8.8655779999999993</v>
      </c>
      <c r="D179" t="s">
        <v>367</v>
      </c>
      <c r="E179">
        <f t="shared" si="10"/>
        <v>517.63867200000004</v>
      </c>
      <c r="F179">
        <f t="shared" si="12"/>
        <v>9.235142000000053</v>
      </c>
      <c r="G179">
        <v>1770</v>
      </c>
      <c r="H179">
        <f t="shared" si="13"/>
        <v>2.2230159898188639</v>
      </c>
      <c r="I179">
        <f t="shared" si="14"/>
        <v>7.6017214600695722</v>
      </c>
    </row>
    <row r="180" spans="1:9" x14ac:dyDescent="0.25">
      <c r="A180">
        <v>1000</v>
      </c>
      <c r="B180">
        <v>2001.3664550000001</v>
      </c>
      <c r="C180">
        <v>-8.8548960000000001</v>
      </c>
      <c r="D180" t="s">
        <v>368</v>
      </c>
      <c r="E180">
        <f t="shared" si="10"/>
        <v>517.36645500000009</v>
      </c>
      <c r="F180">
        <f t="shared" si="12"/>
        <v>8.962925000000098</v>
      </c>
      <c r="G180">
        <v>1780</v>
      </c>
      <c r="H180">
        <f t="shared" si="13"/>
        <v>2.1930966246062082</v>
      </c>
      <c r="I180">
        <f t="shared" si="14"/>
        <v>7.60158545374843</v>
      </c>
    </row>
    <row r="181" spans="1:9" x14ac:dyDescent="0.25">
      <c r="A181">
        <v>1000</v>
      </c>
      <c r="B181">
        <v>2001.669067</v>
      </c>
      <c r="C181">
        <v>-8.8563170000000007</v>
      </c>
      <c r="D181" t="s">
        <v>369</v>
      </c>
      <c r="E181">
        <f t="shared" si="10"/>
        <v>517.66906700000004</v>
      </c>
      <c r="F181">
        <f t="shared" si="12"/>
        <v>9.2655370000000516</v>
      </c>
      <c r="G181">
        <v>1790</v>
      </c>
      <c r="H181">
        <f t="shared" si="13"/>
        <v>2.2263018181224687</v>
      </c>
      <c r="I181">
        <f t="shared" si="14"/>
        <v>7.6017366450126156</v>
      </c>
    </row>
    <row r="182" spans="1:9" x14ac:dyDescent="0.25">
      <c r="A182">
        <v>1000</v>
      </c>
      <c r="B182">
        <v>2003.0767820000001</v>
      </c>
      <c r="C182">
        <v>-8.8726409999999998</v>
      </c>
      <c r="D182" t="s">
        <v>370</v>
      </c>
      <c r="E182">
        <f t="shared" si="10"/>
        <v>519.07678200000009</v>
      </c>
      <c r="F182">
        <f t="shared" si="12"/>
        <v>10.673252000000105</v>
      </c>
      <c r="G182">
        <v>1800</v>
      </c>
      <c r="H182">
        <f t="shared" si="13"/>
        <v>2.3677407986340828</v>
      </c>
      <c r="I182">
        <f t="shared" si="14"/>
        <v>7.6024396684308586</v>
      </c>
    </row>
    <row r="183" spans="1:9" x14ac:dyDescent="0.25">
      <c r="A183">
        <v>1000</v>
      </c>
      <c r="B183">
        <v>2002.9995120000001</v>
      </c>
      <c r="C183">
        <v>-8.8452929999999999</v>
      </c>
      <c r="D183" t="s">
        <v>371</v>
      </c>
      <c r="E183">
        <f t="shared" si="10"/>
        <v>518.9995120000001</v>
      </c>
      <c r="F183">
        <f t="shared" si="12"/>
        <v>10.595982000000106</v>
      </c>
      <c r="G183">
        <v>1810</v>
      </c>
      <c r="H183">
        <f t="shared" si="13"/>
        <v>2.3604748726541436</v>
      </c>
      <c r="I183">
        <f t="shared" si="14"/>
        <v>7.6024010920312408</v>
      </c>
    </row>
    <row r="184" spans="1:9" x14ac:dyDescent="0.25">
      <c r="A184">
        <v>1000</v>
      </c>
      <c r="B184">
        <v>2002.772095</v>
      </c>
      <c r="C184">
        <v>-8.8302790000000009</v>
      </c>
      <c r="D184" t="s">
        <v>372</v>
      </c>
      <c r="E184">
        <f t="shared" si="10"/>
        <v>518.77209500000004</v>
      </c>
      <c r="F184">
        <f t="shared" si="12"/>
        <v>10.368565000000046</v>
      </c>
      <c r="G184">
        <v>1820</v>
      </c>
      <c r="H184">
        <f t="shared" si="13"/>
        <v>2.338778632723912</v>
      </c>
      <c r="I184">
        <f t="shared" si="14"/>
        <v>7.6022875473649156</v>
      </c>
    </row>
    <row r="185" spans="1:9" x14ac:dyDescent="0.25">
      <c r="A185">
        <v>1000</v>
      </c>
      <c r="B185">
        <v>2004.034302</v>
      </c>
      <c r="C185">
        <v>-8.8546230000000001</v>
      </c>
      <c r="D185" t="s">
        <v>373</v>
      </c>
      <c r="E185">
        <f t="shared" si="10"/>
        <v>520.03430200000003</v>
      </c>
      <c r="F185">
        <f t="shared" si="12"/>
        <v>11.630772000000036</v>
      </c>
      <c r="G185">
        <v>1830</v>
      </c>
      <c r="H185">
        <f t="shared" si="13"/>
        <v>2.4536543443791086</v>
      </c>
      <c r="I185">
        <f t="shared" si="14"/>
        <v>7.6029175788247327</v>
      </c>
    </row>
    <row r="186" spans="1:9" x14ac:dyDescent="0.25">
      <c r="A186">
        <v>1000</v>
      </c>
      <c r="B186">
        <v>2003.9837649999999</v>
      </c>
      <c r="C186">
        <v>-8.8496369999999995</v>
      </c>
      <c r="D186" t="s">
        <v>374</v>
      </c>
      <c r="E186">
        <f t="shared" si="10"/>
        <v>519.98376499999995</v>
      </c>
      <c r="F186">
        <f t="shared" si="12"/>
        <v>11.580234999999959</v>
      </c>
      <c r="G186">
        <v>1840</v>
      </c>
      <c r="H186">
        <f t="shared" si="13"/>
        <v>2.4492997655486048</v>
      </c>
      <c r="I186">
        <f t="shared" si="14"/>
        <v>7.6028923608745345</v>
      </c>
    </row>
    <row r="187" spans="1:9" x14ac:dyDescent="0.25">
      <c r="A187">
        <v>1000</v>
      </c>
      <c r="B187">
        <v>2003.4298100000001</v>
      </c>
      <c r="C187">
        <v>-8.8223160000000007</v>
      </c>
      <c r="D187" t="s">
        <v>375</v>
      </c>
      <c r="E187">
        <f t="shared" si="10"/>
        <v>519.42981000000009</v>
      </c>
      <c r="F187">
        <f t="shared" si="12"/>
        <v>11.026280000000099</v>
      </c>
      <c r="G187">
        <v>1850</v>
      </c>
      <c r="H187">
        <f t="shared" si="13"/>
        <v>2.4002815143671041</v>
      </c>
      <c r="I187">
        <f t="shared" si="14"/>
        <v>7.6026158957714642</v>
      </c>
    </row>
    <row r="188" spans="1:9" x14ac:dyDescent="0.25">
      <c r="A188">
        <v>1000</v>
      </c>
      <c r="B188">
        <v>2004.737183</v>
      </c>
      <c r="C188">
        <v>-8.8286949999999997</v>
      </c>
      <c r="D188" t="s">
        <v>376</v>
      </c>
      <c r="E188">
        <f t="shared" si="10"/>
        <v>520.73718299999996</v>
      </c>
      <c r="F188">
        <f t="shared" si="12"/>
        <v>12.33365299999997</v>
      </c>
      <c r="G188">
        <v>1860</v>
      </c>
      <c r="H188">
        <f t="shared" si="13"/>
        <v>2.5123315425591417</v>
      </c>
      <c r="I188">
        <f t="shared" ref="I188:I191" si="15">LN(B188)</f>
        <v>7.6032682503508262</v>
      </c>
    </row>
    <row r="189" spans="1:9" x14ac:dyDescent="0.25">
      <c r="A189">
        <v>1000</v>
      </c>
      <c r="B189">
        <v>2005.138062</v>
      </c>
      <c r="C189">
        <v>-8.8149660000000001</v>
      </c>
      <c r="D189" t="s">
        <v>377</v>
      </c>
      <c r="E189">
        <f t="shared" si="10"/>
        <v>521.13806199999999</v>
      </c>
      <c r="F189">
        <f t="shared" si="12"/>
        <v>12.734532000000002</v>
      </c>
      <c r="G189">
        <v>1870</v>
      </c>
      <c r="H189">
        <f t="shared" si="13"/>
        <v>2.5443173586395473</v>
      </c>
      <c r="I189">
        <f t="shared" si="15"/>
        <v>7.6034681962228756</v>
      </c>
    </row>
    <row r="190" spans="1:9" x14ac:dyDescent="0.25">
      <c r="A190">
        <v>1000</v>
      </c>
      <c r="B190">
        <v>2005.2182620000001</v>
      </c>
      <c r="C190">
        <v>-8.8243379999999991</v>
      </c>
      <c r="D190" t="s">
        <v>378</v>
      </c>
      <c r="E190">
        <f t="shared" si="10"/>
        <v>521.2182620000001</v>
      </c>
      <c r="F190">
        <f t="shared" si="12"/>
        <v>12.814732000000106</v>
      </c>
      <c r="G190">
        <v>1880</v>
      </c>
      <c r="H190">
        <f t="shared" si="13"/>
        <v>2.5505954466047762</v>
      </c>
      <c r="I190">
        <f t="shared" si="15"/>
        <v>7.6035081926688424</v>
      </c>
    </row>
    <row r="191" spans="1:9" x14ac:dyDescent="0.25">
      <c r="A191">
        <v>1000</v>
      </c>
      <c r="B191">
        <v>2005.2635499999999</v>
      </c>
      <c r="C191">
        <v>-8.8063739999999999</v>
      </c>
      <c r="D191" t="s">
        <v>379</v>
      </c>
      <c r="E191">
        <f t="shared" si="10"/>
        <v>521.2635499999999</v>
      </c>
      <c r="F191">
        <f t="shared" si="12"/>
        <v>12.860019999999906</v>
      </c>
      <c r="G191">
        <v>1890</v>
      </c>
      <c r="H191">
        <f t="shared" si="13"/>
        <v>2.55412327401821</v>
      </c>
      <c r="I191">
        <f t="shared" si="15"/>
        <v>7.6035307774863901</v>
      </c>
    </row>
    <row r="192" spans="1:9" x14ac:dyDescent="0.25">
      <c r="A192">
        <v>1000</v>
      </c>
      <c r="B192">
        <v>2005.8408199999999</v>
      </c>
      <c r="C192">
        <v>-8.78904</v>
      </c>
      <c r="D192" t="s">
        <v>380</v>
      </c>
      <c r="E192">
        <f t="shared" si="10"/>
        <v>521.84081999999989</v>
      </c>
      <c r="F192">
        <f t="shared" si="12"/>
        <v>13.437289999999905</v>
      </c>
      <c r="G192">
        <v>1900</v>
      </c>
      <c r="H192">
        <f t="shared" ref="H192:H196" si="16">LN(F192)</f>
        <v>2.5980336778587807</v>
      </c>
      <c r="I192">
        <f t="shared" ref="I192:I196" si="17">LN(B192)</f>
        <v>7.6038186134291816</v>
      </c>
    </row>
    <row r="193" spans="1:9" x14ac:dyDescent="0.25">
      <c r="A193">
        <v>1000</v>
      </c>
      <c r="B193">
        <v>2005.969116</v>
      </c>
      <c r="C193">
        <v>-8.7919350000000005</v>
      </c>
      <c r="D193" t="s">
        <v>381</v>
      </c>
      <c r="E193">
        <f t="shared" si="10"/>
        <v>521.96911599999999</v>
      </c>
      <c r="F193">
        <f t="shared" si="12"/>
        <v>13.565585999999996</v>
      </c>
      <c r="G193">
        <v>1910</v>
      </c>
      <c r="H193">
        <f t="shared" si="16"/>
        <v>2.607536144588074</v>
      </c>
      <c r="I193">
        <f t="shared" si="17"/>
        <v>7.6038825725908019</v>
      </c>
    </row>
    <row r="194" spans="1:9" x14ac:dyDescent="0.25">
      <c r="A194">
        <v>1000</v>
      </c>
      <c r="B194">
        <v>2005.2155760000001</v>
      </c>
      <c r="C194">
        <v>-8.7834389999999996</v>
      </c>
      <c r="D194" t="s">
        <v>382</v>
      </c>
      <c r="E194">
        <f t="shared" ref="E194:E196" si="18">B194-$P$3</f>
        <v>521.21557600000006</v>
      </c>
      <c r="F194">
        <f t="shared" si="12"/>
        <v>12.812046000000066</v>
      </c>
      <c r="G194">
        <v>1920</v>
      </c>
      <c r="H194">
        <f t="shared" si="16"/>
        <v>2.5503858221244866</v>
      </c>
      <c r="I194">
        <f t="shared" si="17"/>
        <v>7.6035068531628891</v>
      </c>
    </row>
    <row r="195" spans="1:9" x14ac:dyDescent="0.25">
      <c r="A195">
        <v>1000</v>
      </c>
      <c r="B195">
        <v>2007.1804199999999</v>
      </c>
      <c r="C195">
        <v>-8.7976460000000003</v>
      </c>
      <c r="D195" t="s">
        <v>383</v>
      </c>
      <c r="E195">
        <f t="shared" si="18"/>
        <v>523.18041999999991</v>
      </c>
      <c r="F195">
        <f t="shared" ref="F195:F196" si="19">E195-$R$3</f>
        <v>14.776889999999923</v>
      </c>
      <c r="G195">
        <v>1930</v>
      </c>
      <c r="H195">
        <f t="shared" si="16"/>
        <v>2.693064473892973</v>
      </c>
      <c r="I195">
        <f t="shared" si="17"/>
        <v>7.6044862401222098</v>
      </c>
    </row>
    <row r="196" spans="1:9" x14ac:dyDescent="0.25">
      <c r="A196">
        <v>1000</v>
      </c>
      <c r="B196">
        <v>2006.8280030000001</v>
      </c>
      <c r="C196">
        <v>-8.7890800000000002</v>
      </c>
      <c r="D196" t="s">
        <v>384</v>
      </c>
      <c r="E196">
        <f t="shared" si="18"/>
        <v>522.82800300000008</v>
      </c>
      <c r="F196">
        <f t="shared" si="19"/>
        <v>14.424473000000091</v>
      </c>
      <c r="G196">
        <v>1940</v>
      </c>
      <c r="H196">
        <f t="shared" si="16"/>
        <v>2.6689262779313001</v>
      </c>
      <c r="I196">
        <f t="shared" si="17"/>
        <v>7.6043106465689503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2"/>
  <sheetViews>
    <sheetView topLeftCell="B23" zoomScale="70" zoomScaleNormal="70" workbookViewId="0">
      <selection activeCell="S40" sqref="S40"/>
    </sheetView>
  </sheetViews>
  <sheetFormatPr baseColWidth="10" defaultRowHeight="15" x14ac:dyDescent="0.25"/>
  <cols>
    <col min="4" max="4" width="23" bestFit="1" customWidth="1"/>
    <col min="5" max="5" width="13.85546875" bestFit="1" customWidth="1"/>
    <col min="6" max="6" width="27.42578125" bestFit="1" customWidth="1"/>
    <col min="8" max="8" width="16.42578125" bestFit="1" customWidth="1"/>
    <col min="14" max="14" width="13.28515625" bestFit="1" customWidth="1"/>
    <col min="15" max="15" width="12.7109375" bestFit="1" customWidth="1"/>
    <col min="16" max="16" width="13.85546875" bestFit="1" customWidth="1"/>
    <col min="17" max="17" width="16.7109375" bestFit="1" customWidth="1"/>
    <col min="18" max="18" width="9.42578125" bestFit="1" customWidth="1"/>
  </cols>
  <sheetData>
    <row r="1" spans="1:18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16</v>
      </c>
      <c r="G1" t="s">
        <v>12</v>
      </c>
      <c r="H1" t="s">
        <v>17</v>
      </c>
      <c r="I1" t="s">
        <v>13</v>
      </c>
    </row>
    <row r="2" spans="1:18" x14ac:dyDescent="0.25">
      <c r="A2">
        <v>1000</v>
      </c>
      <c r="B2">
        <v>3069.5646969999998</v>
      </c>
      <c r="C2">
        <v>-22.198101000000001</v>
      </c>
      <c r="D2" t="s">
        <v>481</v>
      </c>
      <c r="E2">
        <f>B2-$P$3</f>
        <v>1591.5646969999998</v>
      </c>
      <c r="F2">
        <f t="shared" ref="F2:F27" si="0">E2-$R$3</f>
        <v>648.52965699999982</v>
      </c>
      <c r="G2">
        <v>0</v>
      </c>
      <c r="H2">
        <f>LN(F2)</f>
        <v>6.4747077343993489</v>
      </c>
      <c r="I2">
        <f t="shared" ref="I2:I27" si="1">LN(B2)</f>
        <v>8.0292910380195917</v>
      </c>
      <c r="L2" s="1" t="s">
        <v>0</v>
      </c>
      <c r="M2" s="1"/>
      <c r="P2" t="s">
        <v>14</v>
      </c>
      <c r="R2" t="s">
        <v>15</v>
      </c>
    </row>
    <row r="3" spans="1:18" x14ac:dyDescent="0.25">
      <c r="A3">
        <v>1000</v>
      </c>
      <c r="B3">
        <v>2906.9250489999999</v>
      </c>
      <c r="C3">
        <v>-22.471692999999998</v>
      </c>
      <c r="D3" t="s">
        <v>387</v>
      </c>
      <c r="E3">
        <f t="shared" ref="E3:E27" si="2">B3-$P$3</f>
        <v>1428.9250489999999</v>
      </c>
      <c r="F3">
        <f t="shared" si="0"/>
        <v>485.89000899999996</v>
      </c>
      <c r="G3">
        <v>10</v>
      </c>
      <c r="H3">
        <f t="shared" ref="H3:H27" si="3">LN(F3)</f>
        <v>6.1859822793564589</v>
      </c>
      <c r="I3">
        <f t="shared" si="1"/>
        <v>7.974851117288754</v>
      </c>
      <c r="K3" t="s">
        <v>2</v>
      </c>
      <c r="L3">
        <f>1/(0.001)</f>
        <v>1000</v>
      </c>
      <c r="M3" s="3" t="s">
        <v>3</v>
      </c>
      <c r="P3">
        <v>1478</v>
      </c>
      <c r="R3">
        <v>943.03503999999998</v>
      </c>
    </row>
    <row r="4" spans="1:18" x14ac:dyDescent="0.25">
      <c r="A4">
        <v>1000</v>
      </c>
      <c r="B4">
        <v>2806.4638669999999</v>
      </c>
      <c r="C4">
        <v>-22.541592000000001</v>
      </c>
      <c r="D4" t="s">
        <v>388</v>
      </c>
      <c r="E4">
        <f t="shared" si="2"/>
        <v>1328.4638669999999</v>
      </c>
      <c r="F4">
        <f t="shared" si="0"/>
        <v>385.42882699999996</v>
      </c>
      <c r="G4">
        <v>20</v>
      </c>
      <c r="H4">
        <f t="shared" si="3"/>
        <v>5.954356550795934</v>
      </c>
      <c r="I4">
        <f t="shared" si="1"/>
        <v>7.9396805595443407</v>
      </c>
      <c r="L4">
        <f>L3/60</f>
        <v>16.666666666666668</v>
      </c>
      <c r="M4" s="3" t="s">
        <v>4</v>
      </c>
      <c r="N4" s="3"/>
    </row>
    <row r="5" spans="1:18" x14ac:dyDescent="0.25">
      <c r="A5">
        <v>1000</v>
      </c>
      <c r="B5">
        <v>2732.601318</v>
      </c>
      <c r="C5">
        <v>-22.365442000000002</v>
      </c>
      <c r="D5" t="s">
        <v>389</v>
      </c>
      <c r="E5">
        <f t="shared" si="2"/>
        <v>1254.601318</v>
      </c>
      <c r="F5">
        <f t="shared" si="0"/>
        <v>311.56627800000001</v>
      </c>
      <c r="G5">
        <v>30</v>
      </c>
      <c r="H5">
        <f t="shared" si="3"/>
        <v>5.7416120860605719</v>
      </c>
      <c r="I5">
        <f t="shared" si="1"/>
        <v>7.913009298228797</v>
      </c>
      <c r="L5">
        <f>L4/60</f>
        <v>0.27777777777777779</v>
      </c>
      <c r="M5" s="3" t="s">
        <v>5</v>
      </c>
      <c r="N5" s="3"/>
    </row>
    <row r="6" spans="1:18" x14ac:dyDescent="0.25">
      <c r="A6">
        <v>1000</v>
      </c>
      <c r="B6">
        <v>2681.8203130000002</v>
      </c>
      <c r="C6">
        <v>-22.244139000000001</v>
      </c>
      <c r="D6" t="s">
        <v>390</v>
      </c>
      <c r="E6">
        <f t="shared" si="2"/>
        <v>1203.8203130000002</v>
      </c>
      <c r="F6">
        <f t="shared" si="0"/>
        <v>260.78527300000019</v>
      </c>
      <c r="G6">
        <v>40</v>
      </c>
      <c r="H6">
        <f t="shared" si="3"/>
        <v>5.5636973598998072</v>
      </c>
      <c r="I6">
        <f t="shared" si="1"/>
        <v>7.8942510642071912</v>
      </c>
    </row>
    <row r="7" spans="1:18" x14ac:dyDescent="0.25">
      <c r="A7">
        <v>1000</v>
      </c>
      <c r="B7">
        <v>2641.336182</v>
      </c>
      <c r="C7">
        <v>-22.048124000000001</v>
      </c>
      <c r="D7" t="s">
        <v>482</v>
      </c>
      <c r="E7">
        <f t="shared" si="2"/>
        <v>1163.336182</v>
      </c>
      <c r="F7">
        <f t="shared" si="0"/>
        <v>220.30114200000003</v>
      </c>
      <c r="G7">
        <v>50</v>
      </c>
      <c r="H7">
        <f t="shared" si="3"/>
        <v>5.394995437635079</v>
      </c>
      <c r="I7">
        <f t="shared" si="1"/>
        <v>7.8790401976454598</v>
      </c>
    </row>
    <row r="8" spans="1:18" x14ac:dyDescent="0.25">
      <c r="A8">
        <v>1000</v>
      </c>
      <c r="B8">
        <v>2611.453125</v>
      </c>
      <c r="C8">
        <v>-21.913091999999999</v>
      </c>
      <c r="D8" t="s">
        <v>483</v>
      </c>
      <c r="E8">
        <f t="shared" si="2"/>
        <v>1133.453125</v>
      </c>
      <c r="F8">
        <f t="shared" si="0"/>
        <v>190.41808500000002</v>
      </c>
      <c r="G8">
        <v>60</v>
      </c>
      <c r="H8">
        <f t="shared" si="3"/>
        <v>5.2492221020902452</v>
      </c>
      <c r="I8">
        <f t="shared" si="1"/>
        <v>7.8676620982609231</v>
      </c>
    </row>
    <row r="9" spans="1:18" x14ac:dyDescent="0.25">
      <c r="A9">
        <v>1000</v>
      </c>
      <c r="B9">
        <v>2583.5659179999998</v>
      </c>
      <c r="C9">
        <v>-21.697395</v>
      </c>
      <c r="D9" t="s">
        <v>484</v>
      </c>
      <c r="E9">
        <f t="shared" si="2"/>
        <v>1105.5659179999998</v>
      </c>
      <c r="F9">
        <f t="shared" si="0"/>
        <v>162.5308779999998</v>
      </c>
      <c r="G9">
        <v>70</v>
      </c>
      <c r="H9">
        <f t="shared" si="3"/>
        <v>5.090868002180108</v>
      </c>
      <c r="I9">
        <f t="shared" si="1"/>
        <v>7.8569258624007698</v>
      </c>
    </row>
    <row r="10" spans="1:18" x14ac:dyDescent="0.25">
      <c r="A10">
        <v>1000</v>
      </c>
      <c r="B10">
        <v>2562.959961</v>
      </c>
      <c r="C10">
        <v>-21.598493999999999</v>
      </c>
      <c r="D10" t="s">
        <v>394</v>
      </c>
      <c r="E10">
        <f t="shared" si="2"/>
        <v>1084.959961</v>
      </c>
      <c r="F10">
        <f t="shared" si="0"/>
        <v>141.92492100000004</v>
      </c>
      <c r="G10">
        <v>80</v>
      </c>
      <c r="H10">
        <f t="shared" si="3"/>
        <v>4.9552981924246113</v>
      </c>
      <c r="I10">
        <f t="shared" si="1"/>
        <v>7.8489181043146186</v>
      </c>
    </row>
    <row r="11" spans="1:18" x14ac:dyDescent="0.25">
      <c r="A11">
        <v>1000</v>
      </c>
      <c r="B11">
        <v>2543.17749</v>
      </c>
      <c r="C11">
        <v>-21.413162</v>
      </c>
      <c r="D11" t="s">
        <v>395</v>
      </c>
      <c r="E11">
        <f t="shared" si="2"/>
        <v>1065.17749</v>
      </c>
      <c r="F11">
        <f t="shared" si="0"/>
        <v>122.14245000000005</v>
      </c>
      <c r="G11">
        <v>90</v>
      </c>
      <c r="H11">
        <f t="shared" si="3"/>
        <v>4.8051879865425589</v>
      </c>
      <c r="I11">
        <f t="shared" si="1"/>
        <v>7.8411695585036316</v>
      </c>
    </row>
    <row r="12" spans="1:18" x14ac:dyDescent="0.25">
      <c r="A12">
        <v>1000</v>
      </c>
      <c r="B12">
        <v>2526.8208009999998</v>
      </c>
      <c r="C12">
        <v>-21.316748</v>
      </c>
      <c r="D12" t="s">
        <v>396</v>
      </c>
      <c r="E12">
        <f t="shared" si="2"/>
        <v>1048.8208009999998</v>
      </c>
      <c r="F12">
        <f t="shared" si="0"/>
        <v>105.78576099999987</v>
      </c>
      <c r="G12">
        <v>100</v>
      </c>
      <c r="H12">
        <f t="shared" si="3"/>
        <v>4.6614159262459589</v>
      </c>
      <c r="I12">
        <f t="shared" si="1"/>
        <v>7.8347171911419986</v>
      </c>
    </row>
    <row r="13" spans="1:18" x14ac:dyDescent="0.25">
      <c r="A13">
        <v>1000</v>
      </c>
      <c r="B13">
        <v>2513.5913089999999</v>
      </c>
      <c r="C13">
        <v>-21.206195999999998</v>
      </c>
      <c r="D13" t="s">
        <v>485</v>
      </c>
      <c r="E13">
        <f t="shared" si="2"/>
        <v>1035.5913089999999</v>
      </c>
      <c r="F13">
        <f t="shared" si="0"/>
        <v>92.556268999999929</v>
      </c>
      <c r="G13">
        <v>110</v>
      </c>
      <c r="H13">
        <f t="shared" si="3"/>
        <v>4.5278167730842274</v>
      </c>
      <c r="I13">
        <f t="shared" si="1"/>
        <v>7.8294678099046724</v>
      </c>
    </row>
    <row r="14" spans="1:18" x14ac:dyDescent="0.25">
      <c r="A14">
        <v>1000</v>
      </c>
      <c r="B14">
        <v>2499.6408689999998</v>
      </c>
      <c r="C14">
        <v>-21.068114999999999</v>
      </c>
      <c r="D14" t="s">
        <v>398</v>
      </c>
      <c r="E14">
        <f t="shared" si="2"/>
        <v>1021.6408689999998</v>
      </c>
      <c r="F14">
        <f t="shared" si="0"/>
        <v>78.605828999999858</v>
      </c>
      <c r="G14">
        <v>120</v>
      </c>
      <c r="H14">
        <f t="shared" si="3"/>
        <v>4.3644458569907627</v>
      </c>
      <c r="I14">
        <f t="shared" si="1"/>
        <v>7.823902348137298</v>
      </c>
    </row>
    <row r="15" spans="1:18" x14ac:dyDescent="0.25">
      <c r="A15">
        <v>1000</v>
      </c>
      <c r="B15">
        <v>2487.0517580000001</v>
      </c>
      <c r="C15">
        <v>-20.911021999999999</v>
      </c>
      <c r="D15" t="s">
        <v>399</v>
      </c>
      <c r="E15">
        <f t="shared" si="2"/>
        <v>1009.0517580000001</v>
      </c>
      <c r="F15">
        <f t="shared" si="0"/>
        <v>66.016718000000083</v>
      </c>
      <c r="G15">
        <v>130</v>
      </c>
      <c r="H15">
        <f t="shared" si="3"/>
        <v>4.1899080129809336</v>
      </c>
      <c r="I15">
        <f t="shared" si="1"/>
        <v>7.8188532550062311</v>
      </c>
    </row>
    <row r="16" spans="1:18" x14ac:dyDescent="0.25">
      <c r="A16">
        <v>1000</v>
      </c>
      <c r="B16">
        <v>2475.8422850000002</v>
      </c>
      <c r="C16">
        <v>-20.783311999999999</v>
      </c>
      <c r="D16" t="s">
        <v>400</v>
      </c>
      <c r="E16">
        <f t="shared" si="2"/>
        <v>997.84228500000017</v>
      </c>
      <c r="F16">
        <f t="shared" si="0"/>
        <v>54.807245000000194</v>
      </c>
      <c r="G16">
        <v>140</v>
      </c>
      <c r="H16">
        <f t="shared" si="3"/>
        <v>4.0038223932444588</v>
      </c>
      <c r="I16">
        <f t="shared" si="1"/>
        <v>7.8143359342797538</v>
      </c>
    </row>
    <row r="17" spans="1:9" x14ac:dyDescent="0.25">
      <c r="A17">
        <v>1000</v>
      </c>
      <c r="B17">
        <v>2466.2770999999998</v>
      </c>
      <c r="C17">
        <v>-20.722999999999999</v>
      </c>
      <c r="D17" t="s">
        <v>401</v>
      </c>
      <c r="E17">
        <f t="shared" si="2"/>
        <v>988.27709999999979</v>
      </c>
      <c r="F17">
        <f t="shared" si="0"/>
        <v>45.24205999999981</v>
      </c>
      <c r="G17">
        <v>150</v>
      </c>
      <c r="H17">
        <f t="shared" si="3"/>
        <v>3.8120271851360776</v>
      </c>
      <c r="I17">
        <f t="shared" si="1"/>
        <v>7.8104650456190789</v>
      </c>
    </row>
    <row r="18" spans="1:9" x14ac:dyDescent="0.25">
      <c r="A18">
        <v>1000</v>
      </c>
      <c r="B18">
        <v>2453.9433589999999</v>
      </c>
      <c r="C18">
        <v>-20.529513999999999</v>
      </c>
      <c r="D18" t="s">
        <v>402</v>
      </c>
      <c r="E18">
        <f t="shared" si="2"/>
        <v>975.94335899999987</v>
      </c>
      <c r="F18">
        <f t="shared" si="0"/>
        <v>32.908318999999892</v>
      </c>
      <c r="G18">
        <v>160</v>
      </c>
      <c r="H18">
        <f t="shared" si="3"/>
        <v>3.4937254829512008</v>
      </c>
      <c r="I18">
        <f t="shared" si="1"/>
        <v>7.8054515439123895</v>
      </c>
    </row>
    <row r="19" spans="1:9" x14ac:dyDescent="0.25">
      <c r="A19">
        <v>1000</v>
      </c>
      <c r="B19">
        <v>2447.6804200000001</v>
      </c>
      <c r="C19">
        <v>-20.489871999999998</v>
      </c>
      <c r="D19" t="s">
        <v>403</v>
      </c>
      <c r="E19">
        <f t="shared" si="2"/>
        <v>969.68042000000014</v>
      </c>
      <c r="F19">
        <f t="shared" si="0"/>
        <v>26.645380000000159</v>
      </c>
      <c r="G19">
        <v>170</v>
      </c>
      <c r="H19">
        <f t="shared" si="3"/>
        <v>3.2826157772345961</v>
      </c>
      <c r="I19">
        <f t="shared" si="1"/>
        <v>7.8028960877245446</v>
      </c>
    </row>
    <row r="20" spans="1:9" x14ac:dyDescent="0.25">
      <c r="A20">
        <v>1000</v>
      </c>
      <c r="B20">
        <v>2439.2509770000001</v>
      </c>
      <c r="C20">
        <v>-20.417881000000001</v>
      </c>
      <c r="D20" t="s">
        <v>404</v>
      </c>
      <c r="E20">
        <f t="shared" si="2"/>
        <v>961.25097700000015</v>
      </c>
      <c r="F20">
        <f t="shared" si="0"/>
        <v>18.215937000000167</v>
      </c>
      <c r="G20">
        <v>180</v>
      </c>
      <c r="H20">
        <f t="shared" si="3"/>
        <v>2.9022968702574432</v>
      </c>
      <c r="I20">
        <f t="shared" si="1"/>
        <v>7.79944629452093</v>
      </c>
    </row>
    <row r="21" spans="1:9" x14ac:dyDescent="0.25">
      <c r="A21">
        <v>1000</v>
      </c>
      <c r="B21">
        <v>2429.219482</v>
      </c>
      <c r="C21">
        <v>-20.251059999999999</v>
      </c>
      <c r="D21" t="s">
        <v>405</v>
      </c>
      <c r="E21">
        <f t="shared" si="2"/>
        <v>951.21948199999997</v>
      </c>
      <c r="F21">
        <f t="shared" si="0"/>
        <v>8.18444199999999</v>
      </c>
      <c r="G21">
        <v>190</v>
      </c>
      <c r="H21">
        <f t="shared" si="3"/>
        <v>2.1022350350110912</v>
      </c>
      <c r="I21">
        <f t="shared" si="1"/>
        <v>7.795325283915516</v>
      </c>
    </row>
    <row r="22" spans="1:9" x14ac:dyDescent="0.25">
      <c r="A22">
        <v>1000</v>
      </c>
      <c r="B22">
        <v>2422.6635740000002</v>
      </c>
      <c r="C22">
        <v>-20.177883000000001</v>
      </c>
      <c r="D22" t="s">
        <v>486</v>
      </c>
      <c r="E22">
        <f t="shared" si="2"/>
        <v>944.66357400000015</v>
      </c>
      <c r="F22">
        <f t="shared" si="0"/>
        <v>1.6285340000001725</v>
      </c>
      <c r="G22">
        <v>200</v>
      </c>
      <c r="H22">
        <f t="shared" si="3"/>
        <v>0.48768022362500135</v>
      </c>
      <c r="I22">
        <f t="shared" si="1"/>
        <v>7.7926228642923769</v>
      </c>
    </row>
    <row r="23" spans="1:9" x14ac:dyDescent="0.25">
      <c r="A23">
        <v>1000</v>
      </c>
      <c r="B23">
        <v>2420.4589839999999</v>
      </c>
      <c r="C23">
        <v>-20.255281</v>
      </c>
      <c r="D23" t="s">
        <v>407</v>
      </c>
      <c r="E23">
        <f t="shared" si="2"/>
        <v>942.45898399999987</v>
      </c>
      <c r="F23">
        <f t="shared" si="0"/>
        <v>-0.57605600000010782</v>
      </c>
      <c r="G23">
        <v>210</v>
      </c>
      <c r="H23" t="e">
        <f t="shared" si="3"/>
        <v>#NUM!</v>
      </c>
      <c r="I23">
        <f t="shared" si="1"/>
        <v>7.7917124639769328</v>
      </c>
    </row>
    <row r="24" spans="1:9" x14ac:dyDescent="0.25">
      <c r="A24">
        <v>1000</v>
      </c>
      <c r="B24">
        <v>2417.6865229999999</v>
      </c>
      <c r="C24">
        <v>-20.274324</v>
      </c>
      <c r="D24" t="s">
        <v>408</v>
      </c>
      <c r="E24">
        <f t="shared" si="2"/>
        <v>939.68652299999985</v>
      </c>
      <c r="F24">
        <f t="shared" si="0"/>
        <v>-3.348517000000129</v>
      </c>
      <c r="G24">
        <v>220</v>
      </c>
      <c r="H24" t="e">
        <f t="shared" si="3"/>
        <v>#NUM!</v>
      </c>
      <c r="I24">
        <f t="shared" si="1"/>
        <v>7.7905663796768803</v>
      </c>
    </row>
    <row r="25" spans="1:9" x14ac:dyDescent="0.25">
      <c r="A25">
        <v>1000</v>
      </c>
      <c r="B25">
        <v>2416.2658689999998</v>
      </c>
      <c r="C25">
        <v>-20.369129000000001</v>
      </c>
      <c r="D25" t="s">
        <v>409</v>
      </c>
      <c r="E25">
        <f t="shared" si="2"/>
        <v>938.26586899999984</v>
      </c>
      <c r="F25">
        <f t="shared" si="0"/>
        <v>-4.7691710000001422</v>
      </c>
      <c r="G25">
        <v>230</v>
      </c>
      <c r="H25" t="e">
        <f t="shared" si="3"/>
        <v>#NUM!</v>
      </c>
      <c r="I25">
        <f t="shared" si="1"/>
        <v>7.7899785981160798</v>
      </c>
    </row>
    <row r="26" spans="1:9" x14ac:dyDescent="0.25">
      <c r="A26">
        <v>1000</v>
      </c>
      <c r="B26">
        <v>2412.2458499999998</v>
      </c>
      <c r="C26">
        <v>-20.355919</v>
      </c>
      <c r="D26" t="s">
        <v>410</v>
      </c>
      <c r="E26">
        <f t="shared" si="2"/>
        <v>934.24584999999979</v>
      </c>
      <c r="F26">
        <f t="shared" si="0"/>
        <v>-8.7891900000001897</v>
      </c>
      <c r="G26">
        <v>240</v>
      </c>
      <c r="H26" t="e">
        <f t="shared" si="3"/>
        <v>#NUM!</v>
      </c>
      <c r="I26">
        <f t="shared" si="1"/>
        <v>7.788313480513481</v>
      </c>
    </row>
    <row r="27" spans="1:9" x14ac:dyDescent="0.25">
      <c r="A27">
        <v>1000</v>
      </c>
      <c r="B27">
        <v>2409.265625</v>
      </c>
      <c r="C27">
        <v>-20.369429</v>
      </c>
      <c r="D27" t="s">
        <v>487</v>
      </c>
      <c r="E27">
        <f t="shared" si="2"/>
        <v>931.265625</v>
      </c>
      <c r="F27">
        <f t="shared" si="0"/>
        <v>-11.769414999999981</v>
      </c>
      <c r="G27">
        <v>250</v>
      </c>
      <c r="H27" t="e">
        <f t="shared" si="3"/>
        <v>#NUM!</v>
      </c>
      <c r="I27">
        <f t="shared" si="1"/>
        <v>7.7870772601311407</v>
      </c>
    </row>
    <row r="39" spans="18:20" x14ac:dyDescent="0.25">
      <c r="S39">
        <v>-2.18E-2</v>
      </c>
    </row>
    <row r="40" spans="18:20" x14ac:dyDescent="0.25">
      <c r="R40" t="s">
        <v>2</v>
      </c>
      <c r="S40">
        <f>1/ABS(S39)</f>
        <v>45.871559633027523</v>
      </c>
      <c r="T40" s="3" t="s">
        <v>3</v>
      </c>
    </row>
    <row r="41" spans="18:20" x14ac:dyDescent="0.25">
      <c r="S41">
        <f>S40/60</f>
        <v>0.76452599388379205</v>
      </c>
      <c r="T41" s="3" t="s">
        <v>4</v>
      </c>
    </row>
    <row r="42" spans="18:20" x14ac:dyDescent="0.25">
      <c r="S42">
        <f>S41/60</f>
        <v>1.2742099898063202E-2</v>
      </c>
      <c r="T42" s="3" t="s">
        <v>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2"/>
  <sheetViews>
    <sheetView topLeftCell="E29" zoomScaleNormal="100" workbookViewId="0">
      <selection activeCell="T40" sqref="T40"/>
    </sheetView>
  </sheetViews>
  <sheetFormatPr baseColWidth="10" defaultRowHeight="15" x14ac:dyDescent="0.25"/>
  <cols>
    <col min="4" max="4" width="23" bestFit="1" customWidth="1"/>
    <col min="5" max="5" width="13.85546875" bestFit="1" customWidth="1"/>
    <col min="6" max="6" width="27.42578125" bestFit="1" customWidth="1"/>
    <col min="8" max="8" width="16.42578125" bestFit="1" customWidth="1"/>
    <col min="9" max="9" width="14.28515625" bestFit="1" customWidth="1"/>
    <col min="12" max="12" width="9.5703125" bestFit="1" customWidth="1"/>
    <col min="13" max="13" width="9.140625" customWidth="1"/>
    <col min="14" max="14" width="11.5703125" bestFit="1" customWidth="1"/>
    <col min="15" max="15" width="11.7109375" bestFit="1" customWidth="1"/>
    <col min="16" max="16" width="13.85546875" bestFit="1" customWidth="1"/>
    <col min="18" max="18" width="9.42578125" bestFit="1" customWidth="1"/>
  </cols>
  <sheetData>
    <row r="1" spans="1:18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16</v>
      </c>
      <c r="G1" t="s">
        <v>12</v>
      </c>
      <c r="H1" t="s">
        <v>17</v>
      </c>
      <c r="I1" t="s">
        <v>13</v>
      </c>
    </row>
    <row r="2" spans="1:18" x14ac:dyDescent="0.25">
      <c r="A2">
        <v>1000</v>
      </c>
      <c r="B2">
        <v>3234.8811040000001</v>
      </c>
      <c r="C2">
        <v>-17.448256000000001</v>
      </c>
      <c r="D2" t="s">
        <v>385</v>
      </c>
      <c r="E2">
        <f>B2-$P$3</f>
        <v>1750.8811040000001</v>
      </c>
      <c r="F2">
        <f>E2-$R$3</f>
        <v>871.04927400000008</v>
      </c>
      <c r="G2">
        <v>0</v>
      </c>
      <c r="H2">
        <f>LN(F2)</f>
        <v>6.769698547008983</v>
      </c>
      <c r="I2">
        <f>LN(B2)</f>
        <v>8.0817474532456828</v>
      </c>
      <c r="L2" s="1" t="s">
        <v>0</v>
      </c>
      <c r="M2" s="1"/>
      <c r="O2" s="2"/>
      <c r="P2" t="s">
        <v>14</v>
      </c>
      <c r="R2" t="s">
        <v>15</v>
      </c>
    </row>
    <row r="3" spans="1:18" x14ac:dyDescent="0.25">
      <c r="A3">
        <v>1000</v>
      </c>
      <c r="B3">
        <v>2802.2590329999998</v>
      </c>
      <c r="C3">
        <v>-17.199556000000001</v>
      </c>
      <c r="D3" t="s">
        <v>386</v>
      </c>
      <c r="E3">
        <f t="shared" ref="E3:E28" si="0">B3-$P$3</f>
        <v>1318.2590329999998</v>
      </c>
      <c r="F3">
        <f t="shared" ref="F3:F28" si="1">E3-$R$3</f>
        <v>438.42720299999985</v>
      </c>
      <c r="G3">
        <v>10</v>
      </c>
      <c r="H3">
        <f t="shared" ref="H3:H28" si="2">LN(F3)</f>
        <v>6.0831937843474302</v>
      </c>
      <c r="I3">
        <f t="shared" ref="I3:I28" si="3">LN(B3)</f>
        <v>7.9381811683771408</v>
      </c>
      <c r="K3" t="s">
        <v>2</v>
      </c>
      <c r="L3">
        <f>1/(0.0005)</f>
        <v>2000</v>
      </c>
      <c r="M3" s="3" t="s">
        <v>3</v>
      </c>
      <c r="O3" s="2"/>
      <c r="P3">
        <v>1484</v>
      </c>
      <c r="R3">
        <v>879.83182999999997</v>
      </c>
    </row>
    <row r="4" spans="1:18" x14ac:dyDescent="0.25">
      <c r="A4">
        <v>1000</v>
      </c>
      <c r="B4">
        <v>2720.2624510000001</v>
      </c>
      <c r="C4">
        <v>-17.250153999999998</v>
      </c>
      <c r="D4" t="s">
        <v>387</v>
      </c>
      <c r="E4">
        <f t="shared" si="0"/>
        <v>1236.2624510000001</v>
      </c>
      <c r="F4">
        <f t="shared" si="1"/>
        <v>356.43062100000009</v>
      </c>
      <c r="G4">
        <v>20</v>
      </c>
      <c r="H4">
        <f t="shared" si="2"/>
        <v>5.8761396094143743</v>
      </c>
      <c r="I4">
        <f t="shared" si="3"/>
        <v>7.9084836439734811</v>
      </c>
      <c r="L4">
        <f>L3/60</f>
        <v>33.333333333333336</v>
      </c>
      <c r="M4" s="3" t="s">
        <v>4</v>
      </c>
    </row>
    <row r="5" spans="1:18" x14ac:dyDescent="0.25">
      <c r="A5">
        <v>1000</v>
      </c>
      <c r="B5">
        <v>2662.5241700000001</v>
      </c>
      <c r="C5">
        <v>-17.273855000000001</v>
      </c>
      <c r="D5" t="s">
        <v>388</v>
      </c>
      <c r="E5">
        <f t="shared" si="0"/>
        <v>1178.5241700000001</v>
      </c>
      <c r="F5">
        <f t="shared" si="1"/>
        <v>298.69234000000017</v>
      </c>
      <c r="G5">
        <v>30</v>
      </c>
      <c r="H5">
        <f t="shared" si="2"/>
        <v>5.6994140804339164</v>
      </c>
      <c r="I5">
        <f t="shared" si="3"/>
        <v>7.8870298879107485</v>
      </c>
      <c r="L5">
        <f>L4/60</f>
        <v>0.55555555555555558</v>
      </c>
      <c r="M5" s="3" t="s">
        <v>5</v>
      </c>
    </row>
    <row r="6" spans="1:18" x14ac:dyDescent="0.25">
      <c r="A6">
        <v>1000</v>
      </c>
      <c r="B6">
        <v>2618.9663089999999</v>
      </c>
      <c r="C6">
        <v>-17.189734000000001</v>
      </c>
      <c r="D6" t="s">
        <v>389</v>
      </c>
      <c r="E6">
        <f t="shared" si="0"/>
        <v>1134.9663089999999</v>
      </c>
      <c r="F6">
        <f t="shared" si="1"/>
        <v>255.13447899999994</v>
      </c>
      <c r="G6">
        <v>40</v>
      </c>
      <c r="H6">
        <f t="shared" si="2"/>
        <v>5.5417907747759134</v>
      </c>
      <c r="I6">
        <f t="shared" si="3"/>
        <v>7.8705349803547131</v>
      </c>
    </row>
    <row r="7" spans="1:18" x14ac:dyDescent="0.25">
      <c r="A7">
        <v>1000</v>
      </c>
      <c r="B7">
        <v>2581.076172</v>
      </c>
      <c r="C7">
        <v>-17.042721</v>
      </c>
      <c r="D7" t="s">
        <v>390</v>
      </c>
      <c r="E7">
        <f t="shared" si="0"/>
        <v>1097.076172</v>
      </c>
      <c r="F7">
        <f t="shared" si="1"/>
        <v>217.24434200000007</v>
      </c>
      <c r="G7">
        <v>50</v>
      </c>
      <c r="H7">
        <f t="shared" si="2"/>
        <v>5.3810227200779348</v>
      </c>
      <c r="I7">
        <f t="shared" si="3"/>
        <v>7.8559617118751444</v>
      </c>
    </row>
    <row r="8" spans="1:18" x14ac:dyDescent="0.25">
      <c r="A8">
        <v>1000</v>
      </c>
      <c r="B8">
        <v>2556.8078609999998</v>
      </c>
      <c r="C8">
        <v>-16.995785000000001</v>
      </c>
      <c r="D8" t="s">
        <v>391</v>
      </c>
      <c r="E8">
        <f t="shared" si="0"/>
        <v>1072.8078609999998</v>
      </c>
      <c r="F8">
        <f t="shared" si="1"/>
        <v>192.97603099999981</v>
      </c>
      <c r="G8">
        <v>60</v>
      </c>
      <c r="H8">
        <f t="shared" si="2"/>
        <v>5.2625659894826109</v>
      </c>
      <c r="I8">
        <f t="shared" si="3"/>
        <v>7.846514830113537</v>
      </c>
    </row>
    <row r="9" spans="1:18" x14ac:dyDescent="0.25">
      <c r="A9">
        <v>1000</v>
      </c>
      <c r="B9">
        <v>2528.8310550000001</v>
      </c>
      <c r="C9">
        <v>-16.816981999999999</v>
      </c>
      <c r="D9" t="s">
        <v>392</v>
      </c>
      <c r="E9">
        <f t="shared" si="0"/>
        <v>1044.8310550000001</v>
      </c>
      <c r="F9">
        <f t="shared" si="1"/>
        <v>164.99922500000014</v>
      </c>
      <c r="G9">
        <v>70</v>
      </c>
      <c r="H9">
        <f t="shared" si="2"/>
        <v>5.1059407769198533</v>
      </c>
      <c r="I9">
        <f t="shared" si="3"/>
        <v>7.8355124413543171</v>
      </c>
    </row>
    <row r="10" spans="1:18" x14ac:dyDescent="0.25">
      <c r="A10">
        <v>1000</v>
      </c>
      <c r="B10">
        <v>2509.8896479999999</v>
      </c>
      <c r="C10">
        <v>-16.731210999999998</v>
      </c>
      <c r="D10" t="s">
        <v>393</v>
      </c>
      <c r="E10">
        <f t="shared" si="0"/>
        <v>1025.8896479999999</v>
      </c>
      <c r="F10">
        <f t="shared" si="1"/>
        <v>146.05781799999988</v>
      </c>
      <c r="G10">
        <v>80</v>
      </c>
      <c r="H10">
        <f t="shared" si="2"/>
        <v>4.9840025570142368</v>
      </c>
      <c r="I10">
        <f t="shared" si="3"/>
        <v>7.8279940662191043</v>
      </c>
    </row>
    <row r="11" spans="1:18" x14ac:dyDescent="0.25">
      <c r="A11">
        <v>1000</v>
      </c>
      <c r="B11">
        <v>2488.2177729999999</v>
      </c>
      <c r="C11">
        <v>-16.563488</v>
      </c>
      <c r="D11" t="s">
        <v>394</v>
      </c>
      <c r="E11">
        <f t="shared" si="0"/>
        <v>1004.2177729999999</v>
      </c>
      <c r="F11">
        <f t="shared" si="1"/>
        <v>124.38594299999988</v>
      </c>
      <c r="G11">
        <v>90</v>
      </c>
      <c r="H11">
        <f t="shared" si="2"/>
        <v>4.8233891755279963</v>
      </c>
      <c r="I11">
        <f t="shared" si="3"/>
        <v>7.8193219793694366</v>
      </c>
    </row>
    <row r="12" spans="1:18" x14ac:dyDescent="0.25">
      <c r="A12">
        <v>1000</v>
      </c>
      <c r="B12">
        <v>2471.7829590000001</v>
      </c>
      <c r="C12">
        <v>-16.371506</v>
      </c>
      <c r="D12" t="s">
        <v>395</v>
      </c>
      <c r="E12">
        <f t="shared" si="0"/>
        <v>987.78295900000012</v>
      </c>
      <c r="F12">
        <f t="shared" si="1"/>
        <v>107.95112900000015</v>
      </c>
      <c r="G12">
        <v>100</v>
      </c>
      <c r="H12">
        <f t="shared" si="2"/>
        <v>4.6816786154517507</v>
      </c>
      <c r="I12">
        <f t="shared" si="3"/>
        <v>7.8126950149656755</v>
      </c>
    </row>
    <row r="13" spans="1:18" x14ac:dyDescent="0.25">
      <c r="A13">
        <v>1000</v>
      </c>
      <c r="B13">
        <v>2456.9045409999999</v>
      </c>
      <c r="C13">
        <v>-16.317423000000002</v>
      </c>
      <c r="D13" t="s">
        <v>396</v>
      </c>
      <c r="E13">
        <f t="shared" si="0"/>
        <v>972.90454099999988</v>
      </c>
      <c r="F13">
        <f t="shared" si="1"/>
        <v>93.072710999999913</v>
      </c>
      <c r="G13">
        <v>110</v>
      </c>
      <c r="H13">
        <f t="shared" si="2"/>
        <v>4.5333810263862606</v>
      </c>
      <c r="I13">
        <f t="shared" si="3"/>
        <v>7.8066575199145749</v>
      </c>
    </row>
    <row r="14" spans="1:18" x14ac:dyDescent="0.25">
      <c r="A14">
        <v>1000</v>
      </c>
      <c r="B14">
        <v>2445.9833979999999</v>
      </c>
      <c r="C14">
        <v>-16.228618999999998</v>
      </c>
      <c r="D14" t="s">
        <v>397</v>
      </c>
      <c r="E14">
        <f t="shared" si="0"/>
        <v>961.98339799999985</v>
      </c>
      <c r="F14">
        <f t="shared" si="1"/>
        <v>82.151567999999884</v>
      </c>
      <c r="G14">
        <v>120</v>
      </c>
      <c r="H14">
        <f t="shared" si="2"/>
        <v>4.40856593133703</v>
      </c>
      <c r="I14">
        <f t="shared" si="3"/>
        <v>7.8022025288160703</v>
      </c>
    </row>
    <row r="15" spans="1:18" x14ac:dyDescent="0.25">
      <c r="A15">
        <v>1000</v>
      </c>
      <c r="B15">
        <v>2433.6984859999998</v>
      </c>
      <c r="C15">
        <v>-16.017441000000002</v>
      </c>
      <c r="D15" t="s">
        <v>398</v>
      </c>
      <c r="E15">
        <f t="shared" si="0"/>
        <v>949.69848599999978</v>
      </c>
      <c r="F15">
        <f t="shared" si="1"/>
        <v>69.866655999999807</v>
      </c>
      <c r="G15">
        <v>130</v>
      </c>
      <c r="H15">
        <f t="shared" si="2"/>
        <v>4.2465885111070074</v>
      </c>
      <c r="I15">
        <f t="shared" si="3"/>
        <v>7.797167389949812</v>
      </c>
    </row>
    <row r="16" spans="1:18" x14ac:dyDescent="0.25">
      <c r="A16">
        <v>1000</v>
      </c>
      <c r="B16">
        <v>2424.392578</v>
      </c>
      <c r="C16">
        <v>-15.973345999999999</v>
      </c>
      <c r="D16" t="s">
        <v>399</v>
      </c>
      <c r="E16">
        <f t="shared" si="0"/>
        <v>940.39257799999996</v>
      </c>
      <c r="F16">
        <f t="shared" si="1"/>
        <v>60.56074799999999</v>
      </c>
      <c r="G16">
        <v>140</v>
      </c>
      <c r="H16">
        <f t="shared" si="2"/>
        <v>4.1036469604399697</v>
      </c>
      <c r="I16">
        <f t="shared" si="3"/>
        <v>7.793336288696433</v>
      </c>
    </row>
    <row r="17" spans="1:9" x14ac:dyDescent="0.25">
      <c r="A17">
        <v>1000</v>
      </c>
      <c r="B17">
        <v>2411.3459469999998</v>
      </c>
      <c r="C17">
        <v>-15.820226999999999</v>
      </c>
      <c r="D17" t="s">
        <v>400</v>
      </c>
      <c r="E17">
        <f t="shared" si="0"/>
        <v>927.3459469999998</v>
      </c>
      <c r="F17">
        <f t="shared" si="1"/>
        <v>47.514116999999828</v>
      </c>
      <c r="G17">
        <v>150</v>
      </c>
      <c r="H17">
        <f t="shared" si="2"/>
        <v>3.8610268668854202</v>
      </c>
      <c r="I17">
        <f t="shared" si="3"/>
        <v>7.787940354822787</v>
      </c>
    </row>
    <row r="18" spans="1:9" x14ac:dyDescent="0.25">
      <c r="A18">
        <v>1000</v>
      </c>
      <c r="B18">
        <v>2406.329346</v>
      </c>
      <c r="C18">
        <v>-15.806307</v>
      </c>
      <c r="D18" t="s">
        <v>401</v>
      </c>
      <c r="E18">
        <f t="shared" si="0"/>
        <v>922.32934599999999</v>
      </c>
      <c r="F18">
        <f t="shared" si="1"/>
        <v>42.497516000000019</v>
      </c>
      <c r="G18">
        <v>160</v>
      </c>
      <c r="H18">
        <f t="shared" si="2"/>
        <v>3.749445627163452</v>
      </c>
      <c r="I18">
        <f t="shared" si="3"/>
        <v>7.785857772453471</v>
      </c>
    </row>
    <row r="19" spans="1:9" x14ac:dyDescent="0.25">
      <c r="A19">
        <v>1000</v>
      </c>
      <c r="B19">
        <v>2396.1403810000002</v>
      </c>
      <c r="C19">
        <v>-15.658993000000001</v>
      </c>
      <c r="D19" t="s">
        <v>402</v>
      </c>
      <c r="E19">
        <f t="shared" si="0"/>
        <v>912.14038100000016</v>
      </c>
      <c r="F19">
        <f t="shared" si="1"/>
        <v>32.308551000000193</v>
      </c>
      <c r="G19">
        <v>170</v>
      </c>
      <c r="H19">
        <f t="shared" si="2"/>
        <v>3.4753319320341078</v>
      </c>
      <c r="I19">
        <f t="shared" si="3"/>
        <v>7.7816145472519169</v>
      </c>
    </row>
    <row r="20" spans="1:9" x14ac:dyDescent="0.25">
      <c r="A20">
        <v>1000</v>
      </c>
      <c r="B20">
        <v>2387.6301269999999</v>
      </c>
      <c r="C20">
        <v>-15.524096</v>
      </c>
      <c r="D20" t="s">
        <v>403</v>
      </c>
      <c r="E20">
        <f t="shared" si="0"/>
        <v>903.6301269999999</v>
      </c>
      <c r="F20">
        <f t="shared" si="1"/>
        <v>23.798296999999934</v>
      </c>
      <c r="G20">
        <v>180</v>
      </c>
      <c r="H20">
        <f t="shared" si="2"/>
        <v>3.1696140234954235</v>
      </c>
      <c r="I20">
        <f t="shared" si="3"/>
        <v>7.7780565743251229</v>
      </c>
    </row>
    <row r="21" spans="1:9" x14ac:dyDescent="0.25">
      <c r="A21">
        <v>1000</v>
      </c>
      <c r="B21">
        <v>2380.2714839999999</v>
      </c>
      <c r="C21">
        <v>-15.485137</v>
      </c>
      <c r="D21" t="s">
        <v>404</v>
      </c>
      <c r="E21">
        <f t="shared" si="0"/>
        <v>896.27148399999987</v>
      </c>
      <c r="F21">
        <f t="shared" si="1"/>
        <v>16.439653999999905</v>
      </c>
      <c r="G21">
        <v>190</v>
      </c>
      <c r="H21">
        <f t="shared" si="2"/>
        <v>2.7996963431778426</v>
      </c>
      <c r="I21">
        <f t="shared" si="3"/>
        <v>7.7749698290677198</v>
      </c>
    </row>
    <row r="22" spans="1:9" x14ac:dyDescent="0.25">
      <c r="A22">
        <v>1000</v>
      </c>
      <c r="B22">
        <v>2373.3222660000001</v>
      </c>
      <c r="C22">
        <v>-15.388434999999999</v>
      </c>
      <c r="D22" t="s">
        <v>405</v>
      </c>
      <c r="E22">
        <f t="shared" si="0"/>
        <v>889.32226600000013</v>
      </c>
      <c r="F22">
        <f t="shared" si="1"/>
        <v>9.4904360000001589</v>
      </c>
      <c r="G22">
        <v>200</v>
      </c>
      <c r="H22">
        <f t="shared" si="2"/>
        <v>2.2502845546644994</v>
      </c>
      <c r="I22">
        <f t="shared" si="3"/>
        <v>7.7720460525247921</v>
      </c>
    </row>
    <row r="23" spans="1:9" x14ac:dyDescent="0.25">
      <c r="A23">
        <v>1000</v>
      </c>
      <c r="B23">
        <v>2366.8039549999999</v>
      </c>
      <c r="C23">
        <v>-15.314178</v>
      </c>
      <c r="D23" t="s">
        <v>406</v>
      </c>
      <c r="E23">
        <f t="shared" si="0"/>
        <v>882.80395499999986</v>
      </c>
      <c r="F23">
        <f t="shared" si="1"/>
        <v>2.9721249999998918</v>
      </c>
      <c r="G23">
        <v>210</v>
      </c>
      <c r="H23">
        <f t="shared" si="2"/>
        <v>1.0892771851903931</v>
      </c>
      <c r="I23">
        <f t="shared" si="3"/>
        <v>7.7692957818337609</v>
      </c>
    </row>
    <row r="24" spans="1:9" x14ac:dyDescent="0.25">
      <c r="A24">
        <v>1000</v>
      </c>
      <c r="B24">
        <v>2361.0668949999999</v>
      </c>
      <c r="C24">
        <v>-15.241777000000001</v>
      </c>
      <c r="D24" t="s">
        <v>407</v>
      </c>
      <c r="E24">
        <f t="shared" si="0"/>
        <v>877.06689499999993</v>
      </c>
      <c r="F24">
        <f t="shared" si="1"/>
        <v>-2.7649350000000368</v>
      </c>
      <c r="G24">
        <v>220</v>
      </c>
      <c r="H24" t="e">
        <f t="shared" si="2"/>
        <v>#NUM!</v>
      </c>
      <c r="I24">
        <f t="shared" si="3"/>
        <v>7.7668688700174648</v>
      </c>
    </row>
    <row r="25" spans="1:9" x14ac:dyDescent="0.25">
      <c r="A25">
        <v>1000</v>
      </c>
      <c r="B25">
        <v>2357.1215820000002</v>
      </c>
      <c r="C25">
        <v>-15.17812</v>
      </c>
      <c r="D25" t="s">
        <v>408</v>
      </c>
      <c r="E25">
        <f t="shared" si="0"/>
        <v>873.12158200000022</v>
      </c>
      <c r="F25">
        <f t="shared" si="1"/>
        <v>-6.7102479999997513</v>
      </c>
      <c r="G25">
        <v>230</v>
      </c>
      <c r="H25" t="e">
        <f t="shared" si="2"/>
        <v>#NUM!</v>
      </c>
      <c r="I25">
        <f t="shared" si="3"/>
        <v>7.7651964849744441</v>
      </c>
    </row>
    <row r="26" spans="1:9" x14ac:dyDescent="0.25">
      <c r="A26">
        <v>1000</v>
      </c>
      <c r="B26">
        <v>2351.02124</v>
      </c>
      <c r="C26">
        <v>-15.065640999999999</v>
      </c>
      <c r="D26" t="s">
        <v>409</v>
      </c>
      <c r="E26">
        <f t="shared" si="0"/>
        <v>867.02124000000003</v>
      </c>
      <c r="F26">
        <f t="shared" si="1"/>
        <v>-12.810589999999934</v>
      </c>
      <c r="G26">
        <v>240</v>
      </c>
      <c r="H26" t="e">
        <f t="shared" si="2"/>
        <v>#NUM!</v>
      </c>
      <c r="I26">
        <f t="shared" si="3"/>
        <v>7.7626050829526836</v>
      </c>
    </row>
    <row r="27" spans="1:9" x14ac:dyDescent="0.25">
      <c r="A27">
        <v>1000</v>
      </c>
      <c r="B27">
        <v>2347.3154300000001</v>
      </c>
      <c r="C27">
        <v>-15.033334999999999</v>
      </c>
      <c r="D27" t="s">
        <v>410</v>
      </c>
      <c r="E27">
        <f t="shared" si="0"/>
        <v>863.31543000000011</v>
      </c>
      <c r="F27">
        <f t="shared" si="1"/>
        <v>-16.516399999999862</v>
      </c>
      <c r="G27">
        <v>250</v>
      </c>
      <c r="H27" t="e">
        <f t="shared" si="2"/>
        <v>#NUM!</v>
      </c>
      <c r="I27">
        <f t="shared" si="3"/>
        <v>7.7610275839232266</v>
      </c>
    </row>
    <row r="28" spans="1:9" x14ac:dyDescent="0.25">
      <c r="A28">
        <v>1000</v>
      </c>
      <c r="B28">
        <v>2341.2370609999998</v>
      </c>
      <c r="C28">
        <v>-14.930567</v>
      </c>
      <c r="D28" t="s">
        <v>411</v>
      </c>
      <c r="E28">
        <f t="shared" si="0"/>
        <v>857.23706099999981</v>
      </c>
      <c r="F28">
        <f t="shared" si="1"/>
        <v>-22.594769000000156</v>
      </c>
      <c r="G28">
        <v>260</v>
      </c>
      <c r="H28" t="e">
        <f t="shared" si="2"/>
        <v>#NUM!</v>
      </c>
      <c r="I28">
        <f t="shared" si="3"/>
        <v>7.7584347272080558</v>
      </c>
    </row>
    <row r="39" spans="19:21" x14ac:dyDescent="0.25">
      <c r="T39">
        <v>-1.9900000000000001E-2</v>
      </c>
    </row>
    <row r="40" spans="19:21" x14ac:dyDescent="0.25">
      <c r="S40" t="s">
        <v>2</v>
      </c>
      <c r="T40">
        <f>1/ABS(T39)</f>
        <v>50.251256281407031</v>
      </c>
      <c r="U40" s="3" t="s">
        <v>3</v>
      </c>
    </row>
    <row r="41" spans="19:21" x14ac:dyDescent="0.25">
      <c r="T41">
        <f>T40/60</f>
        <v>0.83752093802345051</v>
      </c>
      <c r="U41" s="3" t="s">
        <v>4</v>
      </c>
    </row>
    <row r="42" spans="19:21" x14ac:dyDescent="0.25">
      <c r="T42">
        <f>T41/60</f>
        <v>1.3958682300390842E-2</v>
      </c>
      <c r="U42" s="3" t="s">
        <v>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selection activeCell="G4" sqref="G4"/>
    </sheetView>
  </sheetViews>
  <sheetFormatPr baseColWidth="10" defaultRowHeight="15" x14ac:dyDescent="0.25"/>
  <cols>
    <col min="2" max="2" width="12.140625" bestFit="1" customWidth="1"/>
    <col min="3" max="3" width="14.28515625" bestFit="1" customWidth="1"/>
    <col min="4" max="4" width="12.85546875" bestFit="1" customWidth="1"/>
    <col min="5" max="5" width="15" bestFit="1" customWidth="1"/>
    <col min="6" max="6" width="12.42578125" bestFit="1" customWidth="1"/>
    <col min="7" max="7" width="14.5703125" bestFit="1" customWidth="1"/>
  </cols>
  <sheetData>
    <row r="1" spans="1:8" x14ac:dyDescent="0.25">
      <c r="A1" t="s">
        <v>20</v>
      </c>
    </row>
    <row r="2" spans="1:8" x14ac:dyDescent="0.25">
      <c r="B2" t="s">
        <v>18</v>
      </c>
      <c r="C2" t="s">
        <v>19</v>
      </c>
      <c r="D2" t="s">
        <v>24</v>
      </c>
      <c r="E2" t="s">
        <v>23</v>
      </c>
      <c r="F2" t="s">
        <v>22</v>
      </c>
      <c r="G2" t="s">
        <v>21</v>
      </c>
    </row>
    <row r="3" spans="1:8" x14ac:dyDescent="0.25">
      <c r="A3" t="s">
        <v>25</v>
      </c>
      <c r="B3" s="5">
        <f>Cu_1stPhase!S41</f>
        <v>-1.6999999999999999E-3</v>
      </c>
      <c r="C3" s="3">
        <f>PANI_1stPhase!T40</f>
        <v>-4.0000000000000001E-3</v>
      </c>
      <c r="D3" s="5">
        <f>Cu_2ndPhase!S39</f>
        <v>-2.8999999999999998E-3</v>
      </c>
      <c r="E3" s="3">
        <f>PANI_2ndPhase!T40</f>
        <v>-1.2699999999999999E-2</v>
      </c>
      <c r="F3" s="3">
        <f>Cu_3rdPhase!S39</f>
        <v>-2.18E-2</v>
      </c>
      <c r="G3" s="3">
        <f>PANI_3rdPhase!T39</f>
        <v>-1.9900000000000001E-2</v>
      </c>
    </row>
    <row r="4" spans="1:8" x14ac:dyDescent="0.25">
      <c r="A4" t="s">
        <v>26</v>
      </c>
      <c r="B4" s="5">
        <f>Cu_1stPhase!S42</f>
        <v>588.23529411764707</v>
      </c>
      <c r="C4" s="3">
        <f>PANI_1stPhase!T41</f>
        <v>250</v>
      </c>
      <c r="D4" s="5">
        <f>Cu_2ndPhase!S40</f>
        <v>344.82758620689657</v>
      </c>
      <c r="E4" s="3">
        <f>PANI_2ndPhase!T41</f>
        <v>78.740157480314963</v>
      </c>
      <c r="F4" s="3">
        <f>Cu_3rdPhase!S40</f>
        <v>45.871559633027523</v>
      </c>
      <c r="G4" s="3">
        <f>PANI_3rdPhase!T40</f>
        <v>50.251256281407031</v>
      </c>
      <c r="H4" s="3" t="s">
        <v>3</v>
      </c>
    </row>
    <row r="5" spans="1:8" x14ac:dyDescent="0.25">
      <c r="B5" s="3"/>
      <c r="C5" s="3"/>
      <c r="D5" s="3"/>
      <c r="E5" s="3"/>
      <c r="F5" s="3"/>
      <c r="G5" s="3"/>
    </row>
    <row r="6" spans="1:8" x14ac:dyDescent="0.25">
      <c r="B6" s="3"/>
      <c r="C6" s="3"/>
      <c r="D6" s="3"/>
      <c r="E6" s="3"/>
      <c r="F6" s="3"/>
      <c r="G6" s="3"/>
    </row>
    <row r="7" spans="1:8" x14ac:dyDescent="0.25">
      <c r="B7" s="3"/>
      <c r="C7" s="3"/>
      <c r="D7" s="3"/>
      <c r="E7" s="3"/>
      <c r="F7" s="3"/>
      <c r="G7" s="3"/>
    </row>
    <row r="8" spans="1:8" x14ac:dyDescent="0.25">
      <c r="B8" s="3"/>
      <c r="C8" s="3"/>
      <c r="D8" s="3"/>
      <c r="E8" s="3"/>
      <c r="F8" s="3"/>
      <c r="G8" s="3"/>
    </row>
    <row r="9" spans="1:8" x14ac:dyDescent="0.25">
      <c r="B9" s="3"/>
      <c r="C9" s="3"/>
      <c r="D9" s="3"/>
      <c r="E9" s="3"/>
      <c r="F9" s="3"/>
      <c r="G9" s="3"/>
    </row>
    <row r="10" spans="1:8" x14ac:dyDescent="0.25">
      <c r="B10" s="3"/>
      <c r="C10" s="3"/>
      <c r="D10" s="3"/>
      <c r="E10" s="3"/>
      <c r="F10" s="3"/>
      <c r="G10" s="3"/>
    </row>
    <row r="11" spans="1:8" x14ac:dyDescent="0.25">
      <c r="B11" s="3"/>
      <c r="C11" s="3"/>
      <c r="D11" s="3"/>
      <c r="E11" s="3"/>
      <c r="F11" s="3"/>
      <c r="G1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Cu_1stPhase</vt:lpstr>
      <vt:lpstr>PANI_1stPhase</vt:lpstr>
      <vt:lpstr>Cu_2ndPhase</vt:lpstr>
      <vt:lpstr>PANI_2ndPhase</vt:lpstr>
      <vt:lpstr>Cu_3rdPhase</vt:lpstr>
      <vt:lpstr>PANI_3rdPhase</vt:lpstr>
      <vt:lpstr>Summary</vt:lpstr>
    </vt:vector>
  </TitlesOfParts>
  <Company>HEFR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Enrile Andrea</dc:creator>
  <cp:lastModifiedBy>Enrile Andrea</cp:lastModifiedBy>
  <dcterms:created xsi:type="dcterms:W3CDTF">2021-11-26T08:02:26Z</dcterms:created>
  <dcterms:modified xsi:type="dcterms:W3CDTF">2021-11-29T12:26:12Z</dcterms:modified>
</cp:coreProperties>
</file>