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8_batch\"/>
    </mc:Choice>
  </mc:AlternateContent>
  <bookViews>
    <workbookView xWindow="0" yWindow="0" windowWidth="25200" windowHeight="11250" activeTab="4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2" i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J3" i="5" l="1"/>
  <c r="J3" i="4"/>
  <c r="K3" i="2"/>
  <c r="K3" i="7"/>
  <c r="K3" i="6"/>
  <c r="K3" i="1"/>
  <c r="J3" i="1"/>
  <c r="J3" i="2"/>
  <c r="J3" i="7"/>
  <c r="G126" i="7"/>
  <c r="G127" i="7"/>
  <c r="G128" i="7"/>
  <c r="G129" i="7"/>
  <c r="G130" i="7"/>
  <c r="G131" i="7"/>
  <c r="G132" i="7"/>
  <c r="G133" i="7"/>
  <c r="G134" i="7"/>
  <c r="G135" i="7"/>
  <c r="J3" i="6"/>
  <c r="J4" i="5" l="1"/>
  <c r="J5" i="5" s="1"/>
  <c r="J4" i="4"/>
  <c r="J5" i="4" s="1"/>
  <c r="K4" i="2"/>
  <c r="K5" i="2" s="1"/>
  <c r="J4" i="2"/>
  <c r="J5" i="2" s="1"/>
  <c r="K4" i="1"/>
  <c r="K5" i="1" s="1"/>
  <c r="J4" i="1"/>
  <c r="J5" i="1" s="1"/>
  <c r="K4" i="7"/>
  <c r="K5" i="7" s="1"/>
  <c r="J4" i="7"/>
  <c r="J5" i="7" s="1"/>
  <c r="K4" i="6"/>
  <c r="K5" i="6" s="1"/>
  <c r="J4" i="6"/>
  <c r="J5" i="6" s="1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93" i="1" l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94" i="1"/>
</calcChain>
</file>

<file path=xl/sharedStrings.xml><?xml version="1.0" encoding="utf-8"?>
<sst xmlns="http://schemas.openxmlformats.org/spreadsheetml/2006/main" count="774" uniqueCount="476">
  <si>
    <t>All values</t>
  </si>
  <si>
    <t>Tau:</t>
  </si>
  <si>
    <t>Tue Nov 23 16:10:44 2021</t>
  </si>
  <si>
    <t>s</t>
  </si>
  <si>
    <t>min</t>
  </si>
  <si>
    <t>h</t>
  </si>
  <si>
    <t>Tue Nov 23 14:44:34 2021</t>
  </si>
  <si>
    <t>Tue Nov 23 14:44:44 2021</t>
  </si>
  <si>
    <t>Tue Nov 23 14:44:54 2021</t>
  </si>
  <si>
    <t>Tue Nov 23 14:45:04 2021</t>
  </si>
  <si>
    <t>Tue Nov 23 14:45:14 2021</t>
  </si>
  <si>
    <t>Tue Nov 23 14:45:24 2021</t>
  </si>
  <si>
    <t>Tue Nov 23 14:45:34 2021</t>
  </si>
  <si>
    <t>Tue Nov 23 14:45:44 2021</t>
  </si>
  <si>
    <t>Tue Nov 23 14:45:54 2021</t>
  </si>
  <si>
    <t>Tue Nov 23 14:46:04 2021</t>
  </si>
  <si>
    <t>Tue Nov 23 14:46:14 2021</t>
  </si>
  <si>
    <t>Tue Nov 23 14:46:25 2021</t>
  </si>
  <si>
    <t>Tue Nov 23 14:46:35 2021</t>
  </si>
  <si>
    <t>Tue Nov 23 14:46:44 2021</t>
  </si>
  <si>
    <t>Tue Nov 23 14:46:54 2021</t>
  </si>
  <si>
    <t>Tue Nov 23 14:47:04 2021</t>
  </si>
  <si>
    <t>Tue Nov 23 14:47:15 2021</t>
  </si>
  <si>
    <t>Tue Nov 23 14:47:25 2021</t>
  </si>
  <si>
    <t>Tue Nov 23 14:47:35 2021</t>
  </si>
  <si>
    <t>Tue Nov 23 14:47:45 2021</t>
  </si>
  <si>
    <t>Tue Nov 23 14:47:55 2021</t>
  </si>
  <si>
    <t>Tue Nov 23 14:48:05 2021</t>
  </si>
  <si>
    <t>Tue Nov 23 14:48:15 2021</t>
  </si>
  <si>
    <t>Tue Nov 23 14:48:25 2021</t>
  </si>
  <si>
    <t>Tue Nov 23 14:48:34 2021</t>
  </si>
  <si>
    <t>Tue Nov 23 14:48:45 2021</t>
  </si>
  <si>
    <t>Tue Nov 23 14:48:55 2021</t>
  </si>
  <si>
    <t>Tue Nov 23 14:49:05 2021</t>
  </si>
  <si>
    <t>Tue Nov 23 14:49:15 2021</t>
  </si>
  <si>
    <t>Tue Nov 23 14:49:25 2021</t>
  </si>
  <si>
    <t>Tue Nov 23 14:49:34 2021</t>
  </si>
  <si>
    <t>Tue Nov 23 14:49:45 2021</t>
  </si>
  <si>
    <t>Tue Nov 23 14:49:55 2021</t>
  </si>
  <si>
    <t>Tue Nov 23 14:50:05 2021</t>
  </si>
  <si>
    <t>Tue Nov 23 14:50:15 2021</t>
  </si>
  <si>
    <t>Tue Nov 23 14:50:25 2021</t>
  </si>
  <si>
    <t>Tue Nov 23 14:50:35 2021</t>
  </si>
  <si>
    <t>Tue Nov 23 14:50:45 2021</t>
  </si>
  <si>
    <t>Tue Nov 23 14:50:55 2021</t>
  </si>
  <si>
    <t>Tue Nov 23 14:51:05 2021</t>
  </si>
  <si>
    <t>Tue Nov 23 14:51:15 2021</t>
  </si>
  <si>
    <t>Tue Nov 23 14:51:26 2021</t>
  </si>
  <si>
    <t>Tue Nov 23 14:51:35 2021</t>
  </si>
  <si>
    <t>Tue Nov 23 14:51:45 2021</t>
  </si>
  <si>
    <t>Tue Nov 23 14:51:55 2021</t>
  </si>
  <si>
    <t>Tue Nov 23 14:52:05 2021</t>
  </si>
  <si>
    <t>Tue Nov 23 14:52:15 2021</t>
  </si>
  <si>
    <t>Tue Nov 23 14:52:25 2021</t>
  </si>
  <si>
    <t>Tue Nov 23 14:52:35 2021</t>
  </si>
  <si>
    <t>Tue Nov 23 14:52:45 2021</t>
  </si>
  <si>
    <t>Tue Nov 23 14:52:55 2021</t>
  </si>
  <si>
    <t>Tue Nov 23 14:53:05 2021</t>
  </si>
  <si>
    <t>Tue Nov 23 14:53:15 2021</t>
  </si>
  <si>
    <t>Tue Nov 23 14:53:25 2021</t>
  </si>
  <si>
    <t>Tue Nov 23 14:53:36 2021</t>
  </si>
  <si>
    <t>Tue Nov 23 14:53:46 2021</t>
  </si>
  <si>
    <t>Tue Nov 23 14:53:55 2021</t>
  </si>
  <si>
    <t>Tue Nov 23 14:54:05 2021</t>
  </si>
  <si>
    <t>Tue Nov 23 14:54:16 2021</t>
  </si>
  <si>
    <t>Tue Nov 23 14:54:26 2021</t>
  </si>
  <si>
    <t>Tue Nov 23 14:54:35 2021</t>
  </si>
  <si>
    <t>Tue Nov 23 14:54:45 2021</t>
  </si>
  <si>
    <t>Tue Nov 23 14:54:56 2021</t>
  </si>
  <si>
    <t>Tue Nov 23 14:55:05 2021</t>
  </si>
  <si>
    <t>Tue Nov 23 14:55:15 2021</t>
  </si>
  <si>
    <t>Tue Nov 23 14:55:26 2021</t>
  </si>
  <si>
    <t>Tue Nov 23 14:55:35 2021</t>
  </si>
  <si>
    <t>Tue Nov 23 14:55:46 2021</t>
  </si>
  <si>
    <t>Tue Nov 23 14:55:56 2021</t>
  </si>
  <si>
    <t>Tue Nov 23 14:56:06 2021</t>
  </si>
  <si>
    <t>Tue Nov 23 14:56:16 2021</t>
  </si>
  <si>
    <t>Tue Nov 23 14:56:26 2021</t>
  </si>
  <si>
    <t>Tue Nov 23 14:56:36 2021</t>
  </si>
  <si>
    <t>Tue Nov 23 14:56:46 2021</t>
  </si>
  <si>
    <t>Tue Nov 23 14:56:56 2021</t>
  </si>
  <si>
    <t>Tue Nov 23 14:57:06 2021</t>
  </si>
  <si>
    <t>Tue Nov 23 14:57:16 2021</t>
  </si>
  <si>
    <t>Tue Nov 23 14:57:27 2021</t>
  </si>
  <si>
    <t>Tue Nov 23 14:57:36 2021</t>
  </si>
  <si>
    <t>Tue Nov 23 14:57:46 2021</t>
  </si>
  <si>
    <t>Tue Nov 23 14:57:56 2021</t>
  </si>
  <si>
    <t>Tue Nov 23 14:58:06 2021</t>
  </si>
  <si>
    <t>Tue Nov 23 14:58:16 2021</t>
  </si>
  <si>
    <t>Tue Nov 23 14:58:26 2021</t>
  </si>
  <si>
    <t>Tue Nov 23 14:58:36 2021</t>
  </si>
  <si>
    <t>Tue Nov 23 14:58:46 2021</t>
  </si>
  <si>
    <t>Tue Nov 23 14:58:56 2021</t>
  </si>
  <si>
    <t>Tue Nov 23 14:59:06 2021</t>
  </si>
  <si>
    <t>Tue Nov 23 14:59:16 2021</t>
  </si>
  <si>
    <t>Tue Nov 23 14:59:26 2021</t>
  </si>
  <si>
    <t>Tue Nov 23 14:59:36 2021</t>
  </si>
  <si>
    <t>Tue Nov 23 14:59:46 2021</t>
  </si>
  <si>
    <t>Tue Nov 23 14:59:56 2021</t>
  </si>
  <si>
    <t>Tue Nov 23 15:00:06 2021</t>
  </si>
  <si>
    <t>Tue Nov 23 15:00:17 2021</t>
  </si>
  <si>
    <t>Tue Nov 23 15:00:27 2021</t>
  </si>
  <si>
    <t>Tue Nov 23 15:00:37 2021</t>
  </si>
  <si>
    <t>Tue Nov 23 15:00:46 2021</t>
  </si>
  <si>
    <t>Tue Nov 23 15:00:57 2021</t>
  </si>
  <si>
    <t>Tue Nov 23 15:01:06 2021</t>
  </si>
  <si>
    <t>Tue Nov 23 15:01:16 2021</t>
  </si>
  <si>
    <t>Tue Nov 23 15:01:27 2021</t>
  </si>
  <si>
    <t>Tue Nov 23 15:01:36 2021</t>
  </si>
  <si>
    <t>Tue Nov 23 15:01:47 2021</t>
  </si>
  <si>
    <t>Tue Nov 23 15:01:57 2021</t>
  </si>
  <si>
    <t>Tue Nov 23 15:02:06 2021</t>
  </si>
  <si>
    <t>Tue Nov 23 15:02:17 2021</t>
  </si>
  <si>
    <t>Tue Nov 23 15:02:27 2021</t>
  </si>
  <si>
    <t>Tue Nov 23 15:02:37 2021</t>
  </si>
  <si>
    <t>Tue Nov 23 15:02:47 2021</t>
  </si>
  <si>
    <t>Tue Nov 23 15:02:56 2021</t>
  </si>
  <si>
    <t>Tue Nov 23 15:03:07 2021</t>
  </si>
  <si>
    <t>Tue Nov 23 15:03:17 2021</t>
  </si>
  <si>
    <t>Tue Nov 23 15:03:27 2021</t>
  </si>
  <si>
    <t>Tue Nov 23 15:03:37 2021</t>
  </si>
  <si>
    <t>Tue Nov 23 15:03:47 2021</t>
  </si>
  <si>
    <t>Tue Nov 23 15:03:57 2021</t>
  </si>
  <si>
    <t>Tue Nov 23 14:41:34 2021</t>
  </si>
  <si>
    <t>Tue Nov 23 14:41:44 2021</t>
  </si>
  <si>
    <t>Tue Nov 23 14:41:54 2021</t>
  </si>
  <si>
    <t>Tue Nov 23 14:42:03 2021</t>
  </si>
  <si>
    <t>Tue Nov 23 14:42:14 2021</t>
  </si>
  <si>
    <t>Tue Nov 23 14:42:24 2021</t>
  </si>
  <si>
    <t>Tue Nov 23 14:42:34 2021</t>
  </si>
  <si>
    <t>Tue Nov 23 14:42:44 2021</t>
  </si>
  <si>
    <t>Tue Nov 23 14:42:54 2021</t>
  </si>
  <si>
    <t>Tue Nov 23 14:43:04 2021</t>
  </si>
  <si>
    <t>Tue Nov 23 14:43:14 2021</t>
  </si>
  <si>
    <t>Tue Nov 23 14:43:24 2021</t>
  </si>
  <si>
    <t>Tue Nov 23 14:43:34 2021</t>
  </si>
  <si>
    <t>Tue Nov 23 14:43:44 2021</t>
  </si>
  <si>
    <t>Tue Nov 23 14:43:54 2021</t>
  </si>
  <si>
    <t>Tue Nov 23 14:44:04 2021</t>
  </si>
  <si>
    <t>Tue Nov 23 14:44:14 2021</t>
  </si>
  <si>
    <t>Tue Nov 23 14:44:24 2021</t>
  </si>
  <si>
    <t>Tue Nov 23 14:45:15 2021</t>
  </si>
  <si>
    <t>Tue Nov 23 14:45:55 2021</t>
  </si>
  <si>
    <t>Tue Nov 23 14:46:24 2021</t>
  </si>
  <si>
    <t>Tue Nov 23 14:47:24 2021</t>
  </si>
  <si>
    <t>Tue Nov 23 14:48:44 2021</t>
  </si>
  <si>
    <t>Tue Nov 23 14:48:54 2021</t>
  </si>
  <si>
    <t>Tue Nov 23 14:49:04 2021</t>
  </si>
  <si>
    <t>Tue Nov 23 14:51:25 2021</t>
  </si>
  <si>
    <t>Tue Nov 23 14:52:26 2021</t>
  </si>
  <si>
    <t>Tue Nov 23 14:53:35 2021</t>
  </si>
  <si>
    <t>Tue Nov 23 14:54:25 2021</t>
  </si>
  <si>
    <t>Tue Nov 23 14:54:36 2021</t>
  </si>
  <si>
    <t>Tue Nov 23 14:55:45 2021</t>
  </si>
  <si>
    <t>Tue Nov 23 14:57:05 2021</t>
  </si>
  <si>
    <t>Tue Nov 23 14:57:26 2021</t>
  </si>
  <si>
    <t>Tue Nov 23 14:57:55 2021</t>
  </si>
  <si>
    <t>Tue Nov 23 14:59:07 2021</t>
  </si>
  <si>
    <t>Tue Nov 23 15:00:16 2021</t>
  </si>
  <si>
    <t>Tue Nov 23 15:00:26 2021</t>
  </si>
  <si>
    <t>Tue Nov 23 15:00:36 2021</t>
  </si>
  <si>
    <t>Tue Nov 23 15:00:47 2021</t>
  </si>
  <si>
    <t>Tue Nov 23 15:00:56 2021</t>
  </si>
  <si>
    <t>Tue Nov 23 15:01:46 2021</t>
  </si>
  <si>
    <t>Tue Nov 23 15:02:07 2021</t>
  </si>
  <si>
    <t>Tue Nov 23 15:02:16 2021</t>
  </si>
  <si>
    <t>Tue Nov 23 15:02:57 2021</t>
  </si>
  <si>
    <t>Tue Nov 23 15:03:16 2021</t>
  </si>
  <si>
    <t>Tue Nov 23 15:04:07 2021</t>
  </si>
  <si>
    <t>Tue Nov 23 15:04:17 2021</t>
  </si>
  <si>
    <t>Tue Nov 23 15:04:27 2021</t>
  </si>
  <si>
    <t>Tue Nov 23 15:04:37 2021</t>
  </si>
  <si>
    <t>Tue Nov 23 15:04:47 2021</t>
  </si>
  <si>
    <t>Tue Nov 23 15:04:57 2021</t>
  </si>
  <si>
    <t>Tue Nov 23 15:05:07 2021</t>
  </si>
  <si>
    <t>Tue Nov 23 15:05:17 2021</t>
  </si>
  <si>
    <t>Tue Nov 23 15:05:27 2021</t>
  </si>
  <si>
    <t>Tue Nov 23 15:05:37 2021</t>
  </si>
  <si>
    <t>Tue Nov 23 15:05:47 2021</t>
  </si>
  <si>
    <t>Tue Nov 23 15:05:57 2021</t>
  </si>
  <si>
    <t>Tue Nov 23 15:06:07 2021</t>
  </si>
  <si>
    <t>Tue Nov 23 15:06:18 2021</t>
  </si>
  <si>
    <t>Tue Nov 23 15:06:27 2021</t>
  </si>
  <si>
    <t>Tue Nov 23 15:06:38 2021</t>
  </si>
  <si>
    <t>Tue Nov 23 15:06:48 2021</t>
  </si>
  <si>
    <t>Tue Nov 23 15:06:57 2021</t>
  </si>
  <si>
    <t>Tue Nov 23 15:07:07 2021</t>
  </si>
  <si>
    <t>Tue Nov 23 15:07:17 2021</t>
  </si>
  <si>
    <t>Tue Nov 23 15:07:28 2021</t>
  </si>
  <si>
    <t>Tue Nov 23 15:07:37 2021</t>
  </si>
  <si>
    <t>Tue Nov 23 15:07:48 2021</t>
  </si>
  <si>
    <t>Tue Nov 23 15:07:57 2021</t>
  </si>
  <si>
    <t>Tue Nov 23 15:08:08 2021</t>
  </si>
  <si>
    <t>Tue Nov 23 15:08:18 2021</t>
  </si>
  <si>
    <t>Tue Nov 23 15:08:28 2021</t>
  </si>
  <si>
    <t>Tue Nov 23 15:08:38 2021</t>
  </si>
  <si>
    <t>Tue Nov 23 15:08:48 2021</t>
  </si>
  <si>
    <t>Tue Nov 23 15:08:57 2021</t>
  </si>
  <si>
    <t>Tue Nov 23 15:09:08 2021</t>
  </si>
  <si>
    <t>Tue Nov 23 15:09:18 2021</t>
  </si>
  <si>
    <t>Tue Nov 23 15:09:27 2021</t>
  </si>
  <si>
    <t>Tue Nov 23 15:09:37 2021</t>
  </si>
  <si>
    <t>Tue Nov 23 15:09:48 2021</t>
  </si>
  <si>
    <t>Tue Nov 23 15:09:57 2021</t>
  </si>
  <si>
    <t>Tue Nov 23 15:10:08 2021</t>
  </si>
  <si>
    <t>Tue Nov 23 15:10:18 2021</t>
  </si>
  <si>
    <t>Tue Nov 23 15:10:28 2021</t>
  </si>
  <si>
    <t>Tue Nov 23 15:10:38 2021</t>
  </si>
  <si>
    <t>Tue Nov 23 15:10:48 2021</t>
  </si>
  <si>
    <t>Tue Nov 23 15:10:58 2021</t>
  </si>
  <si>
    <t>Tue Nov 23 15:11:08 2021</t>
  </si>
  <si>
    <t>Tue Nov 23 15:11:18 2021</t>
  </si>
  <si>
    <t>Tue Nov 23 15:11:28 2021</t>
  </si>
  <si>
    <t>Tue Nov 23 15:11:38 2021</t>
  </si>
  <si>
    <t>Tue Nov 23 15:11:48 2021</t>
  </si>
  <si>
    <t>Tue Nov 23 15:11:58 2021</t>
  </si>
  <si>
    <t>Tue Nov 23 15:12:08 2021</t>
  </si>
  <si>
    <t>Tue Nov 23 15:12:19 2021</t>
  </si>
  <si>
    <t>Tue Nov 23 15:12:28 2021</t>
  </si>
  <si>
    <t>Tue Nov 23 15:12:38 2021</t>
  </si>
  <si>
    <t>Tue Nov 23 15:12:48 2021</t>
  </si>
  <si>
    <t>Tue Nov 23 15:12:58 2021</t>
  </si>
  <si>
    <t>Tue Nov 23 15:13:09 2021</t>
  </si>
  <si>
    <t>Tue Nov 23 15:13:18 2021</t>
  </si>
  <si>
    <t>Tue Nov 23 15:13:28 2021</t>
  </si>
  <si>
    <t>Tue Nov 23 15:13:38 2021</t>
  </si>
  <si>
    <t>Tue Nov 23 15:13:48 2021</t>
  </si>
  <si>
    <t>Tue Nov 23 15:13:59 2021</t>
  </si>
  <si>
    <t>Tue Nov 23 15:14:08 2021</t>
  </si>
  <si>
    <t>Tue Nov 23 15:14:18 2021</t>
  </si>
  <si>
    <t>Tue Nov 23 15:14:28 2021</t>
  </si>
  <si>
    <t>Tue Nov 23 15:14:38 2021</t>
  </si>
  <si>
    <t>Tue Nov 23 15:14:49 2021</t>
  </si>
  <si>
    <t>Tue Nov 23 15:14:59 2021</t>
  </si>
  <si>
    <t>Tue Nov 23 15:15:08 2021</t>
  </si>
  <si>
    <t>Tue Nov 23 15:15:18 2021</t>
  </si>
  <si>
    <t>Tue Nov 23 15:15:28 2021</t>
  </si>
  <si>
    <t>Tue Nov 23 15:15:39 2021</t>
  </si>
  <si>
    <t>Tue Nov 23 15:15:49 2021</t>
  </si>
  <si>
    <t>Tue Nov 23 15:15:58 2021</t>
  </si>
  <si>
    <t>Tue Nov 23 15:16:09 2021</t>
  </si>
  <si>
    <t>Tue Nov 23 15:16:18 2021</t>
  </si>
  <si>
    <t>Tue Nov 23 15:16:29 2021</t>
  </si>
  <si>
    <t>Tue Nov 23 15:16:38 2021</t>
  </si>
  <si>
    <t>Tue Nov 23 15:16:49 2021</t>
  </si>
  <si>
    <t>Tue Nov 23 15:16:58 2021</t>
  </si>
  <si>
    <t>Tue Nov 23 15:17:08 2021</t>
  </si>
  <si>
    <t>Tue Nov 23 15:17:18 2021</t>
  </si>
  <si>
    <t>Tue Nov 23 15:17:29 2021</t>
  </si>
  <si>
    <t>Tue Nov 23 15:17:39 2021</t>
  </si>
  <si>
    <t>Tue Nov 23 15:17:49 2021</t>
  </si>
  <si>
    <t>Tue Nov 23 15:17:59 2021</t>
  </si>
  <si>
    <t>Tue Nov 23 15:18:09 2021</t>
  </si>
  <si>
    <t>Tue Nov 23 15:18:19 2021</t>
  </si>
  <si>
    <t>Tue Nov 23 15:18:29 2021</t>
  </si>
  <si>
    <t>Tue Nov 23 15:18:39 2021</t>
  </si>
  <si>
    <t>Tue Nov 23 15:18:49 2021</t>
  </si>
  <si>
    <t>Tue Nov 23 15:18:59 2021</t>
  </si>
  <si>
    <t>Tue Nov 23 15:19:09 2021</t>
  </si>
  <si>
    <t>Tue Nov 23 15:19:19 2021</t>
  </si>
  <si>
    <t>Tue Nov 23 15:19:29 2021</t>
  </si>
  <si>
    <t>Tue Nov 23 15:19:39 2021</t>
  </si>
  <si>
    <t>Tue Nov 23 15:19:49 2021</t>
  </si>
  <si>
    <t>Tue Nov 23 15:19:59 2021</t>
  </si>
  <si>
    <t>Tue Nov 23 15:20:09 2021</t>
  </si>
  <si>
    <t>Tue Nov 23 15:20:19 2021</t>
  </si>
  <si>
    <t>Tue Nov 23 15:20:29 2021</t>
  </si>
  <si>
    <t>Tue Nov 23 15:20:39 2021</t>
  </si>
  <si>
    <t>Tue Nov 23 15:20:49 2021</t>
  </si>
  <si>
    <t>Tue Nov 23 15:21:00 2021</t>
  </si>
  <si>
    <t>Tue Nov 23 15:21:10 2021</t>
  </si>
  <si>
    <t>Tue Nov 23 15:21:19 2021</t>
  </si>
  <si>
    <t>Tue Nov 23 15:21:29 2021</t>
  </si>
  <si>
    <t>Tue Nov 23 15:21:40 2021</t>
  </si>
  <si>
    <t>Tue Nov 23 15:21:49 2021</t>
  </si>
  <si>
    <t>Tue Nov 23 15:22:00 2021</t>
  </si>
  <si>
    <t>Tue Nov 23 15:22:10 2021</t>
  </si>
  <si>
    <t>Tue Nov 23 15:22:20 2021</t>
  </si>
  <si>
    <t>Tue Nov 23 15:22:29 2021</t>
  </si>
  <si>
    <t>Tue Nov 23 15:22:40 2021</t>
  </si>
  <si>
    <t>Tue Nov 23 15:22:50 2021</t>
  </si>
  <si>
    <t>Tue Nov 23 15:23:00 2021</t>
  </si>
  <si>
    <t>Tue Nov 23 15:23:10 2021</t>
  </si>
  <si>
    <t>Tue Nov 23 15:23:19 2021</t>
  </si>
  <si>
    <t>Tue Nov 23 15:23:29 2021</t>
  </si>
  <si>
    <t>Tue Nov 23 15:23:40 2021</t>
  </si>
  <si>
    <t>Tue Nov 23 15:23:49 2021</t>
  </si>
  <si>
    <t>Tue Nov 23 15:23:59 2021</t>
  </si>
  <si>
    <t>Tue Nov 23 15:24:09 2021</t>
  </si>
  <si>
    <t>Tue Nov 23 15:24:19 2021</t>
  </si>
  <si>
    <t>Tue Nov 23 15:24:30 2021</t>
  </si>
  <si>
    <t>Tue Nov 23 15:24:39 2021</t>
  </si>
  <si>
    <t>Tue Nov 23 15:24:49 2021</t>
  </si>
  <si>
    <t>Tue Nov 23 15:25:00 2021</t>
  </si>
  <si>
    <t>Tue Nov 23 15:25:09 2021</t>
  </si>
  <si>
    <t>Tue Nov 23 15:25:20 2021</t>
  </si>
  <si>
    <t>Tue Nov 23 15:25:30 2021</t>
  </si>
  <si>
    <t>Tue Nov 23 15:25:41 2021</t>
  </si>
  <si>
    <t>Tue Nov 23 15:25:50 2021</t>
  </si>
  <si>
    <t>Tue Nov 23 15:26:01 2021</t>
  </si>
  <si>
    <t>Tue Nov 23 15:26:10 2021</t>
  </si>
  <si>
    <t>Tue Nov 23 15:26:20 2021</t>
  </si>
  <si>
    <t>Tue Nov 23 15:26:30 2021</t>
  </si>
  <si>
    <t>Tue Nov 23 15:26:40 2021</t>
  </si>
  <si>
    <t>Tue Nov 23 15:26:51 2021</t>
  </si>
  <si>
    <t>Tue Nov 23 15:27:00 2021</t>
  </si>
  <si>
    <t>Tue Nov 23 15:27:10 2021</t>
  </si>
  <si>
    <t>Tue Nov 23 15:27:20 2021</t>
  </si>
  <si>
    <t>Tue Nov 23 15:27:30 2021</t>
  </si>
  <si>
    <t>Tue Nov 23 15:27:40 2021</t>
  </si>
  <si>
    <t>Tue Nov 23 15:27:50 2021</t>
  </si>
  <si>
    <t>Tue Nov 23 15:28:00 2021</t>
  </si>
  <si>
    <t>Tue Nov 23 15:28:10 2021</t>
  </si>
  <si>
    <t>Tue Nov 23 15:28:20 2021</t>
  </si>
  <si>
    <t>Tue Nov 23 15:28:30 2021</t>
  </si>
  <si>
    <t>Tue Nov 23 15:28:40 2021</t>
  </si>
  <si>
    <t>Tue Nov 23 15:28:51 2021</t>
  </si>
  <si>
    <t>Tue Nov 23 15:29:00 2021</t>
  </si>
  <si>
    <t>Tue Nov 23 15:29:10 2021</t>
  </si>
  <si>
    <t>Tue Nov 23 15:29:20 2021</t>
  </si>
  <si>
    <t>Tue Nov 23 15:29:30 2021</t>
  </si>
  <si>
    <t>Tue Nov 23 15:29:40 2021</t>
  </si>
  <si>
    <t>Tue Nov 23 15:29:50 2021</t>
  </si>
  <si>
    <t>Tue Nov 23 15:30:01 2021</t>
  </si>
  <si>
    <t>Tue Nov 23 15:30:11 2021</t>
  </si>
  <si>
    <t>Tue Nov 23 15:30:21 2021</t>
  </si>
  <si>
    <t>Tue Nov 23 15:30:30 2021</t>
  </si>
  <si>
    <t>Tue Nov 23 15:30:40 2021</t>
  </si>
  <si>
    <t>Tue Nov 23 15:30:51 2021</t>
  </si>
  <si>
    <t>Tue Nov 23 15:31:01 2021</t>
  </si>
  <si>
    <t>Tue Nov 23 15:31:11 2021</t>
  </si>
  <si>
    <t>Tue Nov 23 15:31:21 2021</t>
  </si>
  <si>
    <t>Tue Nov 23 15:31:31 2021</t>
  </si>
  <si>
    <t>Tue Nov 23 15:31:41 2021</t>
  </si>
  <si>
    <t>Tue Nov 23 15:31:51 2021</t>
  </si>
  <si>
    <t>Tue Nov 23 15:32:00 2021</t>
  </si>
  <si>
    <t>Tue Nov 23 15:32:11 2021</t>
  </si>
  <si>
    <t>Tue Nov 23 15:32:21 2021</t>
  </si>
  <si>
    <t>Tue Nov 23 15:32:31 2021</t>
  </si>
  <si>
    <t>Tue Nov 23 15:32:41 2021</t>
  </si>
  <si>
    <t>Tue Nov 23 15:32:51 2021</t>
  </si>
  <si>
    <t>Tue Nov 23 15:33:01 2021</t>
  </si>
  <si>
    <t>Tue Nov 23 15:33:11 2021</t>
  </si>
  <si>
    <t>Tue Nov 23 15:33:21 2021</t>
  </si>
  <si>
    <t>Tue Nov 23 15:33:32 2021</t>
  </si>
  <si>
    <t>Tue Nov 23 15:33:41 2021</t>
  </si>
  <si>
    <t>Tue Nov 23 15:33:51 2021</t>
  </si>
  <si>
    <t>Tue Nov 23 15:34:01 2021</t>
  </si>
  <si>
    <t>Tue Nov 23 15:34:10 2021</t>
  </si>
  <si>
    <t>Tue Nov 23 15:34:21 2021</t>
  </si>
  <si>
    <t>Tue Nov 23 15:34:31 2021</t>
  </si>
  <si>
    <t>Tue Nov 23 15:34:41 2021</t>
  </si>
  <si>
    <t>Tue Nov 23 15:34:51 2021</t>
  </si>
  <si>
    <t>Tue Nov 23 15:35:01 2021</t>
  </si>
  <si>
    <t>Tue Nov 23 15:35:11 2021</t>
  </si>
  <si>
    <t>Tue Nov 23 15:35:21 2021</t>
  </si>
  <si>
    <t>Tue Nov 23 15:35:31 2021</t>
  </si>
  <si>
    <t>Tue Nov 23 15:35:41 2021</t>
  </si>
  <si>
    <t>Tue Nov 23 15:35:51 2021</t>
  </si>
  <si>
    <t>Tue Nov 23 15:36:01 2021</t>
  </si>
  <si>
    <t>Tue Nov 23 15:36:12 2021</t>
  </si>
  <si>
    <t>Tue Nov 23 15:36:22 2021</t>
  </si>
  <si>
    <t>Tue Nov 23 15:36:32 2021</t>
  </si>
  <si>
    <t>Tue Nov 23 15:04:58 2021</t>
  </si>
  <si>
    <t>Tue Nov 23 15:06:17 2021</t>
  </si>
  <si>
    <t>Tue Nov 23 15:06:28 2021</t>
  </si>
  <si>
    <t>Tue Nov 23 15:06:37 2021</t>
  </si>
  <si>
    <t>Tue Nov 23 15:06:47 2021</t>
  </si>
  <si>
    <t>Tue Nov 23 15:07:47 2021</t>
  </si>
  <si>
    <t>Tue Nov 23 15:07:58 2021</t>
  </si>
  <si>
    <t>Tue Nov 23 15:08:07 2021</t>
  </si>
  <si>
    <t>Tue Nov 23 15:08:29 2021</t>
  </si>
  <si>
    <t>Tue Nov 23 15:09:07 2021</t>
  </si>
  <si>
    <t>Tue Nov 23 15:09:17 2021</t>
  </si>
  <si>
    <t>Tue Nov 23 15:09:38 2021</t>
  </si>
  <si>
    <t>Tue Nov 23 15:12:09 2021</t>
  </si>
  <si>
    <t>Tue Nov 23 15:12:18 2021</t>
  </si>
  <si>
    <t>Tue Nov 23 15:12:59 2021</t>
  </si>
  <si>
    <t>Tue Nov 23 15:13:08 2021</t>
  </si>
  <si>
    <t>Tue Nov 23 15:13:29 2021</t>
  </si>
  <si>
    <t>Tue Nov 23 15:13:49 2021</t>
  </si>
  <si>
    <t>Tue Nov 23 15:14:19 2021</t>
  </si>
  <si>
    <t>Tue Nov 23 15:14:29 2021</t>
  </si>
  <si>
    <t>Tue Nov 23 15:14:39 2021</t>
  </si>
  <si>
    <t>Tue Nov 23 15:14:48 2021</t>
  </si>
  <si>
    <t>Tue Nov 23 15:15:29 2021</t>
  </si>
  <si>
    <t>Tue Nov 23 15:15:48 2021</t>
  </si>
  <si>
    <t>Tue Nov 23 15:16:19 2021</t>
  </si>
  <si>
    <t>Tue Nov 23 15:16:39 2021</t>
  </si>
  <si>
    <t>Tue Nov 23 15:16:59 2021</t>
  </si>
  <si>
    <t>Tue Nov 23 15:17:09 2021</t>
  </si>
  <si>
    <t>Tue Nov 23 15:19:00 2021</t>
  </si>
  <si>
    <t>Tue Nov 23 15:19:10 2021</t>
  </si>
  <si>
    <t>Tue Nov 23 15:20:10 2021</t>
  </si>
  <si>
    <t>Tue Nov 23 15:21:20 2021</t>
  </si>
  <si>
    <t>Tue Nov 23 15:21:30 2021</t>
  </si>
  <si>
    <t>Tue Nov 23 15:22:30 2021</t>
  </si>
  <si>
    <t>Tue Nov 23 15:22:49 2021</t>
  </si>
  <si>
    <t>Tue Nov 23 15:23:20 2021</t>
  </si>
  <si>
    <t>Tue Nov 23 15:23:30 2021</t>
  </si>
  <si>
    <t>Tue Nov 23 15:23:50 2021</t>
  </si>
  <si>
    <t>Tue Nov 23 15:24:00 2021</t>
  </si>
  <si>
    <t>Tue Nov 23 15:24:10 2021</t>
  </si>
  <si>
    <t>Tue Nov 23 15:24:20 2021</t>
  </si>
  <si>
    <t>Tue Nov 23 15:24:40 2021</t>
  </si>
  <si>
    <t>Tue Nov 23 15:24:50 2021</t>
  </si>
  <si>
    <t>Tue Nov 23 15:25:10 2021</t>
  </si>
  <si>
    <t>Tue Nov 23 15:25:31 2021</t>
  </si>
  <si>
    <t>Tue Nov 23 15:25:40 2021</t>
  </si>
  <si>
    <t>Tue Nov 23 15:26:00 2021</t>
  </si>
  <si>
    <t>Tue Nov 23 15:26:50 2021</t>
  </si>
  <si>
    <t>Tue Nov 23 15:27:01 2021</t>
  </si>
  <si>
    <t>Tue Nov 23 15:27:11 2021</t>
  </si>
  <si>
    <t>Tue Nov 23 15:27:21 2021</t>
  </si>
  <si>
    <t>Tue Nov 23 15:28:01 2021</t>
  </si>
  <si>
    <t>Tue Nov 23 15:28:21 2021</t>
  </si>
  <si>
    <t>Tue Nov 23 15:29:11 2021</t>
  </si>
  <si>
    <t>Tue Nov 23 15:29:21 2021</t>
  </si>
  <si>
    <t>Tue Nov 23 15:29:31 2021</t>
  </si>
  <si>
    <t>Tue Nov 23 15:29:41 2021</t>
  </si>
  <si>
    <t>Tue Nov 23 15:30:31 2021</t>
  </si>
  <si>
    <t>Tue Nov 23 15:30:50 2021</t>
  </si>
  <si>
    <t>Tue Nov 23 15:31:52 2021</t>
  </si>
  <si>
    <t>Tue Nov 23 15:32:01 2021</t>
  </si>
  <si>
    <t>Tue Nov 23 15:32:32 2021</t>
  </si>
  <si>
    <t>Tue Nov 23 15:33:31 2021</t>
  </si>
  <si>
    <t>Tue Nov 23 15:34:11 2021</t>
  </si>
  <si>
    <t>Tue Nov 23 15:34:42 2021</t>
  </si>
  <si>
    <t>Tue Nov 23 15:35:22 2021</t>
  </si>
  <si>
    <t>Tue Nov 23 15:35:52 2021</t>
  </si>
  <si>
    <t>Tue Nov 23 15:36:11 2021</t>
  </si>
  <si>
    <t>Tue Nov 23 15:36:42 2021</t>
  </si>
  <si>
    <t>0-1000 s</t>
  </si>
  <si>
    <t>Tue Nov 23 15:37:12 2021</t>
  </si>
  <si>
    <t>Tue Nov 23 15:37:21 2021</t>
  </si>
  <si>
    <t>Tue Nov 23 15:37:32 2021</t>
  </si>
  <si>
    <t>Tue Nov 23 15:37:41 2021</t>
  </si>
  <si>
    <t>Tue Nov 23 15:37:52 2021</t>
  </si>
  <si>
    <t>Tue Nov 23 15:38:02 2021</t>
  </si>
  <si>
    <t>Tue Nov 23 15:38:12 2021</t>
  </si>
  <si>
    <t>Tue Nov 23 15:38:22 2021</t>
  </si>
  <si>
    <t>Tue Nov 23 15:38:32 2021</t>
  </si>
  <si>
    <t>Tue Nov 23 15:38:42 2021</t>
  </si>
  <si>
    <t>Tue Nov 23 15:38:52 2021</t>
  </si>
  <si>
    <t>Tue Nov 23 15:39:02 2021</t>
  </si>
  <si>
    <t>Tue Nov 23 15:39:12 2021</t>
  </si>
  <si>
    <t>Tue Nov 23 15:39:22 2021</t>
  </si>
  <si>
    <t>Tue Nov 23 15:39:32 2021</t>
  </si>
  <si>
    <t>Tue Nov 23 15:39:42 2021</t>
  </si>
  <si>
    <t>Tue Nov 23 15:39:52 2021</t>
  </si>
  <si>
    <t>Tue Nov 23 15:40:02 2021</t>
  </si>
  <si>
    <t>Tue Nov 23 15:40:12 2021</t>
  </si>
  <si>
    <t>Tue Nov 23 15:40:22 2021</t>
  </si>
  <si>
    <t>Tue Nov 23 15:40:33 2021</t>
  </si>
  <si>
    <t>Tue Nov 23 15:40:42 2021</t>
  </si>
  <si>
    <t>Tue Nov 23 15:40:52 2021</t>
  </si>
  <si>
    <t>Tue Nov 23 15:41:02 2021</t>
  </si>
  <si>
    <t>Tue Nov 23 15:41:12 2021</t>
  </si>
  <si>
    <t>Tue Nov 23 15:41:23 2021</t>
  </si>
  <si>
    <t>Tue Nov 23 15:37:02 2021</t>
  </si>
  <si>
    <t>Tue Nov 23 15:37:11 2021</t>
  </si>
  <si>
    <t>Tue Nov 23 15:38:01 2021</t>
  </si>
  <si>
    <t>Tue Nov 23 15:38:11 2021</t>
  </si>
  <si>
    <t>Tue Nov 23 15:38:21 2021</t>
  </si>
  <si>
    <t>Tue Nov 23 15:39:01 2021</t>
  </si>
  <si>
    <t>Tue Nov 23 15:40:32 2021</t>
  </si>
  <si>
    <t>Tue Nov 23 15:41:22 2021</t>
  </si>
  <si>
    <t>50-1050 s</t>
  </si>
  <si>
    <t>Serie Resistor</t>
  </si>
  <si>
    <t>Freq</t>
  </si>
  <si>
    <t>Magnitude</t>
  </si>
  <si>
    <t>Phase</t>
  </si>
  <si>
    <t>Time (date)</t>
  </si>
  <si>
    <t>Time[s]</t>
  </si>
  <si>
    <t>ln(Magnitude)</t>
  </si>
  <si>
    <t>Magnitude -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</si>
</sst>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Cu_1stPhase!$F$2:$F$194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Cu_1stPhase!$G$2:$G$194</c:f>
              <c:numCache>
                <c:formatCode>General</c:formatCode>
                <c:ptCount val="193"/>
                <c:pt idx="0">
                  <c:v>7.5510965452981651</c:v>
                </c:pt>
                <c:pt idx="1">
                  <c:v>7.5509779852611123</c:v>
                </c:pt>
                <c:pt idx="2">
                  <c:v>7.5511365754377362</c:v>
                </c:pt>
                <c:pt idx="3">
                  <c:v>7.5504355609638552</c:v>
                </c:pt>
                <c:pt idx="4">
                  <c:v>7.5505814644236269</c:v>
                </c:pt>
                <c:pt idx="5">
                  <c:v>7.5507553906186402</c:v>
                </c:pt>
                <c:pt idx="6">
                  <c:v>7.5503913297103837</c:v>
                </c:pt>
                <c:pt idx="7">
                  <c:v>7.5498257843224845</c:v>
                </c:pt>
                <c:pt idx="8">
                  <c:v>7.5499724833570063</c:v>
                </c:pt>
                <c:pt idx="9">
                  <c:v>7.5492356885787322</c:v>
                </c:pt>
                <c:pt idx="10">
                  <c:v>7.5488846401180654</c:v>
                </c:pt>
                <c:pt idx="11">
                  <c:v>7.5481275481018573</c:v>
                </c:pt>
                <c:pt idx="12">
                  <c:v>7.547542887134834</c:v>
                </c:pt>
                <c:pt idx="13">
                  <c:v>7.5469701238410059</c:v>
                </c:pt>
                <c:pt idx="14">
                  <c:v>7.5459415592818919</c:v>
                </c:pt>
                <c:pt idx="15">
                  <c:v>7.5447176210355957</c:v>
                </c:pt>
                <c:pt idx="16">
                  <c:v>7.5423265951818612</c:v>
                </c:pt>
                <c:pt idx="17">
                  <c:v>7.5399750536724319</c:v>
                </c:pt>
                <c:pt idx="18">
                  <c:v>7.5384303565577957</c:v>
                </c:pt>
                <c:pt idx="19">
                  <c:v>7.5365011684547039</c:v>
                </c:pt>
                <c:pt idx="20">
                  <c:v>7.5349205142355542</c:v>
                </c:pt>
                <c:pt idx="21">
                  <c:v>7.5339616413314658</c:v>
                </c:pt>
                <c:pt idx="22">
                  <c:v>7.5331528641527221</c:v>
                </c:pt>
                <c:pt idx="23">
                  <c:v>7.5324684049236108</c:v>
                </c:pt>
                <c:pt idx="24">
                  <c:v>7.5323309469495738</c:v>
                </c:pt>
                <c:pt idx="25">
                  <c:v>7.5317580349643984</c:v>
                </c:pt>
                <c:pt idx="26">
                  <c:v>7.5314092361142588</c:v>
                </c:pt>
                <c:pt idx="27">
                  <c:v>7.5314883348761823</c:v>
                </c:pt>
                <c:pt idx="28">
                  <c:v>7.5313775033088604</c:v>
                </c:pt>
                <c:pt idx="29">
                  <c:v>7.5310203245632437</c:v>
                </c:pt>
                <c:pt idx="30">
                  <c:v>7.5305907299940467</c:v>
                </c:pt>
                <c:pt idx="31">
                  <c:v>7.5306180350738243</c:v>
                </c:pt>
                <c:pt idx="32">
                  <c:v>7.5308644690727826</c:v>
                </c:pt>
                <c:pt idx="33">
                  <c:v>7.5302910433823822</c:v>
                </c:pt>
                <c:pt idx="34">
                  <c:v>7.5299467125176358</c:v>
                </c:pt>
                <c:pt idx="35">
                  <c:v>7.5304523585975538</c:v>
                </c:pt>
                <c:pt idx="36">
                  <c:v>7.5299158500940786</c:v>
                </c:pt>
                <c:pt idx="37">
                  <c:v>7.5297374744735315</c:v>
                </c:pt>
                <c:pt idx="38">
                  <c:v>7.5291759269703586</c:v>
                </c:pt>
                <c:pt idx="39">
                  <c:v>7.5288697155352136</c:v>
                </c:pt>
                <c:pt idx="40">
                  <c:v>7.5285600648387936</c:v>
                </c:pt>
                <c:pt idx="41">
                  <c:v>7.5287812259003832</c:v>
                </c:pt>
                <c:pt idx="42">
                  <c:v>7.5292190079385506</c:v>
                </c:pt>
                <c:pt idx="43">
                  <c:v>7.5292330400083136</c:v>
                </c:pt>
                <c:pt idx="44">
                  <c:v>7.5281949858477955</c:v>
                </c:pt>
                <c:pt idx="45">
                  <c:v>7.5274809817740822</c:v>
                </c:pt>
                <c:pt idx="46">
                  <c:v>7.5270716144466485</c:v>
                </c:pt>
                <c:pt idx="47">
                  <c:v>7.5268977255206595</c:v>
                </c:pt>
                <c:pt idx="48">
                  <c:v>7.5267166410507205</c:v>
                </c:pt>
                <c:pt idx="49">
                  <c:v>7.526585095929037</c:v>
                </c:pt>
                <c:pt idx="50">
                  <c:v>7.5253414339866325</c:v>
                </c:pt>
                <c:pt idx="51">
                  <c:v>7.5243237113027117</c:v>
                </c:pt>
                <c:pt idx="52">
                  <c:v>7.5233585092474158</c:v>
                </c:pt>
                <c:pt idx="53">
                  <c:v>7.5227548921219674</c:v>
                </c:pt>
                <c:pt idx="54">
                  <c:v>7.5224319204469463</c:v>
                </c:pt>
                <c:pt idx="55">
                  <c:v>7.5220546248900346</c:v>
                </c:pt>
                <c:pt idx="56">
                  <c:v>7.5221821448713753</c:v>
                </c:pt>
                <c:pt idx="57">
                  <c:v>7.5217811057500068</c:v>
                </c:pt>
                <c:pt idx="58">
                  <c:v>7.5220791922987473</c:v>
                </c:pt>
                <c:pt idx="59">
                  <c:v>7.5216423688356473</c:v>
                </c:pt>
                <c:pt idx="60">
                  <c:v>7.5216427655666251</c:v>
                </c:pt>
                <c:pt idx="61">
                  <c:v>7.5216071533278113</c:v>
                </c:pt>
                <c:pt idx="62">
                  <c:v>7.5213580308319621</c:v>
                </c:pt>
                <c:pt idx="63">
                  <c:v>7.5212625282016008</c:v>
                </c:pt>
                <c:pt idx="64">
                  <c:v>7.5209898500304133</c:v>
                </c:pt>
                <c:pt idx="65">
                  <c:v>7.5209126273456137</c:v>
                </c:pt>
                <c:pt idx="66">
                  <c:v>7.5200952080126937</c:v>
                </c:pt>
                <c:pt idx="67">
                  <c:v>7.5191778422512021</c:v>
                </c:pt>
                <c:pt idx="68">
                  <c:v>7.5187561818323339</c:v>
                </c:pt>
                <c:pt idx="69">
                  <c:v>7.5186208681878695</c:v>
                </c:pt>
                <c:pt idx="70">
                  <c:v>7.5189011497256626</c:v>
                </c:pt>
                <c:pt idx="71">
                  <c:v>7.5184608146766152</c:v>
                </c:pt>
                <c:pt idx="72">
                  <c:v>7.5183358683857904</c:v>
                </c:pt>
                <c:pt idx="73">
                  <c:v>7.5183565502218537</c:v>
                </c:pt>
                <c:pt idx="74">
                  <c:v>7.5182046748940712</c:v>
                </c:pt>
                <c:pt idx="75">
                  <c:v>7.5182305302425929</c:v>
                </c:pt>
                <c:pt idx="76">
                  <c:v>7.5171497279411872</c:v>
                </c:pt>
                <c:pt idx="77">
                  <c:v>7.5177067914671314</c:v>
                </c:pt>
                <c:pt idx="78">
                  <c:v>7.5177109705725629</c:v>
                </c:pt>
                <c:pt idx="79">
                  <c:v>7.5174400419033134</c:v>
                </c:pt>
                <c:pt idx="80">
                  <c:v>7.5175476524177727</c:v>
                </c:pt>
                <c:pt idx="81">
                  <c:v>7.5173506013288369</c:v>
                </c:pt>
                <c:pt idx="82">
                  <c:v>7.5172092574977238</c:v>
                </c:pt>
                <c:pt idx="83">
                  <c:v>7.5173786682129853</c:v>
                </c:pt>
                <c:pt idx="84">
                  <c:v>7.5173407142707607</c:v>
                </c:pt>
                <c:pt idx="85">
                  <c:v>7.5172217335893885</c:v>
                </c:pt>
                <c:pt idx="86">
                  <c:v>7.517341112712014</c:v>
                </c:pt>
                <c:pt idx="87">
                  <c:v>7.5174380515231078</c:v>
                </c:pt>
                <c:pt idx="88">
                  <c:v>7.5170783804449384</c:v>
                </c:pt>
                <c:pt idx="89">
                  <c:v>7.5176292485321117</c:v>
                </c:pt>
                <c:pt idx="90">
                  <c:v>7.516891393297211</c:v>
                </c:pt>
                <c:pt idx="91">
                  <c:v>7.5172711721533521</c:v>
                </c:pt>
                <c:pt idx="92">
                  <c:v>7.5173345435750418</c:v>
                </c:pt>
                <c:pt idx="93">
                  <c:v>7.5169115073824582</c:v>
                </c:pt>
                <c:pt idx="94">
                  <c:v>7.5171558997774488</c:v>
                </c:pt>
                <c:pt idx="95">
                  <c:v>7.5170268084756184</c:v>
                </c:pt>
                <c:pt idx="96">
                  <c:v>7.5164987855376486</c:v>
                </c:pt>
                <c:pt idx="97">
                  <c:v>7.5170310562168199</c:v>
                </c:pt>
                <c:pt idx="98">
                  <c:v>7.5172505347231597</c:v>
                </c:pt>
                <c:pt idx="99">
                  <c:v>7.5169180129546627</c:v>
                </c:pt>
                <c:pt idx="100">
                  <c:v>7.5173137742729033</c:v>
                </c:pt>
                <c:pt idx="101">
                  <c:v>7.5171719604000957</c:v>
                </c:pt>
                <c:pt idx="102">
                  <c:v>7.5172166902205166</c:v>
                </c:pt>
                <c:pt idx="103">
                  <c:v>7.517434070750812</c:v>
                </c:pt>
                <c:pt idx="104">
                  <c:v>7.5172530560536197</c:v>
                </c:pt>
                <c:pt idx="105">
                  <c:v>7.517284178576678</c:v>
                </c:pt>
                <c:pt idx="106">
                  <c:v>7.5171136231319613</c:v>
                </c:pt>
                <c:pt idx="107">
                  <c:v>7.5170241533563313</c:v>
                </c:pt>
                <c:pt idx="108">
                  <c:v>7.5176181040259378</c:v>
                </c:pt>
                <c:pt idx="109">
                  <c:v>7.5174973650011596</c:v>
                </c:pt>
                <c:pt idx="110">
                  <c:v>7.5171056589881378</c:v>
                </c:pt>
                <c:pt idx="111">
                  <c:v>7.5174750729248148</c:v>
                </c:pt>
                <c:pt idx="112">
                  <c:v>7.5170375610113407</c:v>
                </c:pt>
                <c:pt idx="113">
                  <c:v>7.5173932658340057</c:v>
                </c:pt>
                <c:pt idx="114">
                  <c:v>7.5176665943297243</c:v>
                </c:pt>
                <c:pt idx="115">
                  <c:v>7.517814505851673</c:v>
                </c:pt>
                <c:pt idx="116">
                  <c:v>7.5185062817540533</c:v>
                </c:pt>
                <c:pt idx="117">
                  <c:v>7.5635481093294619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Cu_1stPhase!$F$2:$F$197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Cu_1stPhase!$B$2:$B$197</c:f>
              <c:numCache>
                <c:formatCode>General</c:formatCode>
                <c:ptCount val="196"/>
                <c:pt idx="0">
                  <c:v>1902.828125</c:v>
                </c:pt>
                <c:pt idx="1">
                  <c:v>1902.602539</c:v>
                </c:pt>
                <c:pt idx="2">
                  <c:v>1902.904297</c:v>
                </c:pt>
                <c:pt idx="3">
                  <c:v>1901.5708010000001</c:v>
                </c:pt>
                <c:pt idx="4">
                  <c:v>1901.8482670000001</c:v>
                </c:pt>
                <c:pt idx="5">
                  <c:v>1902.179077</c:v>
                </c:pt>
                <c:pt idx="6">
                  <c:v>1901.4866939999999</c:v>
                </c:pt>
                <c:pt idx="7">
                  <c:v>1900.411621</c:v>
                </c:pt>
                <c:pt idx="8">
                  <c:v>1900.6904300000001</c:v>
                </c:pt>
                <c:pt idx="9">
                  <c:v>1899.2905270000001</c:v>
                </c:pt>
                <c:pt idx="10">
                  <c:v>1898.6239009999999</c:v>
                </c:pt>
                <c:pt idx="11">
                  <c:v>1897.1870120000001</c:v>
                </c:pt>
                <c:pt idx="12">
                  <c:v>1896.078125</c:v>
                </c:pt>
                <c:pt idx="13">
                  <c:v>1894.992432</c:v>
                </c:pt>
                <c:pt idx="14">
                  <c:v>1893.044312</c:v>
                </c:pt>
                <c:pt idx="15">
                  <c:v>1890.72876</c:v>
                </c:pt>
                <c:pt idx="16">
                  <c:v>1886.213379</c:v>
                </c:pt>
                <c:pt idx="17">
                  <c:v>1881.783081</c:v>
                </c:pt>
                <c:pt idx="18">
                  <c:v>1878.8785399999999</c:v>
                </c:pt>
                <c:pt idx="19">
                  <c:v>1875.2573239999999</c:v>
                </c:pt>
                <c:pt idx="20">
                  <c:v>1872.2955320000001</c:v>
                </c:pt>
                <c:pt idx="21">
                  <c:v>1870.5010990000001</c:v>
                </c:pt>
                <c:pt idx="22">
                  <c:v>1868.9888920000001</c:v>
                </c:pt>
                <c:pt idx="23">
                  <c:v>1867.7100829999999</c:v>
                </c:pt>
                <c:pt idx="24">
                  <c:v>1867.4533690000001</c:v>
                </c:pt>
                <c:pt idx="25">
                  <c:v>1866.383789</c:v>
                </c:pt>
                <c:pt idx="26">
                  <c:v>1865.7329099999999</c:v>
                </c:pt>
                <c:pt idx="27">
                  <c:v>1865.8804929999999</c:v>
                </c:pt>
                <c:pt idx="28">
                  <c:v>1865.673706</c:v>
                </c:pt>
                <c:pt idx="29">
                  <c:v>1865.0074460000001</c:v>
                </c:pt>
                <c:pt idx="30">
                  <c:v>1864.2064210000001</c:v>
                </c:pt>
                <c:pt idx="31">
                  <c:v>1864.2573239999999</c:v>
                </c:pt>
                <c:pt idx="32">
                  <c:v>1864.716797</c:v>
                </c:pt>
                <c:pt idx="33">
                  <c:v>1863.647827</c:v>
                </c:pt>
                <c:pt idx="34">
                  <c:v>1863.006226</c:v>
                </c:pt>
                <c:pt idx="35">
                  <c:v>1863.948486</c:v>
                </c:pt>
                <c:pt idx="36">
                  <c:v>1862.9487300000001</c:v>
                </c:pt>
                <c:pt idx="37">
                  <c:v>1862.6164550000001</c:v>
                </c:pt>
                <c:pt idx="38">
                  <c:v>1861.5708010000001</c:v>
                </c:pt>
                <c:pt idx="39">
                  <c:v>1861.0008539999999</c:v>
                </c:pt>
                <c:pt idx="40">
                  <c:v>1860.424683</c:v>
                </c:pt>
                <c:pt idx="41">
                  <c:v>1860.836182</c:v>
                </c:pt>
                <c:pt idx="42">
                  <c:v>1861.651001</c:v>
                </c:pt>
                <c:pt idx="43">
                  <c:v>1861.677124</c:v>
                </c:pt>
                <c:pt idx="44">
                  <c:v>1859.7456050000001</c:v>
                </c:pt>
                <c:pt idx="45">
                  <c:v>1858.4182129999999</c:v>
                </c:pt>
                <c:pt idx="46">
                  <c:v>1857.6575929999999</c:v>
                </c:pt>
                <c:pt idx="47">
                  <c:v>1857.334595</c:v>
                </c:pt>
                <c:pt idx="48">
                  <c:v>1856.9982910000001</c:v>
                </c:pt>
                <c:pt idx="49">
                  <c:v>1856.7540280000001</c:v>
                </c:pt>
                <c:pt idx="50">
                  <c:v>1854.446289</c:v>
                </c:pt>
                <c:pt idx="51">
                  <c:v>1852.559937</c:v>
                </c:pt>
                <c:pt idx="52">
                  <c:v>1850.7727050000001</c:v>
                </c:pt>
                <c:pt idx="53">
                  <c:v>1849.655884</c:v>
                </c:pt>
                <c:pt idx="54">
                  <c:v>1849.0585940000001</c:v>
                </c:pt>
                <c:pt idx="55">
                  <c:v>1848.3610839999999</c:v>
                </c:pt>
                <c:pt idx="56">
                  <c:v>1848.596802</c:v>
                </c:pt>
                <c:pt idx="57">
                  <c:v>1847.855591</c:v>
                </c:pt>
                <c:pt idx="58">
                  <c:v>1848.4064940000001</c:v>
                </c:pt>
                <c:pt idx="59">
                  <c:v>1847.5992429999999</c:v>
                </c:pt>
                <c:pt idx="60">
                  <c:v>1847.599976</c:v>
                </c:pt>
                <c:pt idx="61">
                  <c:v>1847.5341800000001</c:v>
                </c:pt>
                <c:pt idx="62">
                  <c:v>1847.073975</c:v>
                </c:pt>
                <c:pt idx="63">
                  <c:v>1846.8975829999999</c:v>
                </c:pt>
                <c:pt idx="64">
                  <c:v>1846.394043</c:v>
                </c:pt>
                <c:pt idx="65">
                  <c:v>1846.2514650000001</c:v>
                </c:pt>
                <c:pt idx="66">
                  <c:v>1844.7429199999999</c:v>
                </c:pt>
                <c:pt idx="67">
                  <c:v>1843.0513920000001</c:v>
                </c:pt>
                <c:pt idx="68">
                  <c:v>1842.274414</c:v>
                </c:pt>
                <c:pt idx="69">
                  <c:v>1842.0251459999999</c:v>
                </c:pt>
                <c:pt idx="70">
                  <c:v>1842.541504</c:v>
                </c:pt>
                <c:pt idx="71">
                  <c:v>1841.7303469999999</c:v>
                </c:pt>
                <c:pt idx="72">
                  <c:v>1841.5002440000001</c:v>
                </c:pt>
                <c:pt idx="73">
                  <c:v>1841.5383300000001</c:v>
                </c:pt>
                <c:pt idx="74">
                  <c:v>1841.2586670000001</c:v>
                </c:pt>
                <c:pt idx="75">
                  <c:v>1841.306274</c:v>
                </c:pt>
                <c:pt idx="76">
                  <c:v>1839.3172609999999</c:v>
                </c:pt>
                <c:pt idx="77">
                  <c:v>1840.342163</c:v>
                </c:pt>
                <c:pt idx="78">
                  <c:v>1840.3498540000001</c:v>
                </c:pt>
                <c:pt idx="79">
                  <c:v>1839.851318</c:v>
                </c:pt>
                <c:pt idx="80">
                  <c:v>1840.0493160000001</c:v>
                </c:pt>
                <c:pt idx="81">
                  <c:v>1839.686768</c:v>
                </c:pt>
                <c:pt idx="82">
                  <c:v>1839.4267580000001</c:v>
                </c:pt>
                <c:pt idx="83">
                  <c:v>1839.7384030000001</c:v>
                </c:pt>
                <c:pt idx="84">
                  <c:v>1839.6685789999999</c:v>
                </c:pt>
                <c:pt idx="85">
                  <c:v>1839.449707</c:v>
                </c:pt>
                <c:pt idx="86">
                  <c:v>1839.669312</c:v>
                </c:pt>
                <c:pt idx="87">
                  <c:v>1839.8476559999999</c:v>
                </c:pt>
                <c:pt idx="88">
                  <c:v>1839.1860349999999</c:v>
                </c:pt>
                <c:pt idx="89">
                  <c:v>1840.1994629999999</c:v>
                </c:pt>
                <c:pt idx="90">
                  <c:v>1838.842163</c:v>
                </c:pt>
                <c:pt idx="91">
                  <c:v>1839.540649</c:v>
                </c:pt>
                <c:pt idx="92">
                  <c:v>1839.6572269999999</c:v>
                </c:pt>
                <c:pt idx="93">
                  <c:v>1838.87915</c:v>
                </c:pt>
                <c:pt idx="94">
                  <c:v>1839.3286129999999</c:v>
                </c:pt>
                <c:pt idx="95">
                  <c:v>1839.091187</c:v>
                </c:pt>
                <c:pt idx="96">
                  <c:v>1838.120361</c:v>
                </c:pt>
                <c:pt idx="97">
                  <c:v>1839.098999</c:v>
                </c:pt>
                <c:pt idx="98">
                  <c:v>1839.502686</c:v>
                </c:pt>
                <c:pt idx="99">
                  <c:v>1838.8911129999999</c:v>
                </c:pt>
                <c:pt idx="100">
                  <c:v>1839.619019</c:v>
                </c:pt>
                <c:pt idx="101">
                  <c:v>1839.358154</c:v>
                </c:pt>
                <c:pt idx="102">
                  <c:v>1839.4404300000001</c:v>
                </c:pt>
                <c:pt idx="103">
                  <c:v>1839.840332</c:v>
                </c:pt>
                <c:pt idx="104">
                  <c:v>1839.5073239999999</c:v>
                </c:pt>
                <c:pt idx="105">
                  <c:v>1839.5645750000001</c:v>
                </c:pt>
                <c:pt idx="106">
                  <c:v>1839.2508539999999</c:v>
                </c:pt>
                <c:pt idx="107">
                  <c:v>1839.0863039999999</c:v>
                </c:pt>
                <c:pt idx="108">
                  <c:v>1840.1789550000001</c:v>
                </c:pt>
                <c:pt idx="109">
                  <c:v>1839.9567870000001</c:v>
                </c:pt>
                <c:pt idx="110">
                  <c:v>1839.236206</c:v>
                </c:pt>
                <c:pt idx="111">
                  <c:v>1839.9157709999999</c:v>
                </c:pt>
                <c:pt idx="112">
                  <c:v>1839.110962</c:v>
                </c:pt>
                <c:pt idx="113">
                  <c:v>1839.765259</c:v>
                </c:pt>
                <c:pt idx="114">
                  <c:v>1840.268188</c:v>
                </c:pt>
                <c:pt idx="115">
                  <c:v>1840.540405</c:v>
                </c:pt>
                <c:pt idx="116">
                  <c:v>1841.814087</c:v>
                </c:pt>
                <c:pt idx="117">
                  <c:v>1926.6694339999999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50 - 1050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Cu_1stPhase!$F$2:$F$102</c:f>
              <c:numCache>
                <c:formatCode>General</c:formatCode>
                <c:ptCount val="10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</c:numCache>
            </c:numRef>
          </c:xVal>
          <c:yVal>
            <c:numRef>
              <c:f>Cu_1stPhase!$G$2:$G$102</c:f>
              <c:numCache>
                <c:formatCode>General</c:formatCode>
                <c:ptCount val="101"/>
                <c:pt idx="0">
                  <c:v>7.5510965452981651</c:v>
                </c:pt>
                <c:pt idx="1">
                  <c:v>7.5509779852611123</c:v>
                </c:pt>
                <c:pt idx="2">
                  <c:v>7.5511365754377362</c:v>
                </c:pt>
                <c:pt idx="3">
                  <c:v>7.5504355609638552</c:v>
                </c:pt>
                <c:pt idx="4">
                  <c:v>7.5505814644236269</c:v>
                </c:pt>
                <c:pt idx="5">
                  <c:v>7.5507553906186402</c:v>
                </c:pt>
                <c:pt idx="6">
                  <c:v>7.5503913297103837</c:v>
                </c:pt>
                <c:pt idx="7">
                  <c:v>7.5498257843224845</c:v>
                </c:pt>
                <c:pt idx="8">
                  <c:v>7.5499724833570063</c:v>
                </c:pt>
                <c:pt idx="9">
                  <c:v>7.5492356885787322</c:v>
                </c:pt>
                <c:pt idx="10">
                  <c:v>7.5488846401180654</c:v>
                </c:pt>
                <c:pt idx="11">
                  <c:v>7.5481275481018573</c:v>
                </c:pt>
                <c:pt idx="12">
                  <c:v>7.547542887134834</c:v>
                </c:pt>
                <c:pt idx="13">
                  <c:v>7.5469701238410059</c:v>
                </c:pt>
                <c:pt idx="14">
                  <c:v>7.5459415592818919</c:v>
                </c:pt>
                <c:pt idx="15">
                  <c:v>7.5447176210355957</c:v>
                </c:pt>
                <c:pt idx="16">
                  <c:v>7.5423265951818612</c:v>
                </c:pt>
                <c:pt idx="17">
                  <c:v>7.5399750536724319</c:v>
                </c:pt>
                <c:pt idx="18">
                  <c:v>7.5384303565577957</c:v>
                </c:pt>
                <c:pt idx="19">
                  <c:v>7.5365011684547039</c:v>
                </c:pt>
                <c:pt idx="20">
                  <c:v>7.5349205142355542</c:v>
                </c:pt>
                <c:pt idx="21">
                  <c:v>7.5339616413314658</c:v>
                </c:pt>
                <c:pt idx="22">
                  <c:v>7.5331528641527221</c:v>
                </c:pt>
                <c:pt idx="23">
                  <c:v>7.5324684049236108</c:v>
                </c:pt>
                <c:pt idx="24">
                  <c:v>7.5323309469495738</c:v>
                </c:pt>
                <c:pt idx="25">
                  <c:v>7.5317580349643984</c:v>
                </c:pt>
                <c:pt idx="26">
                  <c:v>7.5314092361142588</c:v>
                </c:pt>
                <c:pt idx="27">
                  <c:v>7.5314883348761823</c:v>
                </c:pt>
                <c:pt idx="28">
                  <c:v>7.5313775033088604</c:v>
                </c:pt>
                <c:pt idx="29">
                  <c:v>7.5310203245632437</c:v>
                </c:pt>
                <c:pt idx="30">
                  <c:v>7.5305907299940467</c:v>
                </c:pt>
                <c:pt idx="31">
                  <c:v>7.5306180350738243</c:v>
                </c:pt>
                <c:pt idx="32">
                  <c:v>7.5308644690727826</c:v>
                </c:pt>
                <c:pt idx="33">
                  <c:v>7.5302910433823822</c:v>
                </c:pt>
                <c:pt idx="34">
                  <c:v>7.5299467125176358</c:v>
                </c:pt>
                <c:pt idx="35">
                  <c:v>7.5304523585975538</c:v>
                </c:pt>
                <c:pt idx="36">
                  <c:v>7.5299158500940786</c:v>
                </c:pt>
                <c:pt idx="37">
                  <c:v>7.5297374744735315</c:v>
                </c:pt>
                <c:pt idx="38">
                  <c:v>7.5291759269703586</c:v>
                </c:pt>
                <c:pt idx="39">
                  <c:v>7.5288697155352136</c:v>
                </c:pt>
                <c:pt idx="40">
                  <c:v>7.5285600648387936</c:v>
                </c:pt>
                <c:pt idx="41">
                  <c:v>7.5287812259003832</c:v>
                </c:pt>
                <c:pt idx="42">
                  <c:v>7.5292190079385506</c:v>
                </c:pt>
                <c:pt idx="43">
                  <c:v>7.5292330400083136</c:v>
                </c:pt>
                <c:pt idx="44">
                  <c:v>7.5281949858477955</c:v>
                </c:pt>
                <c:pt idx="45">
                  <c:v>7.5274809817740822</c:v>
                </c:pt>
                <c:pt idx="46">
                  <c:v>7.5270716144466485</c:v>
                </c:pt>
                <c:pt idx="47">
                  <c:v>7.5268977255206595</c:v>
                </c:pt>
                <c:pt idx="48">
                  <c:v>7.5267166410507205</c:v>
                </c:pt>
                <c:pt idx="49">
                  <c:v>7.526585095929037</c:v>
                </c:pt>
                <c:pt idx="50">
                  <c:v>7.5253414339866325</c:v>
                </c:pt>
                <c:pt idx="51">
                  <c:v>7.5243237113027117</c:v>
                </c:pt>
                <c:pt idx="52">
                  <c:v>7.5233585092474158</c:v>
                </c:pt>
                <c:pt idx="53">
                  <c:v>7.5227548921219674</c:v>
                </c:pt>
                <c:pt idx="54">
                  <c:v>7.5224319204469463</c:v>
                </c:pt>
                <c:pt idx="55">
                  <c:v>7.5220546248900346</c:v>
                </c:pt>
                <c:pt idx="56">
                  <c:v>7.5221821448713753</c:v>
                </c:pt>
                <c:pt idx="57">
                  <c:v>7.5217811057500068</c:v>
                </c:pt>
                <c:pt idx="58">
                  <c:v>7.5220791922987473</c:v>
                </c:pt>
                <c:pt idx="59">
                  <c:v>7.5216423688356473</c:v>
                </c:pt>
                <c:pt idx="60">
                  <c:v>7.5216427655666251</c:v>
                </c:pt>
                <c:pt idx="61">
                  <c:v>7.5216071533278113</c:v>
                </c:pt>
                <c:pt idx="62">
                  <c:v>7.5213580308319621</c:v>
                </c:pt>
                <c:pt idx="63">
                  <c:v>7.5212625282016008</c:v>
                </c:pt>
                <c:pt idx="64">
                  <c:v>7.5209898500304133</c:v>
                </c:pt>
                <c:pt idx="65">
                  <c:v>7.5209126273456137</c:v>
                </c:pt>
                <c:pt idx="66">
                  <c:v>7.5200952080126937</c:v>
                </c:pt>
                <c:pt idx="67">
                  <c:v>7.5191778422512021</c:v>
                </c:pt>
                <c:pt idx="68">
                  <c:v>7.5187561818323339</c:v>
                </c:pt>
                <c:pt idx="69">
                  <c:v>7.5186208681878695</c:v>
                </c:pt>
                <c:pt idx="70">
                  <c:v>7.5189011497256626</c:v>
                </c:pt>
                <c:pt idx="71">
                  <c:v>7.5184608146766152</c:v>
                </c:pt>
                <c:pt idx="72">
                  <c:v>7.5183358683857904</c:v>
                </c:pt>
                <c:pt idx="73">
                  <c:v>7.5183565502218537</c:v>
                </c:pt>
                <c:pt idx="74">
                  <c:v>7.5182046748940712</c:v>
                </c:pt>
                <c:pt idx="75">
                  <c:v>7.5182305302425929</c:v>
                </c:pt>
                <c:pt idx="76">
                  <c:v>7.5171497279411872</c:v>
                </c:pt>
                <c:pt idx="77">
                  <c:v>7.5177067914671314</c:v>
                </c:pt>
                <c:pt idx="78">
                  <c:v>7.5177109705725629</c:v>
                </c:pt>
                <c:pt idx="79">
                  <c:v>7.5174400419033134</c:v>
                </c:pt>
                <c:pt idx="80">
                  <c:v>7.5175476524177727</c:v>
                </c:pt>
                <c:pt idx="81">
                  <c:v>7.5173506013288369</c:v>
                </c:pt>
                <c:pt idx="82">
                  <c:v>7.5172092574977238</c:v>
                </c:pt>
                <c:pt idx="83">
                  <c:v>7.5173786682129853</c:v>
                </c:pt>
                <c:pt idx="84">
                  <c:v>7.5173407142707607</c:v>
                </c:pt>
                <c:pt idx="85">
                  <c:v>7.5172217335893885</c:v>
                </c:pt>
                <c:pt idx="86">
                  <c:v>7.517341112712014</c:v>
                </c:pt>
                <c:pt idx="87">
                  <c:v>7.5174380515231078</c:v>
                </c:pt>
                <c:pt idx="88">
                  <c:v>7.5170783804449384</c:v>
                </c:pt>
                <c:pt idx="89">
                  <c:v>7.5176292485321117</c:v>
                </c:pt>
                <c:pt idx="90">
                  <c:v>7.516891393297211</c:v>
                </c:pt>
                <c:pt idx="91">
                  <c:v>7.5172711721533521</c:v>
                </c:pt>
                <c:pt idx="92">
                  <c:v>7.5173345435750418</c:v>
                </c:pt>
                <c:pt idx="93">
                  <c:v>7.5169115073824582</c:v>
                </c:pt>
                <c:pt idx="94">
                  <c:v>7.5171558997774488</c:v>
                </c:pt>
                <c:pt idx="95">
                  <c:v>7.5170268084756184</c:v>
                </c:pt>
                <c:pt idx="96">
                  <c:v>7.5164987855376486</c:v>
                </c:pt>
                <c:pt idx="97">
                  <c:v>7.5170310562168199</c:v>
                </c:pt>
                <c:pt idx="98">
                  <c:v>7.5172505347231597</c:v>
                </c:pt>
                <c:pt idx="99">
                  <c:v>7.5169180129546627</c:v>
                </c:pt>
                <c:pt idx="100">
                  <c:v>7.5173137742729033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50 - 1050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3312811350035385"/>
                  <c:y val="-5.6990011665208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Cu_1stPhase!$F$2:$F$102</c:f>
              <c:numCache>
                <c:formatCode>General</c:formatCode>
                <c:ptCount val="10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</c:numCache>
            </c:numRef>
          </c:xVal>
          <c:yVal>
            <c:numRef>
              <c:f>Cu_1stPhase!$B$2:$B$102</c:f>
              <c:numCache>
                <c:formatCode>General</c:formatCode>
                <c:ptCount val="101"/>
                <c:pt idx="0">
                  <c:v>1902.828125</c:v>
                </c:pt>
                <c:pt idx="1">
                  <c:v>1902.602539</c:v>
                </c:pt>
                <c:pt idx="2">
                  <c:v>1902.904297</c:v>
                </c:pt>
                <c:pt idx="3">
                  <c:v>1901.5708010000001</c:v>
                </c:pt>
                <c:pt idx="4">
                  <c:v>1901.8482670000001</c:v>
                </c:pt>
                <c:pt idx="5">
                  <c:v>1902.179077</c:v>
                </c:pt>
                <c:pt idx="6">
                  <c:v>1901.4866939999999</c:v>
                </c:pt>
                <c:pt idx="7">
                  <c:v>1900.411621</c:v>
                </c:pt>
                <c:pt idx="8">
                  <c:v>1900.6904300000001</c:v>
                </c:pt>
                <c:pt idx="9">
                  <c:v>1899.2905270000001</c:v>
                </c:pt>
                <c:pt idx="10">
                  <c:v>1898.6239009999999</c:v>
                </c:pt>
                <c:pt idx="11">
                  <c:v>1897.1870120000001</c:v>
                </c:pt>
                <c:pt idx="12">
                  <c:v>1896.078125</c:v>
                </c:pt>
                <c:pt idx="13">
                  <c:v>1894.992432</c:v>
                </c:pt>
                <c:pt idx="14">
                  <c:v>1893.044312</c:v>
                </c:pt>
                <c:pt idx="15">
                  <c:v>1890.72876</c:v>
                </c:pt>
                <c:pt idx="16">
                  <c:v>1886.213379</c:v>
                </c:pt>
                <c:pt idx="17">
                  <c:v>1881.783081</c:v>
                </c:pt>
                <c:pt idx="18">
                  <c:v>1878.8785399999999</c:v>
                </c:pt>
                <c:pt idx="19">
                  <c:v>1875.2573239999999</c:v>
                </c:pt>
                <c:pt idx="20">
                  <c:v>1872.2955320000001</c:v>
                </c:pt>
                <c:pt idx="21">
                  <c:v>1870.5010990000001</c:v>
                </c:pt>
                <c:pt idx="22">
                  <c:v>1868.9888920000001</c:v>
                </c:pt>
                <c:pt idx="23">
                  <c:v>1867.7100829999999</c:v>
                </c:pt>
                <c:pt idx="24">
                  <c:v>1867.4533690000001</c:v>
                </c:pt>
                <c:pt idx="25">
                  <c:v>1866.383789</c:v>
                </c:pt>
                <c:pt idx="26">
                  <c:v>1865.7329099999999</c:v>
                </c:pt>
                <c:pt idx="27">
                  <c:v>1865.8804929999999</c:v>
                </c:pt>
                <c:pt idx="28">
                  <c:v>1865.673706</c:v>
                </c:pt>
                <c:pt idx="29">
                  <c:v>1865.0074460000001</c:v>
                </c:pt>
                <c:pt idx="30">
                  <c:v>1864.2064210000001</c:v>
                </c:pt>
                <c:pt idx="31">
                  <c:v>1864.2573239999999</c:v>
                </c:pt>
                <c:pt idx="32">
                  <c:v>1864.716797</c:v>
                </c:pt>
                <c:pt idx="33">
                  <c:v>1863.647827</c:v>
                </c:pt>
                <c:pt idx="34">
                  <c:v>1863.006226</c:v>
                </c:pt>
                <c:pt idx="35">
                  <c:v>1863.948486</c:v>
                </c:pt>
                <c:pt idx="36">
                  <c:v>1862.9487300000001</c:v>
                </c:pt>
                <c:pt idx="37">
                  <c:v>1862.6164550000001</c:v>
                </c:pt>
                <c:pt idx="38">
                  <c:v>1861.5708010000001</c:v>
                </c:pt>
                <c:pt idx="39">
                  <c:v>1861.0008539999999</c:v>
                </c:pt>
                <c:pt idx="40">
                  <c:v>1860.424683</c:v>
                </c:pt>
                <c:pt idx="41">
                  <c:v>1860.836182</c:v>
                </c:pt>
                <c:pt idx="42">
                  <c:v>1861.651001</c:v>
                </c:pt>
                <c:pt idx="43">
                  <c:v>1861.677124</c:v>
                </c:pt>
                <c:pt idx="44">
                  <c:v>1859.7456050000001</c:v>
                </c:pt>
                <c:pt idx="45">
                  <c:v>1858.4182129999999</c:v>
                </c:pt>
                <c:pt idx="46">
                  <c:v>1857.6575929999999</c:v>
                </c:pt>
                <c:pt idx="47">
                  <c:v>1857.334595</c:v>
                </c:pt>
                <c:pt idx="48">
                  <c:v>1856.9982910000001</c:v>
                </c:pt>
                <c:pt idx="49">
                  <c:v>1856.7540280000001</c:v>
                </c:pt>
                <c:pt idx="50">
                  <c:v>1854.446289</c:v>
                </c:pt>
                <c:pt idx="51">
                  <c:v>1852.559937</c:v>
                </c:pt>
                <c:pt idx="52">
                  <c:v>1850.7727050000001</c:v>
                </c:pt>
                <c:pt idx="53">
                  <c:v>1849.655884</c:v>
                </c:pt>
                <c:pt idx="54">
                  <c:v>1849.0585940000001</c:v>
                </c:pt>
                <c:pt idx="55">
                  <c:v>1848.3610839999999</c:v>
                </c:pt>
                <c:pt idx="56">
                  <c:v>1848.596802</c:v>
                </c:pt>
                <c:pt idx="57">
                  <c:v>1847.855591</c:v>
                </c:pt>
                <c:pt idx="58">
                  <c:v>1848.4064940000001</c:v>
                </c:pt>
                <c:pt idx="59">
                  <c:v>1847.5992429999999</c:v>
                </c:pt>
                <c:pt idx="60">
                  <c:v>1847.599976</c:v>
                </c:pt>
                <c:pt idx="61">
                  <c:v>1847.5341800000001</c:v>
                </c:pt>
                <c:pt idx="62">
                  <c:v>1847.073975</c:v>
                </c:pt>
                <c:pt idx="63">
                  <c:v>1846.8975829999999</c:v>
                </c:pt>
                <c:pt idx="64">
                  <c:v>1846.394043</c:v>
                </c:pt>
                <c:pt idx="65">
                  <c:v>1846.2514650000001</c:v>
                </c:pt>
                <c:pt idx="66">
                  <c:v>1844.7429199999999</c:v>
                </c:pt>
                <c:pt idx="67">
                  <c:v>1843.0513920000001</c:v>
                </c:pt>
                <c:pt idx="68">
                  <c:v>1842.274414</c:v>
                </c:pt>
                <c:pt idx="69">
                  <c:v>1842.0251459999999</c:v>
                </c:pt>
                <c:pt idx="70">
                  <c:v>1842.541504</c:v>
                </c:pt>
                <c:pt idx="71">
                  <c:v>1841.7303469999999</c:v>
                </c:pt>
                <c:pt idx="72">
                  <c:v>1841.5002440000001</c:v>
                </c:pt>
                <c:pt idx="73">
                  <c:v>1841.5383300000001</c:v>
                </c:pt>
                <c:pt idx="74">
                  <c:v>1841.2586670000001</c:v>
                </c:pt>
                <c:pt idx="75">
                  <c:v>1841.306274</c:v>
                </c:pt>
                <c:pt idx="76">
                  <c:v>1839.3172609999999</c:v>
                </c:pt>
                <c:pt idx="77">
                  <c:v>1840.342163</c:v>
                </c:pt>
                <c:pt idx="78">
                  <c:v>1840.3498540000001</c:v>
                </c:pt>
                <c:pt idx="79">
                  <c:v>1839.851318</c:v>
                </c:pt>
                <c:pt idx="80">
                  <c:v>1840.0493160000001</c:v>
                </c:pt>
                <c:pt idx="81">
                  <c:v>1839.686768</c:v>
                </c:pt>
                <c:pt idx="82">
                  <c:v>1839.4267580000001</c:v>
                </c:pt>
                <c:pt idx="83">
                  <c:v>1839.7384030000001</c:v>
                </c:pt>
                <c:pt idx="84">
                  <c:v>1839.6685789999999</c:v>
                </c:pt>
                <c:pt idx="85">
                  <c:v>1839.449707</c:v>
                </c:pt>
                <c:pt idx="86">
                  <c:v>1839.669312</c:v>
                </c:pt>
                <c:pt idx="87">
                  <c:v>1839.8476559999999</c:v>
                </c:pt>
                <c:pt idx="88">
                  <c:v>1839.1860349999999</c:v>
                </c:pt>
                <c:pt idx="89">
                  <c:v>1840.1994629999999</c:v>
                </c:pt>
                <c:pt idx="90">
                  <c:v>1838.842163</c:v>
                </c:pt>
                <c:pt idx="91">
                  <c:v>1839.540649</c:v>
                </c:pt>
                <c:pt idx="92">
                  <c:v>1839.6572269999999</c:v>
                </c:pt>
                <c:pt idx="93">
                  <c:v>1838.87915</c:v>
                </c:pt>
                <c:pt idx="94">
                  <c:v>1839.3286129999999</c:v>
                </c:pt>
                <c:pt idx="95">
                  <c:v>1839.091187</c:v>
                </c:pt>
                <c:pt idx="96">
                  <c:v>1838.120361</c:v>
                </c:pt>
                <c:pt idx="97">
                  <c:v>1839.098999</c:v>
                </c:pt>
                <c:pt idx="98">
                  <c:v>1839.502686</c:v>
                </c:pt>
                <c:pt idx="99">
                  <c:v>1838.8911129999999</c:v>
                </c:pt>
                <c:pt idx="100">
                  <c:v>1839.619019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PANI_1stPhase!$F$2:$F$194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PANI_1stPhase!$G$2:$G$194</c:f>
              <c:numCache>
                <c:formatCode>General</c:formatCode>
                <c:ptCount val="193"/>
                <c:pt idx="0">
                  <c:v>7.5773657291124632</c:v>
                </c:pt>
                <c:pt idx="1">
                  <c:v>7.5735473211987188</c:v>
                </c:pt>
                <c:pt idx="2">
                  <c:v>7.5700854715667214</c:v>
                </c:pt>
                <c:pt idx="3">
                  <c:v>7.5666224605746022</c:v>
                </c:pt>
                <c:pt idx="4">
                  <c:v>7.5644882826589477</c:v>
                </c:pt>
                <c:pt idx="5">
                  <c:v>7.5626804223059603</c:v>
                </c:pt>
                <c:pt idx="6">
                  <c:v>7.5609530139277883</c:v>
                </c:pt>
                <c:pt idx="7">
                  <c:v>7.5595411758815763</c:v>
                </c:pt>
                <c:pt idx="8">
                  <c:v>7.557944561645038</c:v>
                </c:pt>
                <c:pt idx="9">
                  <c:v>7.5570247427209098</c:v>
                </c:pt>
                <c:pt idx="10">
                  <c:v>7.5554752015347955</c:v>
                </c:pt>
                <c:pt idx="11">
                  <c:v>7.5555007498461348</c:v>
                </c:pt>
                <c:pt idx="12">
                  <c:v>7.5536707939825352</c:v>
                </c:pt>
                <c:pt idx="13">
                  <c:v>7.5525614103554171</c:v>
                </c:pt>
                <c:pt idx="14">
                  <c:v>7.5523778026224813</c:v>
                </c:pt>
                <c:pt idx="15">
                  <c:v>7.5512082916593943</c:v>
                </c:pt>
                <c:pt idx="16">
                  <c:v>7.5510328401954885</c:v>
                </c:pt>
                <c:pt idx="17">
                  <c:v>7.5504130924446899</c:v>
                </c:pt>
                <c:pt idx="18">
                  <c:v>7.5500134576278413</c:v>
                </c:pt>
                <c:pt idx="19">
                  <c:v>7.5491159435407464</c:v>
                </c:pt>
                <c:pt idx="20">
                  <c:v>7.5485601598776775</c:v>
                </c:pt>
                <c:pt idx="21">
                  <c:v>7.5477735356275755</c:v>
                </c:pt>
                <c:pt idx="22">
                  <c:v>7.5471637433358865</c:v>
                </c:pt>
                <c:pt idx="23">
                  <c:v>7.5469973715997103</c:v>
                </c:pt>
                <c:pt idx="24">
                  <c:v>7.5467254369938672</c:v>
                </c:pt>
                <c:pt idx="25">
                  <c:v>7.54614279211407</c:v>
                </c:pt>
                <c:pt idx="26">
                  <c:v>7.5454811693229775</c:v>
                </c:pt>
                <c:pt idx="27">
                  <c:v>7.5451672629184632</c:v>
                </c:pt>
                <c:pt idx="28">
                  <c:v>7.5445391538140028</c:v>
                </c:pt>
                <c:pt idx="29">
                  <c:v>7.5444597247780525</c:v>
                </c:pt>
                <c:pt idx="30">
                  <c:v>7.5438717518414755</c:v>
                </c:pt>
                <c:pt idx="31">
                  <c:v>7.543457211157274</c:v>
                </c:pt>
                <c:pt idx="32">
                  <c:v>7.5429405720624452</c:v>
                </c:pt>
                <c:pt idx="33">
                  <c:v>7.5426907570118358</c:v>
                </c:pt>
                <c:pt idx="34">
                  <c:v>7.5421506139225647</c:v>
                </c:pt>
                <c:pt idx="35">
                  <c:v>7.5417039521845943</c:v>
                </c:pt>
                <c:pt idx="36">
                  <c:v>7.5413661202063906</c:v>
                </c:pt>
                <c:pt idx="37">
                  <c:v>7.5407017819423476</c:v>
                </c:pt>
                <c:pt idx="38">
                  <c:v>7.5404770174193052</c:v>
                </c:pt>
                <c:pt idx="39">
                  <c:v>7.5407041157937407</c:v>
                </c:pt>
                <c:pt idx="40">
                  <c:v>7.5403970058435954</c:v>
                </c:pt>
                <c:pt idx="41">
                  <c:v>7.5396544175021365</c:v>
                </c:pt>
                <c:pt idx="42">
                  <c:v>7.5390872449700383</c:v>
                </c:pt>
                <c:pt idx="43">
                  <c:v>7.5388390626224657</c:v>
                </c:pt>
                <c:pt idx="44">
                  <c:v>7.5390256270995701</c:v>
                </c:pt>
                <c:pt idx="45">
                  <c:v>7.5383410838969134</c:v>
                </c:pt>
                <c:pt idx="46">
                  <c:v>7.5380123837715658</c:v>
                </c:pt>
                <c:pt idx="47">
                  <c:v>7.5382657096905872</c:v>
                </c:pt>
                <c:pt idx="48">
                  <c:v>7.5374579360374856</c:v>
                </c:pt>
                <c:pt idx="49">
                  <c:v>7.5376376058789534</c:v>
                </c:pt>
                <c:pt idx="50">
                  <c:v>7.5371341494491517</c:v>
                </c:pt>
                <c:pt idx="51">
                  <c:v>7.5369746244311688</c:v>
                </c:pt>
                <c:pt idx="52">
                  <c:v>7.5365844868819076</c:v>
                </c:pt>
                <c:pt idx="53">
                  <c:v>7.5365143174970086</c:v>
                </c:pt>
                <c:pt idx="54">
                  <c:v>7.5357405019750665</c:v>
                </c:pt>
                <c:pt idx="55">
                  <c:v>7.5357109257714976</c:v>
                </c:pt>
                <c:pt idx="56">
                  <c:v>7.5358707175911208</c:v>
                </c:pt>
                <c:pt idx="57">
                  <c:v>7.5356903393209125</c:v>
                </c:pt>
                <c:pt idx="58">
                  <c:v>7.5355316257283924</c:v>
                </c:pt>
                <c:pt idx="59">
                  <c:v>7.5351270409621636</c:v>
                </c:pt>
                <c:pt idx="60">
                  <c:v>7.5350334964256147</c:v>
                </c:pt>
                <c:pt idx="61">
                  <c:v>7.5351758633227277</c:v>
                </c:pt>
                <c:pt idx="62">
                  <c:v>7.5342030116832346</c:v>
                </c:pt>
                <c:pt idx="63">
                  <c:v>7.5343843109010136</c:v>
                </c:pt>
                <c:pt idx="64">
                  <c:v>7.5343892684264286</c:v>
                </c:pt>
                <c:pt idx="65">
                  <c:v>7.5339941406506084</c:v>
                </c:pt>
                <c:pt idx="66">
                  <c:v>7.5338429901496236</c:v>
                </c:pt>
                <c:pt idx="67">
                  <c:v>7.5335128726429552</c:v>
                </c:pt>
                <c:pt idx="68">
                  <c:v>7.5333646535765171</c:v>
                </c:pt>
                <c:pt idx="69">
                  <c:v>7.5331808831883498</c:v>
                </c:pt>
                <c:pt idx="70">
                  <c:v>7.5330203992687101</c:v>
                </c:pt>
                <c:pt idx="71">
                  <c:v>7.5332496540511968</c:v>
                </c:pt>
                <c:pt idx="72">
                  <c:v>7.5330458743800941</c:v>
                </c:pt>
                <c:pt idx="73">
                  <c:v>7.5327115737000847</c:v>
                </c:pt>
                <c:pt idx="74">
                  <c:v>7.5327337899145874</c:v>
                </c:pt>
                <c:pt idx="75">
                  <c:v>7.5322878691763764</c:v>
                </c:pt>
                <c:pt idx="76">
                  <c:v>7.5322277267293698</c:v>
                </c:pt>
                <c:pt idx="77">
                  <c:v>7.5322196855056607</c:v>
                </c:pt>
                <c:pt idx="78">
                  <c:v>7.5317771332119472</c:v>
                </c:pt>
                <c:pt idx="79">
                  <c:v>7.5313216902770925</c:v>
                </c:pt>
                <c:pt idx="80">
                  <c:v>7.5315156813769377</c:v>
                </c:pt>
                <c:pt idx="81">
                  <c:v>7.5313215594859289</c:v>
                </c:pt>
                <c:pt idx="82">
                  <c:v>7.53127235238503</c:v>
                </c:pt>
                <c:pt idx="83">
                  <c:v>7.5312485329992329</c:v>
                </c:pt>
                <c:pt idx="84">
                  <c:v>7.5299955259779194</c:v>
                </c:pt>
                <c:pt idx="85">
                  <c:v>7.5296974960398249</c:v>
                </c:pt>
                <c:pt idx="86">
                  <c:v>7.5296039667948511</c:v>
                </c:pt>
                <c:pt idx="87">
                  <c:v>7.5292201880731211</c:v>
                </c:pt>
                <c:pt idx="88">
                  <c:v>7.5292808393136088</c:v>
                </c:pt>
                <c:pt idx="89">
                  <c:v>7.5294526758881686</c:v>
                </c:pt>
                <c:pt idx="90">
                  <c:v>7.5293919034883485</c:v>
                </c:pt>
                <c:pt idx="91">
                  <c:v>7.5293644993842666</c:v>
                </c:pt>
                <c:pt idx="92">
                  <c:v>7.5294077032712527</c:v>
                </c:pt>
                <c:pt idx="93">
                  <c:v>7.5289363570239631</c:v>
                </c:pt>
                <c:pt idx="94">
                  <c:v>7.529111268730567</c:v>
                </c:pt>
                <c:pt idx="95">
                  <c:v>7.5291698938751503</c:v>
                </c:pt>
                <c:pt idx="96">
                  <c:v>7.5293339471523222</c:v>
                </c:pt>
                <c:pt idx="97">
                  <c:v>7.5295258330960353</c:v>
                </c:pt>
                <c:pt idx="98">
                  <c:v>7.5292812985548627</c:v>
                </c:pt>
                <c:pt idx="99">
                  <c:v>7.5294179959014906</c:v>
                </c:pt>
                <c:pt idx="100">
                  <c:v>7.5294794873937052</c:v>
                </c:pt>
                <c:pt idx="101">
                  <c:v>7.5296844535642631</c:v>
                </c:pt>
                <c:pt idx="102">
                  <c:v>7.5295641140444944</c:v>
                </c:pt>
                <c:pt idx="103">
                  <c:v>7.5293113276409578</c:v>
                </c:pt>
                <c:pt idx="104">
                  <c:v>7.5293944604503285</c:v>
                </c:pt>
                <c:pt idx="105">
                  <c:v>7.5295763059254357</c:v>
                </c:pt>
                <c:pt idx="106">
                  <c:v>7.529262021520446</c:v>
                </c:pt>
                <c:pt idx="107">
                  <c:v>7.5296845190669934</c:v>
                </c:pt>
                <c:pt idx="108">
                  <c:v>7.5295232764699485</c:v>
                </c:pt>
                <c:pt idx="109">
                  <c:v>7.5296222535632547</c:v>
                </c:pt>
                <c:pt idx="110">
                  <c:v>7.5296634151536281</c:v>
                </c:pt>
                <c:pt idx="111">
                  <c:v>7.5295954458852723</c:v>
                </c:pt>
                <c:pt idx="112">
                  <c:v>7.5302923537149269</c:v>
                </c:pt>
                <c:pt idx="113">
                  <c:v>7.5298770586874895</c:v>
                </c:pt>
                <c:pt idx="114">
                  <c:v>7.5300998940462707</c:v>
                </c:pt>
                <c:pt idx="115">
                  <c:v>7.5305122806685629</c:v>
                </c:pt>
                <c:pt idx="116">
                  <c:v>7.5304246562680115</c:v>
                </c:pt>
                <c:pt idx="117">
                  <c:v>7.5307961228470477</c:v>
                </c:pt>
                <c:pt idx="118">
                  <c:v>7.5307017142262982</c:v>
                </c:pt>
                <c:pt idx="119">
                  <c:v>7.5309042700351245</c:v>
                </c:pt>
                <c:pt idx="120">
                  <c:v>7.5310444110402663</c:v>
                </c:pt>
                <c:pt idx="121">
                  <c:v>7.5309843905490244</c:v>
                </c:pt>
                <c:pt idx="122">
                  <c:v>7.5311893101458383</c:v>
                </c:pt>
                <c:pt idx="123">
                  <c:v>7.531503774652581</c:v>
                </c:pt>
                <c:pt idx="124">
                  <c:v>7.5312827566373599</c:v>
                </c:pt>
                <c:pt idx="125">
                  <c:v>7.5324313460229089</c:v>
                </c:pt>
                <c:pt idx="126">
                  <c:v>7.53272817060357</c:v>
                </c:pt>
                <c:pt idx="127">
                  <c:v>7.5331201411114534</c:v>
                </c:pt>
                <c:pt idx="128">
                  <c:v>7.5337790249257752</c:v>
                </c:pt>
                <c:pt idx="129">
                  <c:v>7.5340154800001979</c:v>
                </c:pt>
                <c:pt idx="130">
                  <c:v>7.5356972447470083</c:v>
                </c:pt>
                <c:pt idx="131">
                  <c:v>7.540956825598701</c:v>
                </c:pt>
                <c:pt idx="132">
                  <c:v>7.5380272029461688</c:v>
                </c:pt>
                <c:pt idx="133">
                  <c:v>7.5373329349090543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PANI_1stPhase!$F$2:$F$197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PANI_1stPhase!$B$2:$B$197</c:f>
              <c:numCache>
                <c:formatCode>General</c:formatCode>
                <c:ptCount val="196"/>
                <c:pt idx="0">
                  <c:v>1953.4761960000001</c:v>
                </c:pt>
                <c:pt idx="1">
                  <c:v>1946.03125</c:v>
                </c:pt>
                <c:pt idx="2">
                  <c:v>1939.30603</c:v>
                </c:pt>
                <c:pt idx="3">
                  <c:v>1932.601807</c:v>
                </c:pt>
                <c:pt idx="4">
                  <c:v>1928.481689</c:v>
                </c:pt>
                <c:pt idx="5">
                  <c:v>1924.998413</c:v>
                </c:pt>
                <c:pt idx="6">
                  <c:v>1921.676025</c:v>
                </c:pt>
                <c:pt idx="7">
                  <c:v>1918.9648440000001</c:v>
                </c:pt>
                <c:pt idx="8">
                  <c:v>1915.903442</c:v>
                </c:pt>
                <c:pt idx="9">
                  <c:v>1914.1419679999999</c:v>
                </c:pt>
                <c:pt idx="10">
                  <c:v>1911.1782229999999</c:v>
                </c:pt>
                <c:pt idx="11">
                  <c:v>1911.2270510000001</c:v>
                </c:pt>
                <c:pt idx="12">
                  <c:v>1907.732788</c:v>
                </c:pt>
                <c:pt idx="13">
                  <c:v>1905.6175539999999</c:v>
                </c:pt>
                <c:pt idx="14">
                  <c:v>1905.2677000000001</c:v>
                </c:pt>
                <c:pt idx="15">
                  <c:v>1903.0407709999999</c:v>
                </c:pt>
                <c:pt idx="16">
                  <c:v>1902.706909</c:v>
                </c:pt>
                <c:pt idx="17">
                  <c:v>1901.5280760000001</c:v>
                </c:pt>
                <c:pt idx="18">
                  <c:v>1900.768311</c:v>
                </c:pt>
                <c:pt idx="19">
                  <c:v>1899.0631100000001</c:v>
                </c:pt>
                <c:pt idx="20">
                  <c:v>1898.0079350000001</c:v>
                </c:pt>
                <c:pt idx="21">
                  <c:v>1896.5155030000001</c:v>
                </c:pt>
                <c:pt idx="22">
                  <c:v>1895.359375</c:v>
                </c:pt>
                <c:pt idx="23">
                  <c:v>1895.044067</c:v>
                </c:pt>
                <c:pt idx="24">
                  <c:v>1894.5288089999999</c:v>
                </c:pt>
                <c:pt idx="25">
                  <c:v>1893.425293</c:v>
                </c:pt>
                <c:pt idx="26">
                  <c:v>1892.1729740000001</c:v>
                </c:pt>
                <c:pt idx="27">
                  <c:v>1891.5791019999999</c:v>
                </c:pt>
                <c:pt idx="28">
                  <c:v>1890.391357</c:v>
                </c:pt>
                <c:pt idx="29">
                  <c:v>1890.241211</c:v>
                </c:pt>
                <c:pt idx="30">
                  <c:v>1889.1301269999999</c:v>
                </c:pt>
                <c:pt idx="31">
                  <c:v>1888.347168</c:v>
                </c:pt>
                <c:pt idx="32">
                  <c:v>1887.3718260000001</c:v>
                </c:pt>
                <c:pt idx="33">
                  <c:v>1886.9003909999999</c:v>
                </c:pt>
                <c:pt idx="34">
                  <c:v>1885.88147</c:v>
                </c:pt>
                <c:pt idx="35">
                  <c:v>1885.039307</c:v>
                </c:pt>
                <c:pt idx="36">
                  <c:v>1884.4025879999999</c:v>
                </c:pt>
                <c:pt idx="37">
                  <c:v>1883.1511230000001</c:v>
                </c:pt>
                <c:pt idx="38">
                  <c:v>1882.727905</c:v>
                </c:pt>
                <c:pt idx="39">
                  <c:v>1883.155518</c:v>
                </c:pt>
                <c:pt idx="40">
                  <c:v>1882.5772710000001</c:v>
                </c:pt>
                <c:pt idx="41">
                  <c:v>1881.1798100000001</c:v>
                </c:pt>
                <c:pt idx="42">
                  <c:v>1880.113159</c:v>
                </c:pt>
                <c:pt idx="43">
                  <c:v>1879.646606</c:v>
                </c:pt>
                <c:pt idx="44">
                  <c:v>1879.997314</c:v>
                </c:pt>
                <c:pt idx="45">
                  <c:v>1878.7108149999999</c:v>
                </c:pt>
                <c:pt idx="46">
                  <c:v>1878.093384</c:v>
                </c:pt>
                <c:pt idx="47">
                  <c:v>1878.5692140000001</c:v>
                </c:pt>
                <c:pt idx="48">
                  <c:v>1877.0523679999999</c:v>
                </c:pt>
                <c:pt idx="49">
                  <c:v>1877.3896480000001</c:v>
                </c:pt>
                <c:pt idx="50">
                  <c:v>1876.444702</c:v>
                </c:pt>
                <c:pt idx="51">
                  <c:v>1876.1453859999999</c:v>
                </c:pt>
                <c:pt idx="52">
                  <c:v>1875.4135739999999</c:v>
                </c:pt>
                <c:pt idx="53">
                  <c:v>1875.281982</c:v>
                </c:pt>
                <c:pt idx="54">
                  <c:v>1873.8314210000001</c:v>
                </c:pt>
                <c:pt idx="55">
                  <c:v>1873.776001</c:v>
                </c:pt>
                <c:pt idx="56">
                  <c:v>1874.075439</c:v>
                </c:pt>
                <c:pt idx="57">
                  <c:v>1873.737427</c:v>
                </c:pt>
                <c:pt idx="58">
                  <c:v>1873.440063</c:v>
                </c:pt>
                <c:pt idx="59">
                  <c:v>1872.682251</c:v>
                </c:pt>
                <c:pt idx="60">
                  <c:v>1872.5070800000001</c:v>
                </c:pt>
                <c:pt idx="61">
                  <c:v>1872.773682</c:v>
                </c:pt>
                <c:pt idx="62">
                  <c:v>1870.9526370000001</c:v>
                </c:pt>
                <c:pt idx="63">
                  <c:v>1871.29187</c:v>
                </c:pt>
                <c:pt idx="64">
                  <c:v>1871.3011469999999</c:v>
                </c:pt>
                <c:pt idx="65">
                  <c:v>1870.5618899999999</c:v>
                </c:pt>
                <c:pt idx="66">
                  <c:v>1870.2791749999999</c:v>
                </c:pt>
                <c:pt idx="67">
                  <c:v>1869.661865</c:v>
                </c:pt>
                <c:pt idx="68">
                  <c:v>1869.3847659999999</c:v>
                </c:pt>
                <c:pt idx="69">
                  <c:v>1869.04126</c:v>
                </c:pt>
                <c:pt idx="70">
                  <c:v>1868.7413329999999</c:v>
                </c:pt>
                <c:pt idx="71">
                  <c:v>1869.1697999999999</c:v>
                </c:pt>
                <c:pt idx="72">
                  <c:v>1868.7889399999999</c:v>
                </c:pt>
                <c:pt idx="73">
                  <c:v>1868.164307</c:v>
                </c:pt>
                <c:pt idx="74">
                  <c:v>1868.205811</c:v>
                </c:pt>
                <c:pt idx="75">
                  <c:v>1867.3729249999999</c:v>
                </c:pt>
                <c:pt idx="76">
                  <c:v>1867.26062</c:v>
                </c:pt>
                <c:pt idx="77">
                  <c:v>1867.2456050000001</c:v>
                </c:pt>
                <c:pt idx="78">
                  <c:v>1866.4194339999999</c:v>
                </c:pt>
                <c:pt idx="79">
                  <c:v>1865.5695800000001</c:v>
                </c:pt>
                <c:pt idx="80">
                  <c:v>1865.931519</c:v>
                </c:pt>
                <c:pt idx="81">
                  <c:v>1865.569336</c:v>
                </c:pt>
                <c:pt idx="82">
                  <c:v>1865.477539</c:v>
                </c:pt>
                <c:pt idx="83">
                  <c:v>1865.4331050000001</c:v>
                </c:pt>
                <c:pt idx="84">
                  <c:v>1863.097168</c:v>
                </c:pt>
                <c:pt idx="85">
                  <c:v>1862.5419919999999</c:v>
                </c:pt>
                <c:pt idx="86">
                  <c:v>1862.367798</c:v>
                </c:pt>
                <c:pt idx="87">
                  <c:v>1861.653198</c:v>
                </c:pt>
                <c:pt idx="88">
                  <c:v>1861.7661129999999</c:v>
                </c:pt>
                <c:pt idx="89">
                  <c:v>1862.0860600000001</c:v>
                </c:pt>
                <c:pt idx="90">
                  <c:v>1861.9729</c:v>
                </c:pt>
                <c:pt idx="91">
                  <c:v>1861.921875</c:v>
                </c:pt>
                <c:pt idx="92">
                  <c:v>1862.0023189999999</c:v>
                </c:pt>
                <c:pt idx="93">
                  <c:v>1861.1248780000001</c:v>
                </c:pt>
                <c:pt idx="94">
                  <c:v>1861.450439</c:v>
                </c:pt>
                <c:pt idx="95">
                  <c:v>1861.5595699999999</c:v>
                </c:pt>
                <c:pt idx="96">
                  <c:v>1861.86499</c:v>
                </c:pt>
                <c:pt idx="97">
                  <c:v>1862.2222899999999</c:v>
                </c:pt>
                <c:pt idx="98">
                  <c:v>1861.7669679999999</c:v>
                </c:pt>
                <c:pt idx="99">
                  <c:v>1862.0214840000001</c:v>
                </c:pt>
                <c:pt idx="100">
                  <c:v>1862.135986</c:v>
                </c:pt>
                <c:pt idx="101">
                  <c:v>1862.5177000000001</c:v>
                </c:pt>
                <c:pt idx="102">
                  <c:v>1862.2935789999999</c:v>
                </c:pt>
                <c:pt idx="103">
                  <c:v>1861.822876</c:v>
                </c:pt>
                <c:pt idx="104">
                  <c:v>1861.9776609999999</c:v>
                </c:pt>
                <c:pt idx="105">
                  <c:v>1862.316284</c:v>
                </c:pt>
                <c:pt idx="106">
                  <c:v>1861.7310789999999</c:v>
                </c:pt>
                <c:pt idx="107">
                  <c:v>1862.517822</c:v>
                </c:pt>
                <c:pt idx="108">
                  <c:v>1862.217529</c:v>
                </c:pt>
                <c:pt idx="109">
                  <c:v>1862.4018550000001</c:v>
                </c:pt>
                <c:pt idx="110">
                  <c:v>1862.4785159999999</c:v>
                </c:pt>
                <c:pt idx="111">
                  <c:v>1862.3519289999999</c:v>
                </c:pt>
                <c:pt idx="112">
                  <c:v>1863.650269</c:v>
                </c:pt>
                <c:pt idx="113">
                  <c:v>1862.8764650000001</c:v>
                </c:pt>
                <c:pt idx="114">
                  <c:v>1863.291626</c:v>
                </c:pt>
                <c:pt idx="115">
                  <c:v>1864.0601810000001</c:v>
                </c:pt>
                <c:pt idx="116">
                  <c:v>1863.896851</c:v>
                </c:pt>
                <c:pt idx="117">
                  <c:v>1864.5893550000001</c:v>
                </c:pt>
                <c:pt idx="118">
                  <c:v>1864.4133300000001</c:v>
                </c:pt>
                <c:pt idx="119">
                  <c:v>1864.7910159999999</c:v>
                </c:pt>
                <c:pt idx="120">
                  <c:v>1865.0523679999999</c:v>
                </c:pt>
                <c:pt idx="121">
                  <c:v>1864.9404300000001</c:v>
                </c:pt>
                <c:pt idx="122">
                  <c:v>1865.3226320000001</c:v>
                </c:pt>
                <c:pt idx="123">
                  <c:v>1865.909302</c:v>
                </c:pt>
                <c:pt idx="124">
                  <c:v>1865.496948</c:v>
                </c:pt>
                <c:pt idx="125">
                  <c:v>1867.6408690000001</c:v>
                </c:pt>
                <c:pt idx="126">
                  <c:v>1868.1953129999999</c:v>
                </c:pt>
                <c:pt idx="127">
                  <c:v>1868.9277340000001</c:v>
                </c:pt>
                <c:pt idx="128">
                  <c:v>1870.1595460000001</c:v>
                </c:pt>
                <c:pt idx="129">
                  <c:v>1870.601807</c:v>
                </c:pt>
                <c:pt idx="130">
                  <c:v>1873.750366</c:v>
                </c:pt>
                <c:pt idx="131">
                  <c:v>1883.63147</c:v>
                </c:pt>
                <c:pt idx="132">
                  <c:v>1878.121216</c:v>
                </c:pt>
                <c:pt idx="133">
                  <c:v>1876.817749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PANI_1stPhase!$F$2:$F$102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PANI_1stPhase!$G$2:$G$102</c:f>
              <c:numCache>
                <c:formatCode>General</c:formatCode>
                <c:ptCount val="101"/>
                <c:pt idx="0">
                  <c:v>7.5773657291124632</c:v>
                </c:pt>
                <c:pt idx="1">
                  <c:v>7.5735473211987188</c:v>
                </c:pt>
                <c:pt idx="2">
                  <c:v>7.5700854715667214</c:v>
                </c:pt>
                <c:pt idx="3">
                  <c:v>7.5666224605746022</c:v>
                </c:pt>
                <c:pt idx="4">
                  <c:v>7.5644882826589477</c:v>
                </c:pt>
                <c:pt idx="5">
                  <c:v>7.5626804223059603</c:v>
                </c:pt>
                <c:pt idx="6">
                  <c:v>7.5609530139277883</c:v>
                </c:pt>
                <c:pt idx="7">
                  <c:v>7.5595411758815763</c:v>
                </c:pt>
                <c:pt idx="8">
                  <c:v>7.557944561645038</c:v>
                </c:pt>
                <c:pt idx="9">
                  <c:v>7.5570247427209098</c:v>
                </c:pt>
                <c:pt idx="10">
                  <c:v>7.5554752015347955</c:v>
                </c:pt>
                <c:pt idx="11">
                  <c:v>7.5555007498461348</c:v>
                </c:pt>
                <c:pt idx="12">
                  <c:v>7.5536707939825352</c:v>
                </c:pt>
                <c:pt idx="13">
                  <c:v>7.5525614103554171</c:v>
                </c:pt>
                <c:pt idx="14">
                  <c:v>7.5523778026224813</c:v>
                </c:pt>
                <c:pt idx="15">
                  <c:v>7.5512082916593943</c:v>
                </c:pt>
                <c:pt idx="16">
                  <c:v>7.5510328401954885</c:v>
                </c:pt>
                <c:pt idx="17">
                  <c:v>7.5504130924446899</c:v>
                </c:pt>
                <c:pt idx="18">
                  <c:v>7.5500134576278413</c:v>
                </c:pt>
                <c:pt idx="19">
                  <c:v>7.5491159435407464</c:v>
                </c:pt>
                <c:pt idx="20">
                  <c:v>7.5485601598776775</c:v>
                </c:pt>
                <c:pt idx="21">
                  <c:v>7.5477735356275755</c:v>
                </c:pt>
                <c:pt idx="22">
                  <c:v>7.5471637433358865</c:v>
                </c:pt>
                <c:pt idx="23">
                  <c:v>7.5469973715997103</c:v>
                </c:pt>
                <c:pt idx="24">
                  <c:v>7.5467254369938672</c:v>
                </c:pt>
                <c:pt idx="25">
                  <c:v>7.54614279211407</c:v>
                </c:pt>
                <c:pt idx="26">
                  <c:v>7.5454811693229775</c:v>
                </c:pt>
                <c:pt idx="27">
                  <c:v>7.5451672629184632</c:v>
                </c:pt>
                <c:pt idx="28">
                  <c:v>7.5445391538140028</c:v>
                </c:pt>
                <c:pt idx="29">
                  <c:v>7.5444597247780525</c:v>
                </c:pt>
                <c:pt idx="30">
                  <c:v>7.5438717518414755</c:v>
                </c:pt>
                <c:pt idx="31">
                  <c:v>7.543457211157274</c:v>
                </c:pt>
                <c:pt idx="32">
                  <c:v>7.5429405720624452</c:v>
                </c:pt>
                <c:pt idx="33">
                  <c:v>7.5426907570118358</c:v>
                </c:pt>
                <c:pt idx="34">
                  <c:v>7.5421506139225647</c:v>
                </c:pt>
                <c:pt idx="35">
                  <c:v>7.5417039521845943</c:v>
                </c:pt>
                <c:pt idx="36">
                  <c:v>7.5413661202063906</c:v>
                </c:pt>
                <c:pt idx="37">
                  <c:v>7.5407017819423476</c:v>
                </c:pt>
                <c:pt idx="38">
                  <c:v>7.5404770174193052</c:v>
                </c:pt>
                <c:pt idx="39">
                  <c:v>7.5407041157937407</c:v>
                </c:pt>
                <c:pt idx="40">
                  <c:v>7.5403970058435954</c:v>
                </c:pt>
                <c:pt idx="41">
                  <c:v>7.5396544175021365</c:v>
                </c:pt>
                <c:pt idx="42">
                  <c:v>7.5390872449700383</c:v>
                </c:pt>
                <c:pt idx="43">
                  <c:v>7.5388390626224657</c:v>
                </c:pt>
                <c:pt idx="44">
                  <c:v>7.5390256270995701</c:v>
                </c:pt>
                <c:pt idx="45">
                  <c:v>7.5383410838969134</c:v>
                </c:pt>
                <c:pt idx="46">
                  <c:v>7.5380123837715658</c:v>
                </c:pt>
                <c:pt idx="47">
                  <c:v>7.5382657096905872</c:v>
                </c:pt>
                <c:pt idx="48">
                  <c:v>7.5374579360374856</c:v>
                </c:pt>
                <c:pt idx="49">
                  <c:v>7.5376376058789534</c:v>
                </c:pt>
                <c:pt idx="50">
                  <c:v>7.5371341494491517</c:v>
                </c:pt>
                <c:pt idx="51">
                  <c:v>7.5369746244311688</c:v>
                </c:pt>
                <c:pt idx="52">
                  <c:v>7.5365844868819076</c:v>
                </c:pt>
                <c:pt idx="53">
                  <c:v>7.5365143174970086</c:v>
                </c:pt>
                <c:pt idx="54">
                  <c:v>7.5357405019750665</c:v>
                </c:pt>
                <c:pt idx="55">
                  <c:v>7.5357109257714976</c:v>
                </c:pt>
                <c:pt idx="56">
                  <c:v>7.5358707175911208</c:v>
                </c:pt>
                <c:pt idx="57">
                  <c:v>7.5356903393209125</c:v>
                </c:pt>
                <c:pt idx="58">
                  <c:v>7.5355316257283924</c:v>
                </c:pt>
                <c:pt idx="59">
                  <c:v>7.5351270409621636</c:v>
                </c:pt>
                <c:pt idx="60">
                  <c:v>7.5350334964256147</c:v>
                </c:pt>
                <c:pt idx="61">
                  <c:v>7.5351758633227277</c:v>
                </c:pt>
                <c:pt idx="62">
                  <c:v>7.5342030116832346</c:v>
                </c:pt>
                <c:pt idx="63">
                  <c:v>7.5343843109010136</c:v>
                </c:pt>
                <c:pt idx="64">
                  <c:v>7.5343892684264286</c:v>
                </c:pt>
                <c:pt idx="65">
                  <c:v>7.5339941406506084</c:v>
                </c:pt>
                <c:pt idx="66">
                  <c:v>7.5338429901496236</c:v>
                </c:pt>
                <c:pt idx="67">
                  <c:v>7.5335128726429552</c:v>
                </c:pt>
                <c:pt idx="68">
                  <c:v>7.5333646535765171</c:v>
                </c:pt>
                <c:pt idx="69">
                  <c:v>7.5331808831883498</c:v>
                </c:pt>
                <c:pt idx="70">
                  <c:v>7.5330203992687101</c:v>
                </c:pt>
                <c:pt idx="71">
                  <c:v>7.5332496540511968</c:v>
                </c:pt>
                <c:pt idx="72">
                  <c:v>7.5330458743800941</c:v>
                </c:pt>
                <c:pt idx="73">
                  <c:v>7.5327115737000847</c:v>
                </c:pt>
                <c:pt idx="74">
                  <c:v>7.5327337899145874</c:v>
                </c:pt>
                <c:pt idx="75">
                  <c:v>7.5322878691763764</c:v>
                </c:pt>
                <c:pt idx="76">
                  <c:v>7.5322277267293698</c:v>
                </c:pt>
                <c:pt idx="77">
                  <c:v>7.5322196855056607</c:v>
                </c:pt>
                <c:pt idx="78">
                  <c:v>7.5317771332119472</c:v>
                </c:pt>
                <c:pt idx="79">
                  <c:v>7.5313216902770925</c:v>
                </c:pt>
                <c:pt idx="80">
                  <c:v>7.5315156813769377</c:v>
                </c:pt>
                <c:pt idx="81">
                  <c:v>7.5313215594859289</c:v>
                </c:pt>
                <c:pt idx="82">
                  <c:v>7.53127235238503</c:v>
                </c:pt>
                <c:pt idx="83">
                  <c:v>7.5312485329992329</c:v>
                </c:pt>
                <c:pt idx="84">
                  <c:v>7.5299955259779194</c:v>
                </c:pt>
                <c:pt idx="85">
                  <c:v>7.5296974960398249</c:v>
                </c:pt>
                <c:pt idx="86">
                  <c:v>7.5296039667948511</c:v>
                </c:pt>
                <c:pt idx="87">
                  <c:v>7.5292201880731211</c:v>
                </c:pt>
                <c:pt idx="88">
                  <c:v>7.5292808393136088</c:v>
                </c:pt>
                <c:pt idx="89">
                  <c:v>7.5294526758881686</c:v>
                </c:pt>
                <c:pt idx="90">
                  <c:v>7.5293919034883485</c:v>
                </c:pt>
                <c:pt idx="91">
                  <c:v>7.5293644993842666</c:v>
                </c:pt>
                <c:pt idx="92">
                  <c:v>7.5294077032712527</c:v>
                </c:pt>
                <c:pt idx="93">
                  <c:v>7.5289363570239631</c:v>
                </c:pt>
                <c:pt idx="94">
                  <c:v>7.529111268730567</c:v>
                </c:pt>
                <c:pt idx="95">
                  <c:v>7.5291698938751503</c:v>
                </c:pt>
                <c:pt idx="96">
                  <c:v>7.5293339471523222</c:v>
                </c:pt>
                <c:pt idx="97">
                  <c:v>7.5295258330960353</c:v>
                </c:pt>
                <c:pt idx="98">
                  <c:v>7.5292812985548627</c:v>
                </c:pt>
                <c:pt idx="99">
                  <c:v>7.5294179959014906</c:v>
                </c:pt>
                <c:pt idx="100">
                  <c:v>7.5294794873937052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PANI_1stPhase!$F$2:$F$102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PANI_1stPhase!$B$2:$B$102</c:f>
              <c:numCache>
                <c:formatCode>General</c:formatCode>
                <c:ptCount val="101"/>
                <c:pt idx="0">
                  <c:v>1953.4761960000001</c:v>
                </c:pt>
                <c:pt idx="1">
                  <c:v>1946.03125</c:v>
                </c:pt>
                <c:pt idx="2">
                  <c:v>1939.30603</c:v>
                </c:pt>
                <c:pt idx="3">
                  <c:v>1932.601807</c:v>
                </c:pt>
                <c:pt idx="4">
                  <c:v>1928.481689</c:v>
                </c:pt>
                <c:pt idx="5">
                  <c:v>1924.998413</c:v>
                </c:pt>
                <c:pt idx="6">
                  <c:v>1921.676025</c:v>
                </c:pt>
                <c:pt idx="7">
                  <c:v>1918.9648440000001</c:v>
                </c:pt>
                <c:pt idx="8">
                  <c:v>1915.903442</c:v>
                </c:pt>
                <c:pt idx="9">
                  <c:v>1914.1419679999999</c:v>
                </c:pt>
                <c:pt idx="10">
                  <c:v>1911.1782229999999</c:v>
                </c:pt>
                <c:pt idx="11">
                  <c:v>1911.2270510000001</c:v>
                </c:pt>
                <c:pt idx="12">
                  <c:v>1907.732788</c:v>
                </c:pt>
                <c:pt idx="13">
                  <c:v>1905.6175539999999</c:v>
                </c:pt>
                <c:pt idx="14">
                  <c:v>1905.2677000000001</c:v>
                </c:pt>
                <c:pt idx="15">
                  <c:v>1903.0407709999999</c:v>
                </c:pt>
                <c:pt idx="16">
                  <c:v>1902.706909</c:v>
                </c:pt>
                <c:pt idx="17">
                  <c:v>1901.5280760000001</c:v>
                </c:pt>
                <c:pt idx="18">
                  <c:v>1900.768311</c:v>
                </c:pt>
                <c:pt idx="19">
                  <c:v>1899.0631100000001</c:v>
                </c:pt>
                <c:pt idx="20">
                  <c:v>1898.0079350000001</c:v>
                </c:pt>
                <c:pt idx="21">
                  <c:v>1896.5155030000001</c:v>
                </c:pt>
                <c:pt idx="22">
                  <c:v>1895.359375</c:v>
                </c:pt>
                <c:pt idx="23">
                  <c:v>1895.044067</c:v>
                </c:pt>
                <c:pt idx="24">
                  <c:v>1894.5288089999999</c:v>
                </c:pt>
                <c:pt idx="25">
                  <c:v>1893.425293</c:v>
                </c:pt>
                <c:pt idx="26">
                  <c:v>1892.1729740000001</c:v>
                </c:pt>
                <c:pt idx="27">
                  <c:v>1891.5791019999999</c:v>
                </c:pt>
                <c:pt idx="28">
                  <c:v>1890.391357</c:v>
                </c:pt>
                <c:pt idx="29">
                  <c:v>1890.241211</c:v>
                </c:pt>
                <c:pt idx="30">
                  <c:v>1889.1301269999999</c:v>
                </c:pt>
                <c:pt idx="31">
                  <c:v>1888.347168</c:v>
                </c:pt>
                <c:pt idx="32">
                  <c:v>1887.3718260000001</c:v>
                </c:pt>
                <c:pt idx="33">
                  <c:v>1886.9003909999999</c:v>
                </c:pt>
                <c:pt idx="34">
                  <c:v>1885.88147</c:v>
                </c:pt>
                <c:pt idx="35">
                  <c:v>1885.039307</c:v>
                </c:pt>
                <c:pt idx="36">
                  <c:v>1884.4025879999999</c:v>
                </c:pt>
                <c:pt idx="37">
                  <c:v>1883.1511230000001</c:v>
                </c:pt>
                <c:pt idx="38">
                  <c:v>1882.727905</c:v>
                </c:pt>
                <c:pt idx="39">
                  <c:v>1883.155518</c:v>
                </c:pt>
                <c:pt idx="40">
                  <c:v>1882.5772710000001</c:v>
                </c:pt>
                <c:pt idx="41">
                  <c:v>1881.1798100000001</c:v>
                </c:pt>
                <c:pt idx="42">
                  <c:v>1880.113159</c:v>
                </c:pt>
                <c:pt idx="43">
                  <c:v>1879.646606</c:v>
                </c:pt>
                <c:pt idx="44">
                  <c:v>1879.997314</c:v>
                </c:pt>
                <c:pt idx="45">
                  <c:v>1878.7108149999999</c:v>
                </c:pt>
                <c:pt idx="46">
                  <c:v>1878.093384</c:v>
                </c:pt>
                <c:pt idx="47">
                  <c:v>1878.5692140000001</c:v>
                </c:pt>
                <c:pt idx="48">
                  <c:v>1877.0523679999999</c:v>
                </c:pt>
                <c:pt idx="49">
                  <c:v>1877.3896480000001</c:v>
                </c:pt>
                <c:pt idx="50">
                  <c:v>1876.444702</c:v>
                </c:pt>
                <c:pt idx="51">
                  <c:v>1876.1453859999999</c:v>
                </c:pt>
                <c:pt idx="52">
                  <c:v>1875.4135739999999</c:v>
                </c:pt>
                <c:pt idx="53">
                  <c:v>1875.281982</c:v>
                </c:pt>
                <c:pt idx="54">
                  <c:v>1873.8314210000001</c:v>
                </c:pt>
                <c:pt idx="55">
                  <c:v>1873.776001</c:v>
                </c:pt>
                <c:pt idx="56">
                  <c:v>1874.075439</c:v>
                </c:pt>
                <c:pt idx="57">
                  <c:v>1873.737427</c:v>
                </c:pt>
                <c:pt idx="58">
                  <c:v>1873.440063</c:v>
                </c:pt>
                <c:pt idx="59">
                  <c:v>1872.682251</c:v>
                </c:pt>
                <c:pt idx="60">
                  <c:v>1872.5070800000001</c:v>
                </c:pt>
                <c:pt idx="61">
                  <c:v>1872.773682</c:v>
                </c:pt>
                <c:pt idx="62">
                  <c:v>1870.9526370000001</c:v>
                </c:pt>
                <c:pt idx="63">
                  <c:v>1871.29187</c:v>
                </c:pt>
                <c:pt idx="64">
                  <c:v>1871.3011469999999</c:v>
                </c:pt>
                <c:pt idx="65">
                  <c:v>1870.5618899999999</c:v>
                </c:pt>
                <c:pt idx="66">
                  <c:v>1870.2791749999999</c:v>
                </c:pt>
                <c:pt idx="67">
                  <c:v>1869.661865</c:v>
                </c:pt>
                <c:pt idx="68">
                  <c:v>1869.3847659999999</c:v>
                </c:pt>
                <c:pt idx="69">
                  <c:v>1869.04126</c:v>
                </c:pt>
                <c:pt idx="70">
                  <c:v>1868.7413329999999</c:v>
                </c:pt>
                <c:pt idx="71">
                  <c:v>1869.1697999999999</c:v>
                </c:pt>
                <c:pt idx="72">
                  <c:v>1868.7889399999999</c:v>
                </c:pt>
                <c:pt idx="73">
                  <c:v>1868.164307</c:v>
                </c:pt>
                <c:pt idx="74">
                  <c:v>1868.205811</c:v>
                </c:pt>
                <c:pt idx="75">
                  <c:v>1867.3729249999999</c:v>
                </c:pt>
                <c:pt idx="76">
                  <c:v>1867.26062</c:v>
                </c:pt>
                <c:pt idx="77">
                  <c:v>1867.2456050000001</c:v>
                </c:pt>
                <c:pt idx="78">
                  <c:v>1866.4194339999999</c:v>
                </c:pt>
                <c:pt idx="79">
                  <c:v>1865.5695800000001</c:v>
                </c:pt>
                <c:pt idx="80">
                  <c:v>1865.931519</c:v>
                </c:pt>
                <c:pt idx="81">
                  <c:v>1865.569336</c:v>
                </c:pt>
                <c:pt idx="82">
                  <c:v>1865.477539</c:v>
                </c:pt>
                <c:pt idx="83">
                  <c:v>1865.4331050000001</c:v>
                </c:pt>
                <c:pt idx="84">
                  <c:v>1863.097168</c:v>
                </c:pt>
                <c:pt idx="85">
                  <c:v>1862.5419919999999</c:v>
                </c:pt>
                <c:pt idx="86">
                  <c:v>1862.367798</c:v>
                </c:pt>
                <c:pt idx="87">
                  <c:v>1861.653198</c:v>
                </c:pt>
                <c:pt idx="88">
                  <c:v>1861.7661129999999</c:v>
                </c:pt>
                <c:pt idx="89">
                  <c:v>1862.0860600000001</c:v>
                </c:pt>
                <c:pt idx="90">
                  <c:v>1861.9729</c:v>
                </c:pt>
                <c:pt idx="91">
                  <c:v>1861.921875</c:v>
                </c:pt>
                <c:pt idx="92">
                  <c:v>1862.0023189999999</c:v>
                </c:pt>
                <c:pt idx="93">
                  <c:v>1861.1248780000001</c:v>
                </c:pt>
                <c:pt idx="94">
                  <c:v>1861.450439</c:v>
                </c:pt>
                <c:pt idx="95">
                  <c:v>1861.5595699999999</c:v>
                </c:pt>
                <c:pt idx="96">
                  <c:v>1861.86499</c:v>
                </c:pt>
                <c:pt idx="97">
                  <c:v>1862.2222899999999</c:v>
                </c:pt>
                <c:pt idx="98">
                  <c:v>1861.7669679999999</c:v>
                </c:pt>
                <c:pt idx="99">
                  <c:v>1862.0214840000001</c:v>
                </c:pt>
                <c:pt idx="100">
                  <c:v>1862.135986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Cu_2ndPhase!$F$2:$F$194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Cu_2ndPhase!$G$2:$G$194</c:f>
              <c:numCache>
                <c:formatCode>General</c:formatCode>
                <c:ptCount val="193"/>
                <c:pt idx="0">
                  <c:v>7.8665745172245707</c:v>
                </c:pt>
                <c:pt idx="1">
                  <c:v>7.8605226717703403</c:v>
                </c:pt>
                <c:pt idx="2">
                  <c:v>7.8495728790659705</c:v>
                </c:pt>
                <c:pt idx="3">
                  <c:v>7.838945880035455</c:v>
                </c:pt>
                <c:pt idx="4">
                  <c:v>7.8307831286275063</c:v>
                </c:pt>
                <c:pt idx="5">
                  <c:v>7.8236863757953552</c:v>
                </c:pt>
                <c:pt idx="6">
                  <c:v>7.8133943657677749</c:v>
                </c:pt>
                <c:pt idx="7">
                  <c:v>7.8069612454571535</c:v>
                </c:pt>
                <c:pt idx="8">
                  <c:v>7.802555005876326</c:v>
                </c:pt>
                <c:pt idx="9">
                  <c:v>7.7965901013251697</c:v>
                </c:pt>
                <c:pt idx="10">
                  <c:v>7.7911867163935362</c:v>
                </c:pt>
                <c:pt idx="11">
                  <c:v>7.7872328971082068</c:v>
                </c:pt>
                <c:pt idx="12">
                  <c:v>7.7830456758509845</c:v>
                </c:pt>
                <c:pt idx="13">
                  <c:v>7.7800940213417329</c:v>
                </c:pt>
                <c:pt idx="14">
                  <c:v>7.7772031195598048</c:v>
                </c:pt>
                <c:pt idx="15">
                  <c:v>7.7731562123164997</c:v>
                </c:pt>
                <c:pt idx="16">
                  <c:v>7.7696150893662201</c:v>
                </c:pt>
                <c:pt idx="17">
                  <c:v>7.7667232684563219</c:v>
                </c:pt>
                <c:pt idx="18">
                  <c:v>7.7629133499598559</c:v>
                </c:pt>
                <c:pt idx="19">
                  <c:v>7.7607141572425489</c:v>
                </c:pt>
                <c:pt idx="20">
                  <c:v>7.7578546664251942</c:v>
                </c:pt>
                <c:pt idx="21">
                  <c:v>7.7553644397674866</c:v>
                </c:pt>
                <c:pt idx="22">
                  <c:v>7.7521539560816448</c:v>
                </c:pt>
                <c:pt idx="23">
                  <c:v>7.7499499828158545</c:v>
                </c:pt>
                <c:pt idx="24">
                  <c:v>7.7480842630602194</c:v>
                </c:pt>
                <c:pt idx="25">
                  <c:v>7.7473181884745559</c:v>
                </c:pt>
                <c:pt idx="26">
                  <c:v>7.7458041304196081</c:v>
                </c:pt>
                <c:pt idx="27">
                  <c:v>7.7444899768046014</c:v>
                </c:pt>
                <c:pt idx="28">
                  <c:v>7.7436102326073044</c:v>
                </c:pt>
                <c:pt idx="29">
                  <c:v>7.7425238728985812</c:v>
                </c:pt>
                <c:pt idx="30">
                  <c:v>7.7402694530656451</c:v>
                </c:pt>
                <c:pt idx="31">
                  <c:v>7.7391271518231033</c:v>
                </c:pt>
                <c:pt idx="32">
                  <c:v>7.7382504428349508</c:v>
                </c:pt>
                <c:pt idx="33">
                  <c:v>7.7374962817636002</c:v>
                </c:pt>
                <c:pt idx="34">
                  <c:v>7.7368775194157422</c:v>
                </c:pt>
                <c:pt idx="35">
                  <c:v>7.7368867891927229</c:v>
                </c:pt>
                <c:pt idx="36">
                  <c:v>7.7340045148895449</c:v>
                </c:pt>
                <c:pt idx="37">
                  <c:v>7.7318477321014152</c:v>
                </c:pt>
                <c:pt idx="38">
                  <c:v>7.7317245730696875</c:v>
                </c:pt>
                <c:pt idx="39">
                  <c:v>7.7312021035003466</c:v>
                </c:pt>
                <c:pt idx="40">
                  <c:v>7.729051933526315</c:v>
                </c:pt>
                <c:pt idx="41">
                  <c:v>7.725455926681553</c:v>
                </c:pt>
                <c:pt idx="42">
                  <c:v>7.7217390966528221</c:v>
                </c:pt>
                <c:pt idx="43">
                  <c:v>7.7162418652987226</c:v>
                </c:pt>
                <c:pt idx="44">
                  <c:v>7.7134708590300534</c:v>
                </c:pt>
                <c:pt idx="45">
                  <c:v>7.7108014155816234</c:v>
                </c:pt>
                <c:pt idx="46">
                  <c:v>7.7112181218578817</c:v>
                </c:pt>
                <c:pt idx="47">
                  <c:v>7.709508204392832</c:v>
                </c:pt>
                <c:pt idx="48">
                  <c:v>7.7083701042434107</c:v>
                </c:pt>
                <c:pt idx="49">
                  <c:v>7.7069413463041929</c:v>
                </c:pt>
                <c:pt idx="50">
                  <c:v>7.7067379965593963</c:v>
                </c:pt>
                <c:pt idx="51">
                  <c:v>7.7055681538174294</c:v>
                </c:pt>
                <c:pt idx="52">
                  <c:v>7.703692474592156</c:v>
                </c:pt>
                <c:pt idx="53">
                  <c:v>7.7031831397719355</c:v>
                </c:pt>
                <c:pt idx="54">
                  <c:v>7.7023490023917107</c:v>
                </c:pt>
                <c:pt idx="55">
                  <c:v>7.701561192121039</c:v>
                </c:pt>
                <c:pt idx="56">
                  <c:v>7.7008244585413621</c:v>
                </c:pt>
                <c:pt idx="57">
                  <c:v>7.7003811847847272</c:v>
                </c:pt>
                <c:pt idx="58">
                  <c:v>7.6997223200237421</c:v>
                </c:pt>
                <c:pt idx="59">
                  <c:v>7.6986070096435615</c:v>
                </c:pt>
                <c:pt idx="60">
                  <c:v>7.6981022769470897</c:v>
                </c:pt>
                <c:pt idx="61">
                  <c:v>7.6966727384845637</c:v>
                </c:pt>
                <c:pt idx="62">
                  <c:v>7.696409929883349</c:v>
                </c:pt>
                <c:pt idx="63">
                  <c:v>7.6954568497184574</c:v>
                </c:pt>
                <c:pt idx="64">
                  <c:v>7.6953300144931189</c:v>
                </c:pt>
                <c:pt idx="65">
                  <c:v>7.6946512514690797</c:v>
                </c:pt>
                <c:pt idx="66">
                  <c:v>7.693621616908624</c:v>
                </c:pt>
                <c:pt idx="67">
                  <c:v>7.6930247465934007</c:v>
                </c:pt>
                <c:pt idx="68">
                  <c:v>7.6923091008985134</c:v>
                </c:pt>
                <c:pt idx="69">
                  <c:v>7.691258314649593</c:v>
                </c:pt>
                <c:pt idx="70">
                  <c:v>7.6913696098793638</c:v>
                </c:pt>
                <c:pt idx="71">
                  <c:v>7.6906870362812088</c:v>
                </c:pt>
                <c:pt idx="72">
                  <c:v>7.6897090481330022</c:v>
                </c:pt>
                <c:pt idx="73">
                  <c:v>7.689042106046216</c:v>
                </c:pt>
                <c:pt idx="74">
                  <c:v>7.6885439275243499</c:v>
                </c:pt>
                <c:pt idx="75">
                  <c:v>7.6882864682625511</c:v>
                </c:pt>
                <c:pt idx="76">
                  <c:v>7.6873603183687944</c:v>
                </c:pt>
                <c:pt idx="77">
                  <c:v>7.6876799121318662</c:v>
                </c:pt>
                <c:pt idx="78">
                  <c:v>7.6873558397971529</c:v>
                </c:pt>
                <c:pt idx="79">
                  <c:v>7.6875697730569961</c:v>
                </c:pt>
                <c:pt idx="80">
                  <c:v>7.6868728388816265</c:v>
                </c:pt>
                <c:pt idx="81">
                  <c:v>7.6872005389037685</c:v>
                </c:pt>
                <c:pt idx="82">
                  <c:v>7.6870164308169624</c:v>
                </c:pt>
                <c:pt idx="83">
                  <c:v>7.6869785744771395</c:v>
                </c:pt>
                <c:pt idx="84">
                  <c:v>7.6865872733273566</c:v>
                </c:pt>
                <c:pt idx="85">
                  <c:v>7.6869471015189648</c:v>
                </c:pt>
                <c:pt idx="86">
                  <c:v>7.6868054038220874</c:v>
                </c:pt>
                <c:pt idx="87">
                  <c:v>7.6868368816989809</c:v>
                </c:pt>
                <c:pt idx="88">
                  <c:v>7.6856502394444624</c:v>
                </c:pt>
                <c:pt idx="89">
                  <c:v>7.6845561653994094</c:v>
                </c:pt>
                <c:pt idx="90">
                  <c:v>7.6850548746337282</c:v>
                </c:pt>
                <c:pt idx="91">
                  <c:v>7.6844533169178089</c:v>
                </c:pt>
                <c:pt idx="92">
                  <c:v>7.6841974975739804</c:v>
                </c:pt>
                <c:pt idx="93">
                  <c:v>7.6837801622016872</c:v>
                </c:pt>
                <c:pt idx="94">
                  <c:v>7.6838636433948908</c:v>
                </c:pt>
                <c:pt idx="95">
                  <c:v>7.6828165372637605</c:v>
                </c:pt>
                <c:pt idx="96">
                  <c:v>7.6823508042294844</c:v>
                </c:pt>
                <c:pt idx="97">
                  <c:v>7.6823038817448355</c:v>
                </c:pt>
                <c:pt idx="98">
                  <c:v>7.6824792962991282</c:v>
                </c:pt>
                <c:pt idx="99">
                  <c:v>7.6825867351054802</c:v>
                </c:pt>
                <c:pt idx="100">
                  <c:v>7.6832515875360752</c:v>
                </c:pt>
                <c:pt idx="101">
                  <c:v>7.6831682804210946</c:v>
                </c:pt>
                <c:pt idx="102">
                  <c:v>7.6826108088026297</c:v>
                </c:pt>
                <c:pt idx="103">
                  <c:v>7.6816147522243039</c:v>
                </c:pt>
                <c:pt idx="104">
                  <c:v>7.6805085859278757</c:v>
                </c:pt>
                <c:pt idx="105">
                  <c:v>7.6794022107009718</c:v>
                </c:pt>
                <c:pt idx="106">
                  <c:v>7.6787320830735055</c:v>
                </c:pt>
                <c:pt idx="107">
                  <c:v>7.6785129749093404</c:v>
                </c:pt>
                <c:pt idx="108">
                  <c:v>7.6781166515032071</c:v>
                </c:pt>
                <c:pt idx="109">
                  <c:v>7.6768056770281516</c:v>
                </c:pt>
                <c:pt idx="110">
                  <c:v>7.6766928620443959</c:v>
                </c:pt>
                <c:pt idx="111">
                  <c:v>7.6769560385960514</c:v>
                </c:pt>
                <c:pt idx="112">
                  <c:v>7.676242495429193</c:v>
                </c:pt>
                <c:pt idx="113">
                  <c:v>7.6766671742539208</c:v>
                </c:pt>
                <c:pt idx="114">
                  <c:v>7.6755097489804642</c:v>
                </c:pt>
                <c:pt idx="115">
                  <c:v>7.6756694812249462</c:v>
                </c:pt>
                <c:pt idx="116">
                  <c:v>7.6753770722606518</c:v>
                </c:pt>
                <c:pt idx="117">
                  <c:v>7.6749919725254347</c:v>
                </c:pt>
                <c:pt idx="118">
                  <c:v>7.6748519719631529</c:v>
                </c:pt>
                <c:pt idx="119">
                  <c:v>7.6739396160058408</c:v>
                </c:pt>
                <c:pt idx="120">
                  <c:v>7.6741170711966893</c:v>
                </c:pt>
                <c:pt idx="121">
                  <c:v>7.6734784708427748</c:v>
                </c:pt>
                <c:pt idx="122">
                  <c:v>7.6731655478364917</c:v>
                </c:pt>
                <c:pt idx="123">
                  <c:v>7.6729880372125816</c:v>
                </c:pt>
                <c:pt idx="124">
                  <c:v>7.6734372605178125</c:v>
                </c:pt>
                <c:pt idx="125">
                  <c:v>7.6731278449551716</c:v>
                </c:pt>
                <c:pt idx="126">
                  <c:v>7.6726108788559344</c:v>
                </c:pt>
                <c:pt idx="127">
                  <c:v>7.6723029122779947</c:v>
                </c:pt>
                <c:pt idx="128">
                  <c:v>7.6726839357874184</c:v>
                </c:pt>
                <c:pt idx="129">
                  <c:v>7.6735201337532759</c:v>
                </c:pt>
                <c:pt idx="130">
                  <c:v>7.6736464733559693</c:v>
                </c:pt>
                <c:pt idx="131">
                  <c:v>7.6733777696281278</c:v>
                </c:pt>
                <c:pt idx="132">
                  <c:v>7.6735470374923453</c:v>
                </c:pt>
                <c:pt idx="133">
                  <c:v>7.6726048570125807</c:v>
                </c:pt>
                <c:pt idx="134">
                  <c:v>7.6730648146384102</c:v>
                </c:pt>
                <c:pt idx="135">
                  <c:v>7.6728842190497257</c:v>
                </c:pt>
                <c:pt idx="136">
                  <c:v>7.6723095043661065</c:v>
                </c:pt>
                <c:pt idx="137">
                  <c:v>7.6716084461423808</c:v>
                </c:pt>
                <c:pt idx="138">
                  <c:v>7.6715616989331927</c:v>
                </c:pt>
                <c:pt idx="139">
                  <c:v>7.6706305097189427</c:v>
                </c:pt>
                <c:pt idx="140">
                  <c:v>7.671156010771619</c:v>
                </c:pt>
                <c:pt idx="141">
                  <c:v>7.6709313663590422</c:v>
                </c:pt>
                <c:pt idx="142">
                  <c:v>7.6706524826507207</c:v>
                </c:pt>
                <c:pt idx="143">
                  <c:v>7.6685717177726973</c:v>
                </c:pt>
                <c:pt idx="144">
                  <c:v>7.6685954466786548</c:v>
                </c:pt>
                <c:pt idx="145">
                  <c:v>7.6687830917868913</c:v>
                </c:pt>
                <c:pt idx="146">
                  <c:v>7.6680963341373989</c:v>
                </c:pt>
                <c:pt idx="147">
                  <c:v>7.6671050157175742</c:v>
                </c:pt>
                <c:pt idx="148">
                  <c:v>7.6661383310680913</c:v>
                </c:pt>
                <c:pt idx="149">
                  <c:v>7.6659925101218258</c:v>
                </c:pt>
                <c:pt idx="150">
                  <c:v>7.6653916171175434</c:v>
                </c:pt>
                <c:pt idx="151">
                  <c:v>7.6653069231005881</c:v>
                </c:pt>
                <c:pt idx="152">
                  <c:v>7.6650612701612379</c:v>
                </c:pt>
                <c:pt idx="153">
                  <c:v>7.6649075057509544</c:v>
                </c:pt>
                <c:pt idx="154">
                  <c:v>7.6655076593940787</c:v>
                </c:pt>
                <c:pt idx="155">
                  <c:v>7.6646631286999778</c:v>
                </c:pt>
                <c:pt idx="156">
                  <c:v>7.6642789212187692</c:v>
                </c:pt>
                <c:pt idx="157">
                  <c:v>7.6640382870522643</c:v>
                </c:pt>
                <c:pt idx="158">
                  <c:v>7.6641249219291154</c:v>
                </c:pt>
                <c:pt idx="159">
                  <c:v>7.6642137265049763</c:v>
                </c:pt>
                <c:pt idx="160">
                  <c:v>7.6640869911681735</c:v>
                </c:pt>
                <c:pt idx="161">
                  <c:v>7.6638033259235616</c:v>
                </c:pt>
                <c:pt idx="162">
                  <c:v>7.6640257950892359</c:v>
                </c:pt>
                <c:pt idx="163">
                  <c:v>7.6634233749626546</c:v>
                </c:pt>
                <c:pt idx="164">
                  <c:v>7.6627572528577765</c:v>
                </c:pt>
                <c:pt idx="165">
                  <c:v>7.663076087616866</c:v>
                </c:pt>
                <c:pt idx="166">
                  <c:v>7.6633247521091983</c:v>
                </c:pt>
                <c:pt idx="167">
                  <c:v>7.6631054534266516</c:v>
                </c:pt>
                <c:pt idx="168">
                  <c:v>7.6636209357146949</c:v>
                </c:pt>
                <c:pt idx="169">
                  <c:v>7.6636238017033298</c:v>
                </c:pt>
                <c:pt idx="170">
                  <c:v>7.6636082093674043</c:v>
                </c:pt>
                <c:pt idx="171">
                  <c:v>7.6636781440457824</c:v>
                </c:pt>
                <c:pt idx="172">
                  <c:v>7.6639490082420876</c:v>
                </c:pt>
                <c:pt idx="173">
                  <c:v>7.6643198231986709</c:v>
                </c:pt>
                <c:pt idx="174">
                  <c:v>7.6650234893235139</c:v>
                </c:pt>
                <c:pt idx="175">
                  <c:v>7.6650220008886274</c:v>
                </c:pt>
                <c:pt idx="176">
                  <c:v>7.6653791425177138</c:v>
                </c:pt>
                <c:pt idx="177">
                  <c:v>7.6660924713822416</c:v>
                </c:pt>
                <c:pt idx="178">
                  <c:v>7.6668962584366191</c:v>
                </c:pt>
                <c:pt idx="179">
                  <c:v>7.6666906574769849</c:v>
                </c:pt>
                <c:pt idx="180">
                  <c:v>7.6671833888357739</c:v>
                </c:pt>
                <c:pt idx="181">
                  <c:v>7.6679934913445535</c:v>
                </c:pt>
                <c:pt idx="182">
                  <c:v>7.6680376659037881</c:v>
                </c:pt>
                <c:pt idx="183">
                  <c:v>7.66844325200573</c:v>
                </c:pt>
                <c:pt idx="184">
                  <c:v>7.6682249590007823</c:v>
                </c:pt>
                <c:pt idx="185">
                  <c:v>7.6679855007970579</c:v>
                </c:pt>
                <c:pt idx="186">
                  <c:v>7.6664605487122284</c:v>
                </c:pt>
                <c:pt idx="187">
                  <c:v>7.6651017964444339</c:v>
                </c:pt>
                <c:pt idx="188">
                  <c:v>7.6644196083189415</c:v>
                </c:pt>
                <c:pt idx="189">
                  <c:v>7.6642695258880931</c:v>
                </c:pt>
                <c:pt idx="190">
                  <c:v>7.6639723889202322</c:v>
                </c:pt>
                <c:pt idx="191">
                  <c:v>7.664492120810726</c:v>
                </c:pt>
                <c:pt idx="192">
                  <c:v>7.6650737487270035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Cu_2ndPhase!$F$2:$F$197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Cu_2ndPhase!$B$2:$B$197</c:f>
              <c:numCache>
                <c:formatCode>General</c:formatCode>
                <c:ptCount val="196"/>
                <c:pt idx="0">
                  <c:v>2608.6145019999999</c:v>
                </c:pt>
                <c:pt idx="1">
                  <c:v>2592.8752439999998</c:v>
                </c:pt>
                <c:pt idx="2">
                  <c:v>2564.638672</c:v>
                </c:pt>
                <c:pt idx="3">
                  <c:v>2537.5285640000002</c:v>
                </c:pt>
                <c:pt idx="4">
                  <c:v>2516.8996579999998</c:v>
                </c:pt>
                <c:pt idx="5">
                  <c:v>2499.1010740000002</c:v>
                </c:pt>
                <c:pt idx="6">
                  <c:v>2473.5122070000002</c:v>
                </c:pt>
                <c:pt idx="7">
                  <c:v>2457.6508789999998</c:v>
                </c:pt>
                <c:pt idx="8">
                  <c:v>2446.845703</c:v>
                </c:pt>
                <c:pt idx="9">
                  <c:v>2432.2939449999999</c:v>
                </c:pt>
                <c:pt idx="10">
                  <c:v>2419.186768</c:v>
                </c:pt>
                <c:pt idx="11">
                  <c:v>2409.640625</c:v>
                </c:pt>
                <c:pt idx="12">
                  <c:v>2399.5720209999999</c:v>
                </c:pt>
                <c:pt idx="13">
                  <c:v>2392.4997560000002</c:v>
                </c:pt>
                <c:pt idx="14">
                  <c:v>2385.5932619999999</c:v>
                </c:pt>
                <c:pt idx="15">
                  <c:v>2375.9584960000002</c:v>
                </c:pt>
                <c:pt idx="16">
                  <c:v>2367.5598140000002</c:v>
                </c:pt>
                <c:pt idx="17">
                  <c:v>2360.7231449999999</c:v>
                </c:pt>
                <c:pt idx="18">
                  <c:v>2351.7460940000001</c:v>
                </c:pt>
                <c:pt idx="19">
                  <c:v>2346.5798340000001</c:v>
                </c:pt>
                <c:pt idx="20">
                  <c:v>2339.8793949999999</c:v>
                </c:pt>
                <c:pt idx="21">
                  <c:v>2334.0598140000002</c:v>
                </c:pt>
                <c:pt idx="22">
                  <c:v>2326.5783689999998</c:v>
                </c:pt>
                <c:pt idx="23">
                  <c:v>2321.4562989999999</c:v>
                </c:pt>
                <c:pt idx="24">
                  <c:v>2317.1291500000002</c:v>
                </c:pt>
                <c:pt idx="25">
                  <c:v>2315.3547359999998</c:v>
                </c:pt>
                <c:pt idx="26">
                  <c:v>2311.851807</c:v>
                </c:pt>
                <c:pt idx="27">
                  <c:v>2308.8156739999999</c:v>
                </c:pt>
                <c:pt idx="28">
                  <c:v>2306.7854000000002</c:v>
                </c:pt>
                <c:pt idx="29">
                  <c:v>2304.2807619999999</c:v>
                </c:pt>
                <c:pt idx="30">
                  <c:v>2299.091797</c:v>
                </c:pt>
                <c:pt idx="31">
                  <c:v>2296.4670409999999</c:v>
                </c:pt>
                <c:pt idx="32">
                  <c:v>2294.4545899999998</c:v>
                </c:pt>
                <c:pt idx="33">
                  <c:v>2292.7248540000001</c:v>
                </c:pt>
                <c:pt idx="34">
                  <c:v>2291.3066410000001</c:v>
                </c:pt>
                <c:pt idx="35">
                  <c:v>2291.3278810000002</c:v>
                </c:pt>
                <c:pt idx="36">
                  <c:v>2284.733154</c:v>
                </c:pt>
                <c:pt idx="37">
                  <c:v>2279.8107909999999</c:v>
                </c:pt>
                <c:pt idx="38">
                  <c:v>2279.530029</c:v>
                </c:pt>
                <c:pt idx="39">
                  <c:v>2278.3393550000001</c:v>
                </c:pt>
                <c:pt idx="40">
                  <c:v>2273.4458009999998</c:v>
                </c:pt>
                <c:pt idx="41">
                  <c:v>2265.2851559999999</c:v>
                </c:pt>
                <c:pt idx="42">
                  <c:v>2256.8811040000001</c:v>
                </c:pt>
                <c:pt idx="43">
                  <c:v>2244.5085450000001</c:v>
                </c:pt>
                <c:pt idx="44">
                  <c:v>2238.297607</c:v>
                </c:pt>
                <c:pt idx="45">
                  <c:v>2232.3305660000001</c:v>
                </c:pt>
                <c:pt idx="46">
                  <c:v>2233.2609859999998</c:v>
                </c:pt>
                <c:pt idx="47">
                  <c:v>2229.445557</c:v>
                </c:pt>
                <c:pt idx="48">
                  <c:v>2226.9096679999998</c:v>
                </c:pt>
                <c:pt idx="49">
                  <c:v>2223.7302249999998</c:v>
                </c:pt>
                <c:pt idx="50">
                  <c:v>2223.2780760000001</c:v>
                </c:pt>
                <c:pt idx="51">
                  <c:v>2220.678711</c:v>
                </c:pt>
                <c:pt idx="52">
                  <c:v>2216.5173340000001</c:v>
                </c:pt>
                <c:pt idx="53">
                  <c:v>2215.388672</c:v>
                </c:pt>
                <c:pt idx="54">
                  <c:v>2213.5415039999998</c:v>
                </c:pt>
                <c:pt idx="55">
                  <c:v>2211.7983399999998</c:v>
                </c:pt>
                <c:pt idx="56">
                  <c:v>2210.1694339999999</c:v>
                </c:pt>
                <c:pt idx="57">
                  <c:v>2209.1899410000001</c:v>
                </c:pt>
                <c:pt idx="58">
                  <c:v>2207.7348630000001</c:v>
                </c:pt>
                <c:pt idx="59">
                  <c:v>2205.2739259999998</c:v>
                </c:pt>
                <c:pt idx="60">
                  <c:v>2204.1611330000001</c:v>
                </c:pt>
                <c:pt idx="61">
                  <c:v>2201.0124510000001</c:v>
                </c:pt>
                <c:pt idx="62">
                  <c:v>2200.4340820000002</c:v>
                </c:pt>
                <c:pt idx="63">
                  <c:v>2198.3378910000001</c:v>
                </c:pt>
                <c:pt idx="64">
                  <c:v>2198.0590820000002</c:v>
                </c:pt>
                <c:pt idx="65">
                  <c:v>2196.5676269999999</c:v>
                </c:pt>
                <c:pt idx="66">
                  <c:v>2194.3071289999998</c:v>
                </c:pt>
                <c:pt idx="67">
                  <c:v>2192.9978030000002</c:v>
                </c:pt>
                <c:pt idx="68">
                  <c:v>2191.4289549999999</c:v>
                </c:pt>
                <c:pt idx="69">
                  <c:v>2189.1274410000001</c:v>
                </c:pt>
                <c:pt idx="70">
                  <c:v>2189.3710940000001</c:v>
                </c:pt>
                <c:pt idx="71">
                  <c:v>2187.8771969999998</c:v>
                </c:pt>
                <c:pt idx="72">
                  <c:v>2185.7385250000002</c:v>
                </c:pt>
                <c:pt idx="73">
                  <c:v>2184.28125</c:v>
                </c:pt>
                <c:pt idx="74">
                  <c:v>2183.1933589999999</c:v>
                </c:pt>
                <c:pt idx="75">
                  <c:v>2182.6313479999999</c:v>
                </c:pt>
                <c:pt idx="76">
                  <c:v>2180.6108399999998</c:v>
                </c:pt>
                <c:pt idx="77">
                  <c:v>2181.3078609999998</c:v>
                </c:pt>
                <c:pt idx="78">
                  <c:v>2180.6010740000002</c:v>
                </c:pt>
                <c:pt idx="79">
                  <c:v>2181.0676269999999</c:v>
                </c:pt>
                <c:pt idx="80">
                  <c:v>2179.548096</c:v>
                </c:pt>
                <c:pt idx="81">
                  <c:v>2180.2624510000001</c:v>
                </c:pt>
                <c:pt idx="82">
                  <c:v>2179.8610840000001</c:v>
                </c:pt>
                <c:pt idx="83">
                  <c:v>2179.7785640000002</c:v>
                </c:pt>
                <c:pt idx="84">
                  <c:v>2178.9257809999999</c:v>
                </c:pt>
                <c:pt idx="85">
                  <c:v>2179.709961</c:v>
                </c:pt>
                <c:pt idx="86">
                  <c:v>2179.4011230000001</c:v>
                </c:pt>
                <c:pt idx="87">
                  <c:v>2179.4697270000001</c:v>
                </c:pt>
                <c:pt idx="88">
                  <c:v>2176.88501</c:v>
                </c:pt>
                <c:pt idx="89">
                  <c:v>2174.5046390000002</c:v>
                </c:pt>
                <c:pt idx="90">
                  <c:v>2175.5893550000001</c:v>
                </c:pt>
                <c:pt idx="91">
                  <c:v>2174.2810060000002</c:v>
                </c:pt>
                <c:pt idx="92">
                  <c:v>2173.7248540000001</c:v>
                </c:pt>
                <c:pt idx="93">
                  <c:v>2172.8178710000002</c:v>
                </c:pt>
                <c:pt idx="94">
                  <c:v>2172.999268</c:v>
                </c:pt>
                <c:pt idx="95">
                  <c:v>2170.7250979999999</c:v>
                </c:pt>
                <c:pt idx="96">
                  <c:v>2169.7143550000001</c:v>
                </c:pt>
                <c:pt idx="97">
                  <c:v>2169.6125489999999</c:v>
                </c:pt>
                <c:pt idx="98">
                  <c:v>2169.993164</c:v>
                </c:pt>
                <c:pt idx="99">
                  <c:v>2170.226318</c:v>
                </c:pt>
                <c:pt idx="100">
                  <c:v>2171.6696780000002</c:v>
                </c:pt>
                <c:pt idx="101">
                  <c:v>2171.4887699999999</c:v>
                </c:pt>
                <c:pt idx="102">
                  <c:v>2170.2785640000002</c:v>
                </c:pt>
                <c:pt idx="103">
                  <c:v>2168.1179200000001</c:v>
                </c:pt>
                <c:pt idx="104">
                  <c:v>2165.7209469999998</c:v>
                </c:pt>
                <c:pt idx="105">
                  <c:v>2163.326172</c:v>
                </c:pt>
                <c:pt idx="106">
                  <c:v>2161.876953</c:v>
                </c:pt>
                <c:pt idx="107">
                  <c:v>2161.4033199999999</c:v>
                </c:pt>
                <c:pt idx="108">
                  <c:v>2160.546875</c:v>
                </c:pt>
                <c:pt idx="109">
                  <c:v>2157.7163089999999</c:v>
                </c:pt>
                <c:pt idx="110">
                  <c:v>2157.4729000000002</c:v>
                </c:pt>
                <c:pt idx="111">
                  <c:v>2158.0407709999999</c:v>
                </c:pt>
                <c:pt idx="112">
                  <c:v>2156.5014649999998</c:v>
                </c:pt>
                <c:pt idx="113">
                  <c:v>2157.4174800000001</c:v>
                </c:pt>
                <c:pt idx="114">
                  <c:v>2154.921875</c:v>
                </c:pt>
                <c:pt idx="115">
                  <c:v>2155.2661130000001</c:v>
                </c:pt>
                <c:pt idx="116">
                  <c:v>2154.6359859999998</c:v>
                </c:pt>
                <c:pt idx="117">
                  <c:v>2153.8063959999999</c:v>
                </c:pt>
                <c:pt idx="118">
                  <c:v>2153.5048830000001</c:v>
                </c:pt>
                <c:pt idx="119">
                  <c:v>2151.5410160000001</c:v>
                </c:pt>
                <c:pt idx="120">
                  <c:v>2151.9228520000001</c:v>
                </c:pt>
                <c:pt idx="121">
                  <c:v>2150.5490719999998</c:v>
                </c:pt>
                <c:pt idx="122">
                  <c:v>2149.876221</c:v>
                </c:pt>
                <c:pt idx="123">
                  <c:v>2149.4946289999998</c:v>
                </c:pt>
                <c:pt idx="124">
                  <c:v>2150.4604490000002</c:v>
                </c:pt>
                <c:pt idx="125">
                  <c:v>2149.7951659999999</c:v>
                </c:pt>
                <c:pt idx="126">
                  <c:v>2148.6840820000002</c:v>
                </c:pt>
                <c:pt idx="127">
                  <c:v>2148.022461</c:v>
                </c:pt>
                <c:pt idx="128">
                  <c:v>2148.8410640000002</c:v>
                </c:pt>
                <c:pt idx="129">
                  <c:v>2150.638672</c:v>
                </c:pt>
                <c:pt idx="130">
                  <c:v>2150.9104000000002</c:v>
                </c:pt>
                <c:pt idx="131">
                  <c:v>2150.3325199999999</c:v>
                </c:pt>
                <c:pt idx="132">
                  <c:v>2150.6965329999998</c:v>
                </c:pt>
                <c:pt idx="133">
                  <c:v>2148.671143</c:v>
                </c:pt>
                <c:pt idx="134">
                  <c:v>2149.6596679999998</c:v>
                </c:pt>
                <c:pt idx="135">
                  <c:v>2149.2714839999999</c:v>
                </c:pt>
                <c:pt idx="136">
                  <c:v>2148.0366210000002</c:v>
                </c:pt>
                <c:pt idx="137">
                  <c:v>2146.53125</c:v>
                </c:pt>
                <c:pt idx="138">
                  <c:v>2146.4309079999998</c:v>
                </c:pt>
                <c:pt idx="139">
                  <c:v>2144.4331050000001</c:v>
                </c:pt>
                <c:pt idx="140">
                  <c:v>2145.5603030000002</c:v>
                </c:pt>
                <c:pt idx="141">
                  <c:v>2145.0783689999998</c:v>
                </c:pt>
                <c:pt idx="142">
                  <c:v>2144.4802249999998</c:v>
                </c:pt>
                <c:pt idx="143">
                  <c:v>2140.0227049999999</c:v>
                </c:pt>
                <c:pt idx="144">
                  <c:v>2140.0734859999998</c:v>
                </c:pt>
                <c:pt idx="145">
                  <c:v>2140.4750979999999</c:v>
                </c:pt>
                <c:pt idx="146">
                  <c:v>2139.005615</c:v>
                </c:pt>
                <c:pt idx="147">
                  <c:v>2136.8862300000001</c:v>
                </c:pt>
                <c:pt idx="148">
                  <c:v>2134.8215329999998</c:v>
                </c:pt>
                <c:pt idx="149">
                  <c:v>2134.5102539999998</c:v>
                </c:pt>
                <c:pt idx="150">
                  <c:v>2133.2280270000001</c:v>
                </c:pt>
                <c:pt idx="151">
                  <c:v>2133.0473630000001</c:v>
                </c:pt>
                <c:pt idx="152">
                  <c:v>2132.5234380000002</c:v>
                </c:pt>
                <c:pt idx="153">
                  <c:v>2132.195557</c:v>
                </c:pt>
                <c:pt idx="154">
                  <c:v>2133.475586</c:v>
                </c:pt>
                <c:pt idx="155">
                  <c:v>2131.6745609999998</c:v>
                </c:pt>
                <c:pt idx="156">
                  <c:v>2130.8557129999999</c:v>
                </c:pt>
                <c:pt idx="157">
                  <c:v>2130.343018</c:v>
                </c:pt>
                <c:pt idx="158">
                  <c:v>2130.5275879999999</c:v>
                </c:pt>
                <c:pt idx="159">
                  <c:v>2130.716797</c:v>
                </c:pt>
                <c:pt idx="160">
                  <c:v>2130.4467770000001</c:v>
                </c:pt>
                <c:pt idx="161">
                  <c:v>2129.842529</c:v>
                </c:pt>
                <c:pt idx="162">
                  <c:v>2130.3164059999999</c:v>
                </c:pt>
                <c:pt idx="163">
                  <c:v>2129.0334469999998</c:v>
                </c:pt>
                <c:pt idx="164">
                  <c:v>2127.6157229999999</c:v>
                </c:pt>
                <c:pt idx="165">
                  <c:v>2128.2941890000002</c:v>
                </c:pt>
                <c:pt idx="166">
                  <c:v>2128.8234859999998</c:v>
                </c:pt>
                <c:pt idx="167">
                  <c:v>2128.3566890000002</c:v>
                </c:pt>
                <c:pt idx="168">
                  <c:v>2129.4541020000001</c:v>
                </c:pt>
                <c:pt idx="169">
                  <c:v>2129.4602049999999</c:v>
                </c:pt>
                <c:pt idx="170">
                  <c:v>2129.4270019999999</c:v>
                </c:pt>
                <c:pt idx="171">
                  <c:v>2129.5759280000002</c:v>
                </c:pt>
                <c:pt idx="172">
                  <c:v>2130.1528320000002</c:v>
                </c:pt>
                <c:pt idx="173">
                  <c:v>2130.9428710000002</c:v>
                </c:pt>
                <c:pt idx="174">
                  <c:v>2132.4428710000002</c:v>
                </c:pt>
                <c:pt idx="175">
                  <c:v>2132.4396969999998</c:v>
                </c:pt>
                <c:pt idx="176">
                  <c:v>2133.2014159999999</c:v>
                </c:pt>
                <c:pt idx="177">
                  <c:v>2134.7236330000001</c:v>
                </c:pt>
                <c:pt idx="178">
                  <c:v>2136.4401859999998</c:v>
                </c:pt>
                <c:pt idx="179">
                  <c:v>2136.0009770000001</c:v>
                </c:pt>
                <c:pt idx="180">
                  <c:v>2137.053711</c:v>
                </c:pt>
                <c:pt idx="181">
                  <c:v>2138.7856449999999</c:v>
                </c:pt>
                <c:pt idx="182">
                  <c:v>2138.8801269999999</c:v>
                </c:pt>
                <c:pt idx="183">
                  <c:v>2139.7478030000002</c:v>
                </c:pt>
                <c:pt idx="184">
                  <c:v>2139.2807619999999</c:v>
                </c:pt>
                <c:pt idx="185">
                  <c:v>2138.7685550000001</c:v>
                </c:pt>
                <c:pt idx="186">
                  <c:v>2135.5095209999999</c:v>
                </c:pt>
                <c:pt idx="187">
                  <c:v>2132.6098630000001</c:v>
                </c:pt>
                <c:pt idx="188">
                  <c:v>2131.155518</c:v>
                </c:pt>
                <c:pt idx="189">
                  <c:v>2130.835693</c:v>
                </c:pt>
                <c:pt idx="190">
                  <c:v>2130.2026369999999</c:v>
                </c:pt>
                <c:pt idx="191">
                  <c:v>2131.3100589999999</c:v>
                </c:pt>
                <c:pt idx="192">
                  <c:v>2132.5500489999999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Cu_2ndPhase!$F$2:$F$102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Cu_2ndPhase!$G$2:$G$102</c:f>
              <c:numCache>
                <c:formatCode>General</c:formatCode>
                <c:ptCount val="101"/>
                <c:pt idx="0">
                  <c:v>7.8665745172245707</c:v>
                </c:pt>
                <c:pt idx="1">
                  <c:v>7.8605226717703403</c:v>
                </c:pt>
                <c:pt idx="2">
                  <c:v>7.8495728790659705</c:v>
                </c:pt>
                <c:pt idx="3">
                  <c:v>7.838945880035455</c:v>
                </c:pt>
                <c:pt idx="4">
                  <c:v>7.8307831286275063</c:v>
                </c:pt>
                <c:pt idx="5">
                  <c:v>7.8236863757953552</c:v>
                </c:pt>
                <c:pt idx="6">
                  <c:v>7.8133943657677749</c:v>
                </c:pt>
                <c:pt idx="7">
                  <c:v>7.8069612454571535</c:v>
                </c:pt>
                <c:pt idx="8">
                  <c:v>7.802555005876326</c:v>
                </c:pt>
                <c:pt idx="9">
                  <c:v>7.7965901013251697</c:v>
                </c:pt>
                <c:pt idx="10">
                  <c:v>7.7911867163935362</c:v>
                </c:pt>
                <c:pt idx="11">
                  <c:v>7.7872328971082068</c:v>
                </c:pt>
                <c:pt idx="12">
                  <c:v>7.7830456758509845</c:v>
                </c:pt>
                <c:pt idx="13">
                  <c:v>7.7800940213417329</c:v>
                </c:pt>
                <c:pt idx="14">
                  <c:v>7.7772031195598048</c:v>
                </c:pt>
                <c:pt idx="15">
                  <c:v>7.7731562123164997</c:v>
                </c:pt>
                <c:pt idx="16">
                  <c:v>7.7696150893662201</c:v>
                </c:pt>
                <c:pt idx="17">
                  <c:v>7.7667232684563219</c:v>
                </c:pt>
                <c:pt idx="18">
                  <c:v>7.7629133499598559</c:v>
                </c:pt>
                <c:pt idx="19">
                  <c:v>7.7607141572425489</c:v>
                </c:pt>
                <c:pt idx="20">
                  <c:v>7.7578546664251942</c:v>
                </c:pt>
                <c:pt idx="21">
                  <c:v>7.7553644397674866</c:v>
                </c:pt>
                <c:pt idx="22">
                  <c:v>7.7521539560816448</c:v>
                </c:pt>
                <c:pt idx="23">
                  <c:v>7.7499499828158545</c:v>
                </c:pt>
                <c:pt idx="24">
                  <c:v>7.7480842630602194</c:v>
                </c:pt>
                <c:pt idx="25">
                  <c:v>7.7473181884745559</c:v>
                </c:pt>
                <c:pt idx="26">
                  <c:v>7.7458041304196081</c:v>
                </c:pt>
                <c:pt idx="27">
                  <c:v>7.7444899768046014</c:v>
                </c:pt>
                <c:pt idx="28">
                  <c:v>7.7436102326073044</c:v>
                </c:pt>
                <c:pt idx="29">
                  <c:v>7.7425238728985812</c:v>
                </c:pt>
                <c:pt idx="30">
                  <c:v>7.7402694530656451</c:v>
                </c:pt>
                <c:pt idx="31">
                  <c:v>7.7391271518231033</c:v>
                </c:pt>
                <c:pt idx="32">
                  <c:v>7.7382504428349508</c:v>
                </c:pt>
                <c:pt idx="33">
                  <c:v>7.7374962817636002</c:v>
                </c:pt>
                <c:pt idx="34">
                  <c:v>7.7368775194157422</c:v>
                </c:pt>
                <c:pt idx="35">
                  <c:v>7.7368867891927229</c:v>
                </c:pt>
                <c:pt idx="36">
                  <c:v>7.7340045148895449</c:v>
                </c:pt>
                <c:pt idx="37">
                  <c:v>7.7318477321014152</c:v>
                </c:pt>
                <c:pt idx="38">
                  <c:v>7.7317245730696875</c:v>
                </c:pt>
                <c:pt idx="39">
                  <c:v>7.7312021035003466</c:v>
                </c:pt>
                <c:pt idx="40">
                  <c:v>7.729051933526315</c:v>
                </c:pt>
                <c:pt idx="41">
                  <c:v>7.725455926681553</c:v>
                </c:pt>
                <c:pt idx="42">
                  <c:v>7.7217390966528221</c:v>
                </c:pt>
                <c:pt idx="43">
                  <c:v>7.7162418652987226</c:v>
                </c:pt>
                <c:pt idx="44">
                  <c:v>7.7134708590300534</c:v>
                </c:pt>
                <c:pt idx="45">
                  <c:v>7.7108014155816234</c:v>
                </c:pt>
                <c:pt idx="46">
                  <c:v>7.7112181218578817</c:v>
                </c:pt>
                <c:pt idx="47">
                  <c:v>7.709508204392832</c:v>
                </c:pt>
                <c:pt idx="48">
                  <c:v>7.7083701042434107</c:v>
                </c:pt>
                <c:pt idx="49">
                  <c:v>7.7069413463041929</c:v>
                </c:pt>
                <c:pt idx="50">
                  <c:v>7.7067379965593963</c:v>
                </c:pt>
                <c:pt idx="51">
                  <c:v>7.7055681538174294</c:v>
                </c:pt>
                <c:pt idx="52">
                  <c:v>7.703692474592156</c:v>
                </c:pt>
                <c:pt idx="53">
                  <c:v>7.7031831397719355</c:v>
                </c:pt>
                <c:pt idx="54">
                  <c:v>7.7023490023917107</c:v>
                </c:pt>
                <c:pt idx="55">
                  <c:v>7.701561192121039</c:v>
                </c:pt>
                <c:pt idx="56">
                  <c:v>7.7008244585413621</c:v>
                </c:pt>
                <c:pt idx="57">
                  <c:v>7.7003811847847272</c:v>
                </c:pt>
                <c:pt idx="58">
                  <c:v>7.6997223200237421</c:v>
                </c:pt>
                <c:pt idx="59">
                  <c:v>7.6986070096435615</c:v>
                </c:pt>
                <c:pt idx="60">
                  <c:v>7.6981022769470897</c:v>
                </c:pt>
                <c:pt idx="61">
                  <c:v>7.6966727384845637</c:v>
                </c:pt>
                <c:pt idx="62">
                  <c:v>7.696409929883349</c:v>
                </c:pt>
                <c:pt idx="63">
                  <c:v>7.6954568497184574</c:v>
                </c:pt>
                <c:pt idx="64">
                  <c:v>7.6953300144931189</c:v>
                </c:pt>
                <c:pt idx="65">
                  <c:v>7.6946512514690797</c:v>
                </c:pt>
                <c:pt idx="66">
                  <c:v>7.693621616908624</c:v>
                </c:pt>
                <c:pt idx="67">
                  <c:v>7.6930247465934007</c:v>
                </c:pt>
                <c:pt idx="68">
                  <c:v>7.6923091008985134</c:v>
                </c:pt>
                <c:pt idx="69">
                  <c:v>7.691258314649593</c:v>
                </c:pt>
                <c:pt idx="70">
                  <c:v>7.6913696098793638</c:v>
                </c:pt>
                <c:pt idx="71">
                  <c:v>7.6906870362812088</c:v>
                </c:pt>
                <c:pt idx="72">
                  <c:v>7.6897090481330022</c:v>
                </c:pt>
                <c:pt idx="73">
                  <c:v>7.689042106046216</c:v>
                </c:pt>
                <c:pt idx="74">
                  <c:v>7.6885439275243499</c:v>
                </c:pt>
                <c:pt idx="75">
                  <c:v>7.6882864682625511</c:v>
                </c:pt>
                <c:pt idx="76">
                  <c:v>7.6873603183687944</c:v>
                </c:pt>
                <c:pt idx="77">
                  <c:v>7.6876799121318662</c:v>
                </c:pt>
                <c:pt idx="78">
                  <c:v>7.6873558397971529</c:v>
                </c:pt>
                <c:pt idx="79">
                  <c:v>7.6875697730569961</c:v>
                </c:pt>
                <c:pt idx="80">
                  <c:v>7.6868728388816265</c:v>
                </c:pt>
                <c:pt idx="81">
                  <c:v>7.6872005389037685</c:v>
                </c:pt>
                <c:pt idx="82">
                  <c:v>7.6870164308169624</c:v>
                </c:pt>
                <c:pt idx="83">
                  <c:v>7.6869785744771395</c:v>
                </c:pt>
                <c:pt idx="84">
                  <c:v>7.6865872733273566</c:v>
                </c:pt>
                <c:pt idx="85">
                  <c:v>7.6869471015189648</c:v>
                </c:pt>
                <c:pt idx="86">
                  <c:v>7.6868054038220874</c:v>
                </c:pt>
                <c:pt idx="87">
                  <c:v>7.6868368816989809</c:v>
                </c:pt>
                <c:pt idx="88">
                  <c:v>7.6856502394444624</c:v>
                </c:pt>
                <c:pt idx="89">
                  <c:v>7.6845561653994094</c:v>
                </c:pt>
                <c:pt idx="90">
                  <c:v>7.6850548746337282</c:v>
                </c:pt>
                <c:pt idx="91">
                  <c:v>7.6844533169178089</c:v>
                </c:pt>
                <c:pt idx="92">
                  <c:v>7.6841974975739804</c:v>
                </c:pt>
                <c:pt idx="93">
                  <c:v>7.6837801622016872</c:v>
                </c:pt>
                <c:pt idx="94">
                  <c:v>7.6838636433948908</c:v>
                </c:pt>
                <c:pt idx="95">
                  <c:v>7.6828165372637605</c:v>
                </c:pt>
                <c:pt idx="96">
                  <c:v>7.6823508042294844</c:v>
                </c:pt>
                <c:pt idx="97">
                  <c:v>7.6823038817448355</c:v>
                </c:pt>
                <c:pt idx="98">
                  <c:v>7.6824792962991282</c:v>
                </c:pt>
                <c:pt idx="99">
                  <c:v>7.6825867351054802</c:v>
                </c:pt>
                <c:pt idx="100">
                  <c:v>7.6832515875360752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752448764414579"/>
                  <c:y val="3.3455818022747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Cu_2ndPhase!$F$2:$F$102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Cu_2ndPhase!$B$2:$B$102</c:f>
              <c:numCache>
                <c:formatCode>General</c:formatCode>
                <c:ptCount val="101"/>
                <c:pt idx="0">
                  <c:v>2608.6145019999999</c:v>
                </c:pt>
                <c:pt idx="1">
                  <c:v>2592.8752439999998</c:v>
                </c:pt>
                <c:pt idx="2">
                  <c:v>2564.638672</c:v>
                </c:pt>
                <c:pt idx="3">
                  <c:v>2537.5285640000002</c:v>
                </c:pt>
                <c:pt idx="4">
                  <c:v>2516.8996579999998</c:v>
                </c:pt>
                <c:pt idx="5">
                  <c:v>2499.1010740000002</c:v>
                </c:pt>
                <c:pt idx="6">
                  <c:v>2473.5122070000002</c:v>
                </c:pt>
                <c:pt idx="7">
                  <c:v>2457.6508789999998</c:v>
                </c:pt>
                <c:pt idx="8">
                  <c:v>2446.845703</c:v>
                </c:pt>
                <c:pt idx="9">
                  <c:v>2432.2939449999999</c:v>
                </c:pt>
                <c:pt idx="10">
                  <c:v>2419.186768</c:v>
                </c:pt>
                <c:pt idx="11">
                  <c:v>2409.640625</c:v>
                </c:pt>
                <c:pt idx="12">
                  <c:v>2399.5720209999999</c:v>
                </c:pt>
                <c:pt idx="13">
                  <c:v>2392.4997560000002</c:v>
                </c:pt>
                <c:pt idx="14">
                  <c:v>2385.5932619999999</c:v>
                </c:pt>
                <c:pt idx="15">
                  <c:v>2375.9584960000002</c:v>
                </c:pt>
                <c:pt idx="16">
                  <c:v>2367.5598140000002</c:v>
                </c:pt>
                <c:pt idx="17">
                  <c:v>2360.7231449999999</c:v>
                </c:pt>
                <c:pt idx="18">
                  <c:v>2351.7460940000001</c:v>
                </c:pt>
                <c:pt idx="19">
                  <c:v>2346.5798340000001</c:v>
                </c:pt>
                <c:pt idx="20">
                  <c:v>2339.8793949999999</c:v>
                </c:pt>
                <c:pt idx="21">
                  <c:v>2334.0598140000002</c:v>
                </c:pt>
                <c:pt idx="22">
                  <c:v>2326.5783689999998</c:v>
                </c:pt>
                <c:pt idx="23">
                  <c:v>2321.4562989999999</c:v>
                </c:pt>
                <c:pt idx="24">
                  <c:v>2317.1291500000002</c:v>
                </c:pt>
                <c:pt idx="25">
                  <c:v>2315.3547359999998</c:v>
                </c:pt>
                <c:pt idx="26">
                  <c:v>2311.851807</c:v>
                </c:pt>
                <c:pt idx="27">
                  <c:v>2308.8156739999999</c:v>
                </c:pt>
                <c:pt idx="28">
                  <c:v>2306.7854000000002</c:v>
                </c:pt>
                <c:pt idx="29">
                  <c:v>2304.2807619999999</c:v>
                </c:pt>
                <c:pt idx="30">
                  <c:v>2299.091797</c:v>
                </c:pt>
                <c:pt idx="31">
                  <c:v>2296.4670409999999</c:v>
                </c:pt>
                <c:pt idx="32">
                  <c:v>2294.4545899999998</c:v>
                </c:pt>
                <c:pt idx="33">
                  <c:v>2292.7248540000001</c:v>
                </c:pt>
                <c:pt idx="34">
                  <c:v>2291.3066410000001</c:v>
                </c:pt>
                <c:pt idx="35">
                  <c:v>2291.3278810000002</c:v>
                </c:pt>
                <c:pt idx="36">
                  <c:v>2284.733154</c:v>
                </c:pt>
                <c:pt idx="37">
                  <c:v>2279.8107909999999</c:v>
                </c:pt>
                <c:pt idx="38">
                  <c:v>2279.530029</c:v>
                </c:pt>
                <c:pt idx="39">
                  <c:v>2278.3393550000001</c:v>
                </c:pt>
                <c:pt idx="40">
                  <c:v>2273.4458009999998</c:v>
                </c:pt>
                <c:pt idx="41">
                  <c:v>2265.2851559999999</c:v>
                </c:pt>
                <c:pt idx="42">
                  <c:v>2256.8811040000001</c:v>
                </c:pt>
                <c:pt idx="43">
                  <c:v>2244.5085450000001</c:v>
                </c:pt>
                <c:pt idx="44">
                  <c:v>2238.297607</c:v>
                </c:pt>
                <c:pt idx="45">
                  <c:v>2232.3305660000001</c:v>
                </c:pt>
                <c:pt idx="46">
                  <c:v>2233.2609859999998</c:v>
                </c:pt>
                <c:pt idx="47">
                  <c:v>2229.445557</c:v>
                </c:pt>
                <c:pt idx="48">
                  <c:v>2226.9096679999998</c:v>
                </c:pt>
                <c:pt idx="49">
                  <c:v>2223.7302249999998</c:v>
                </c:pt>
                <c:pt idx="50">
                  <c:v>2223.2780760000001</c:v>
                </c:pt>
                <c:pt idx="51">
                  <c:v>2220.678711</c:v>
                </c:pt>
                <c:pt idx="52">
                  <c:v>2216.5173340000001</c:v>
                </c:pt>
                <c:pt idx="53">
                  <c:v>2215.388672</c:v>
                </c:pt>
                <c:pt idx="54">
                  <c:v>2213.5415039999998</c:v>
                </c:pt>
                <c:pt idx="55">
                  <c:v>2211.7983399999998</c:v>
                </c:pt>
                <c:pt idx="56">
                  <c:v>2210.1694339999999</c:v>
                </c:pt>
                <c:pt idx="57">
                  <c:v>2209.1899410000001</c:v>
                </c:pt>
                <c:pt idx="58">
                  <c:v>2207.7348630000001</c:v>
                </c:pt>
                <c:pt idx="59">
                  <c:v>2205.2739259999998</c:v>
                </c:pt>
                <c:pt idx="60">
                  <c:v>2204.1611330000001</c:v>
                </c:pt>
                <c:pt idx="61">
                  <c:v>2201.0124510000001</c:v>
                </c:pt>
                <c:pt idx="62">
                  <c:v>2200.4340820000002</c:v>
                </c:pt>
                <c:pt idx="63">
                  <c:v>2198.3378910000001</c:v>
                </c:pt>
                <c:pt idx="64">
                  <c:v>2198.0590820000002</c:v>
                </c:pt>
                <c:pt idx="65">
                  <c:v>2196.5676269999999</c:v>
                </c:pt>
                <c:pt idx="66">
                  <c:v>2194.3071289999998</c:v>
                </c:pt>
                <c:pt idx="67">
                  <c:v>2192.9978030000002</c:v>
                </c:pt>
                <c:pt idx="68">
                  <c:v>2191.4289549999999</c:v>
                </c:pt>
                <c:pt idx="69">
                  <c:v>2189.1274410000001</c:v>
                </c:pt>
                <c:pt idx="70">
                  <c:v>2189.3710940000001</c:v>
                </c:pt>
                <c:pt idx="71">
                  <c:v>2187.8771969999998</c:v>
                </c:pt>
                <c:pt idx="72">
                  <c:v>2185.7385250000002</c:v>
                </c:pt>
                <c:pt idx="73">
                  <c:v>2184.28125</c:v>
                </c:pt>
                <c:pt idx="74">
                  <c:v>2183.1933589999999</c:v>
                </c:pt>
                <c:pt idx="75">
                  <c:v>2182.6313479999999</c:v>
                </c:pt>
                <c:pt idx="76">
                  <c:v>2180.6108399999998</c:v>
                </c:pt>
                <c:pt idx="77">
                  <c:v>2181.3078609999998</c:v>
                </c:pt>
                <c:pt idx="78">
                  <c:v>2180.6010740000002</c:v>
                </c:pt>
                <c:pt idx="79">
                  <c:v>2181.0676269999999</c:v>
                </c:pt>
                <c:pt idx="80">
                  <c:v>2179.548096</c:v>
                </c:pt>
                <c:pt idx="81">
                  <c:v>2180.2624510000001</c:v>
                </c:pt>
                <c:pt idx="82">
                  <c:v>2179.8610840000001</c:v>
                </c:pt>
                <c:pt idx="83">
                  <c:v>2179.7785640000002</c:v>
                </c:pt>
                <c:pt idx="84">
                  <c:v>2178.9257809999999</c:v>
                </c:pt>
                <c:pt idx="85">
                  <c:v>2179.709961</c:v>
                </c:pt>
                <c:pt idx="86">
                  <c:v>2179.4011230000001</c:v>
                </c:pt>
                <c:pt idx="87">
                  <c:v>2179.4697270000001</c:v>
                </c:pt>
                <c:pt idx="88">
                  <c:v>2176.88501</c:v>
                </c:pt>
                <c:pt idx="89">
                  <c:v>2174.5046390000002</c:v>
                </c:pt>
                <c:pt idx="90">
                  <c:v>2175.5893550000001</c:v>
                </c:pt>
                <c:pt idx="91">
                  <c:v>2174.2810060000002</c:v>
                </c:pt>
                <c:pt idx="92">
                  <c:v>2173.7248540000001</c:v>
                </c:pt>
                <c:pt idx="93">
                  <c:v>2172.8178710000002</c:v>
                </c:pt>
                <c:pt idx="94">
                  <c:v>2172.999268</c:v>
                </c:pt>
                <c:pt idx="95">
                  <c:v>2170.7250979999999</c:v>
                </c:pt>
                <c:pt idx="96">
                  <c:v>2169.7143550000001</c:v>
                </c:pt>
                <c:pt idx="97">
                  <c:v>2169.6125489999999</c:v>
                </c:pt>
                <c:pt idx="98">
                  <c:v>2169.993164</c:v>
                </c:pt>
                <c:pt idx="99">
                  <c:v>2170.226318</c:v>
                </c:pt>
                <c:pt idx="100">
                  <c:v>2171.6696780000002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PANI_2ndPhase!$F$2:$F$194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PANI_2ndPhase!$G$2:$G$194</c:f>
              <c:numCache>
                <c:formatCode>General</c:formatCode>
                <c:ptCount val="193"/>
                <c:pt idx="0">
                  <c:v>7.6764718355391164</c:v>
                </c:pt>
                <c:pt idx="1">
                  <c:v>7.6571204423709318</c:v>
                </c:pt>
                <c:pt idx="2">
                  <c:v>7.6515946456252308</c:v>
                </c:pt>
                <c:pt idx="3">
                  <c:v>7.6432731371134359</c:v>
                </c:pt>
                <c:pt idx="4">
                  <c:v>7.6384871495621178</c:v>
                </c:pt>
                <c:pt idx="5">
                  <c:v>7.6347477514518793</c:v>
                </c:pt>
                <c:pt idx="6">
                  <c:v>7.6318002940059113</c:v>
                </c:pt>
                <c:pt idx="7">
                  <c:v>7.6293871773944648</c:v>
                </c:pt>
                <c:pt idx="8">
                  <c:v>7.593304700026601</c:v>
                </c:pt>
                <c:pt idx="9">
                  <c:v>7.6065977584939244</c:v>
                </c:pt>
                <c:pt idx="10">
                  <c:v>7.6064962212446234</c:v>
                </c:pt>
                <c:pt idx="11">
                  <c:v>7.6055624225295126</c:v>
                </c:pt>
                <c:pt idx="12">
                  <c:v>7.6049483409149232</c:v>
                </c:pt>
                <c:pt idx="13">
                  <c:v>7.604748934363676</c:v>
                </c:pt>
                <c:pt idx="14">
                  <c:v>7.604243368983914</c:v>
                </c:pt>
                <c:pt idx="15">
                  <c:v>7.6036489893736112</c:v>
                </c:pt>
                <c:pt idx="16">
                  <c:v>7.6023862826319029</c:v>
                </c:pt>
                <c:pt idx="17">
                  <c:v>7.6026299705353617</c:v>
                </c:pt>
                <c:pt idx="18">
                  <c:v>7.602539180882653</c:v>
                </c:pt>
                <c:pt idx="19">
                  <c:v>7.6019423851319798</c:v>
                </c:pt>
                <c:pt idx="20">
                  <c:v>7.6016105827636435</c:v>
                </c:pt>
                <c:pt idx="21">
                  <c:v>7.6009488449662621</c:v>
                </c:pt>
                <c:pt idx="22">
                  <c:v>7.6005499804286174</c:v>
                </c:pt>
                <c:pt idx="23">
                  <c:v>7.6004124715175543</c:v>
                </c:pt>
                <c:pt idx="24">
                  <c:v>7.5999704458522244</c:v>
                </c:pt>
                <c:pt idx="25">
                  <c:v>7.599417287219449</c:v>
                </c:pt>
                <c:pt idx="26">
                  <c:v>7.599328711850541</c:v>
                </c:pt>
                <c:pt idx="27">
                  <c:v>7.5988625994413992</c:v>
                </c:pt>
                <c:pt idx="28">
                  <c:v>7.598531915020307</c:v>
                </c:pt>
                <c:pt idx="29">
                  <c:v>7.5980241757546425</c:v>
                </c:pt>
                <c:pt idx="30">
                  <c:v>7.5982422473130455</c:v>
                </c:pt>
                <c:pt idx="31">
                  <c:v>7.5982183184562695</c:v>
                </c:pt>
                <c:pt idx="32">
                  <c:v>7.5977309315598482</c:v>
                </c:pt>
                <c:pt idx="33">
                  <c:v>7.5975136675671644</c:v>
                </c:pt>
                <c:pt idx="34">
                  <c:v>7.5978190361744273</c:v>
                </c:pt>
                <c:pt idx="35">
                  <c:v>7.5976420230911001</c:v>
                </c:pt>
                <c:pt idx="36">
                  <c:v>7.5976840901427449</c:v>
                </c:pt>
                <c:pt idx="37">
                  <c:v>7.5970906995065119</c:v>
                </c:pt>
                <c:pt idx="38">
                  <c:v>7.59715637722908</c:v>
                </c:pt>
                <c:pt idx="39">
                  <c:v>7.5969567584917472</c:v>
                </c:pt>
                <c:pt idx="40">
                  <c:v>7.5968892292956358</c:v>
                </c:pt>
                <c:pt idx="41">
                  <c:v>7.596867658167489</c:v>
                </c:pt>
                <c:pt idx="42">
                  <c:v>7.5964496896602034</c:v>
                </c:pt>
                <c:pt idx="43">
                  <c:v>7.5964267605273212</c:v>
                </c:pt>
                <c:pt idx="44">
                  <c:v>7.5967135839400024</c:v>
                </c:pt>
                <c:pt idx="45">
                  <c:v>7.5961838860633986</c:v>
                </c:pt>
                <c:pt idx="46">
                  <c:v>7.5963157235327863</c:v>
                </c:pt>
                <c:pt idx="47">
                  <c:v>7.5958770970333385</c:v>
                </c:pt>
                <c:pt idx="48">
                  <c:v>7.5958357514274502</c:v>
                </c:pt>
                <c:pt idx="49">
                  <c:v>7.5956154363333761</c:v>
                </c:pt>
                <c:pt idx="50">
                  <c:v>7.5957894347808494</c:v>
                </c:pt>
                <c:pt idx="51">
                  <c:v>7.595834095054955</c:v>
                </c:pt>
                <c:pt idx="52">
                  <c:v>7.5957018256584758</c:v>
                </c:pt>
                <c:pt idx="53">
                  <c:v>7.5956373416027709</c:v>
                </c:pt>
                <c:pt idx="54">
                  <c:v>7.5951995221639317</c:v>
                </c:pt>
                <c:pt idx="55">
                  <c:v>7.5951342071155699</c:v>
                </c:pt>
                <c:pt idx="56">
                  <c:v>7.5950251142355372</c:v>
                </c:pt>
                <c:pt idx="57">
                  <c:v>7.5948290612393858</c:v>
                </c:pt>
                <c:pt idx="58">
                  <c:v>7.5952672882466388</c:v>
                </c:pt>
                <c:pt idx="59">
                  <c:v>7.5950712208686655</c:v>
                </c:pt>
                <c:pt idx="60">
                  <c:v>7.5949626125270617</c:v>
                </c:pt>
                <c:pt idx="61">
                  <c:v>7.5949620597532492</c:v>
                </c:pt>
                <c:pt idx="62">
                  <c:v>7.594896974662448</c:v>
                </c:pt>
                <c:pt idx="63">
                  <c:v>7.5952930059337991</c:v>
                </c:pt>
                <c:pt idx="64">
                  <c:v>7.5947666695234757</c:v>
                </c:pt>
                <c:pt idx="65">
                  <c:v>7.5951397937323071</c:v>
                </c:pt>
                <c:pt idx="66">
                  <c:v>7.5946598091838595</c:v>
                </c:pt>
                <c:pt idx="67">
                  <c:v>7.5949035449806948</c:v>
                </c:pt>
                <c:pt idx="68">
                  <c:v>7.5941360272851854</c:v>
                </c:pt>
                <c:pt idx="69">
                  <c:v>7.5943587571455247</c:v>
                </c:pt>
                <c:pt idx="70">
                  <c:v>7.5946649068950514</c:v>
                </c:pt>
                <c:pt idx="71">
                  <c:v>7.5941615289349169</c:v>
                </c:pt>
                <c:pt idx="72">
                  <c:v>7.5943825943375165</c:v>
                </c:pt>
                <c:pt idx="73">
                  <c:v>7.5940797995381386</c:v>
                </c:pt>
                <c:pt idx="74">
                  <c:v>7.5945414506538977</c:v>
                </c:pt>
                <c:pt idx="75">
                  <c:v>7.5939728043460475</c:v>
                </c:pt>
                <c:pt idx="76">
                  <c:v>7.5943464699291381</c:v>
                </c:pt>
                <c:pt idx="77">
                  <c:v>7.5941063466939083</c:v>
                </c:pt>
                <c:pt idx="78">
                  <c:v>7.5943053066038333</c:v>
                </c:pt>
                <c:pt idx="79">
                  <c:v>7.5943736245056881</c:v>
                </c:pt>
                <c:pt idx="80">
                  <c:v>7.5941792870821763</c:v>
                </c:pt>
                <c:pt idx="81">
                  <c:v>7.5937257061444319</c:v>
                </c:pt>
                <c:pt idx="82">
                  <c:v>7.5935090454892586</c:v>
                </c:pt>
                <c:pt idx="83">
                  <c:v>7.5939482202757214</c:v>
                </c:pt>
                <c:pt idx="84">
                  <c:v>7.5936246977625341</c:v>
                </c:pt>
                <c:pt idx="85">
                  <c:v>7.5939759384845917</c:v>
                </c:pt>
                <c:pt idx="86">
                  <c:v>7.5939771065465651</c:v>
                </c:pt>
                <c:pt idx="87">
                  <c:v>7.5938027924433573</c:v>
                </c:pt>
                <c:pt idx="88">
                  <c:v>7.5940016899067677</c:v>
                </c:pt>
                <c:pt idx="89">
                  <c:v>7.5934808221969137</c:v>
                </c:pt>
                <c:pt idx="90">
                  <c:v>7.5937303166035584</c:v>
                </c:pt>
                <c:pt idx="91">
                  <c:v>7.5935330872979501</c:v>
                </c:pt>
                <c:pt idx="92">
                  <c:v>7.5937784499375347</c:v>
                </c:pt>
                <c:pt idx="93">
                  <c:v>7.5937791262381591</c:v>
                </c:pt>
                <c:pt idx="94">
                  <c:v>7.5937801097184439</c:v>
                </c:pt>
                <c:pt idx="95">
                  <c:v>7.5935222652814929</c:v>
                </c:pt>
                <c:pt idx="96">
                  <c:v>7.5936066839773284</c:v>
                </c:pt>
                <c:pt idx="97">
                  <c:v>7.5936104956782318</c:v>
                </c:pt>
                <c:pt idx="98">
                  <c:v>7.5936400066562415</c:v>
                </c:pt>
                <c:pt idx="99">
                  <c:v>7.5934200066814057</c:v>
                </c:pt>
                <c:pt idx="100">
                  <c:v>7.5939935770820757</c:v>
                </c:pt>
                <c:pt idx="101">
                  <c:v>7.5935560214257949</c:v>
                </c:pt>
                <c:pt idx="102">
                  <c:v>7.5941298823273478</c:v>
                </c:pt>
                <c:pt idx="103">
                  <c:v>7.5941531103414066</c:v>
                </c:pt>
                <c:pt idx="104">
                  <c:v>7.5940900622666261</c:v>
                </c:pt>
                <c:pt idx="105">
                  <c:v>7.5942036198326921</c:v>
                </c:pt>
                <c:pt idx="106">
                  <c:v>7.5939457003089101</c:v>
                </c:pt>
                <c:pt idx="107">
                  <c:v>7.5944269486034042</c:v>
                </c:pt>
                <c:pt idx="108">
                  <c:v>7.5941290834347495</c:v>
                </c:pt>
                <c:pt idx="109">
                  <c:v>7.5940185904904851</c:v>
                </c:pt>
                <c:pt idx="110">
                  <c:v>7.5943237995331003</c:v>
                </c:pt>
                <c:pt idx="111">
                  <c:v>7.594548084697311</c:v>
                </c:pt>
                <c:pt idx="112">
                  <c:v>7.5946128850713972</c:v>
                </c:pt>
                <c:pt idx="113">
                  <c:v>7.5945508487013482</c:v>
                </c:pt>
                <c:pt idx="114">
                  <c:v>7.5949021325319075</c:v>
                </c:pt>
                <c:pt idx="115">
                  <c:v>7.5949263249689105</c:v>
                </c:pt>
                <c:pt idx="116">
                  <c:v>7.5945121509431814</c:v>
                </c:pt>
                <c:pt idx="117">
                  <c:v>7.594782636064191</c:v>
                </c:pt>
                <c:pt idx="118">
                  <c:v>7.5945859825373052</c:v>
                </c:pt>
                <c:pt idx="119">
                  <c:v>7.5947670382790884</c:v>
                </c:pt>
                <c:pt idx="120">
                  <c:v>7.5949999419080276</c:v>
                </c:pt>
                <c:pt idx="121">
                  <c:v>7.5950963300468013</c:v>
                </c:pt>
                <c:pt idx="122">
                  <c:v>7.5955290395445152</c:v>
                </c:pt>
                <c:pt idx="123">
                  <c:v>7.5956417592915919</c:v>
                </c:pt>
                <c:pt idx="124">
                  <c:v>7.5954675511473999</c:v>
                </c:pt>
                <c:pt idx="125">
                  <c:v>7.5956910889081737</c:v>
                </c:pt>
                <c:pt idx="126">
                  <c:v>7.5957155688523157</c:v>
                </c:pt>
                <c:pt idx="127">
                  <c:v>7.5958912056574075</c:v>
                </c:pt>
                <c:pt idx="128">
                  <c:v>7.5958937820326797</c:v>
                </c:pt>
                <c:pt idx="129">
                  <c:v>7.5958313959056678</c:v>
                </c:pt>
                <c:pt idx="130">
                  <c:v>7.5961107239923047</c:v>
                </c:pt>
                <c:pt idx="131">
                  <c:v>7.5963742782864641</c:v>
                </c:pt>
                <c:pt idx="132">
                  <c:v>7.5965984103969104</c:v>
                </c:pt>
                <c:pt idx="133">
                  <c:v>7.5963594406412263</c:v>
                </c:pt>
                <c:pt idx="134">
                  <c:v>7.5967586317345157</c:v>
                </c:pt>
                <c:pt idx="135">
                  <c:v>7.5966221942622312</c:v>
                </c:pt>
                <c:pt idx="136">
                  <c:v>7.5968010427190693</c:v>
                </c:pt>
                <c:pt idx="137">
                  <c:v>7.5970404586075349</c:v>
                </c:pt>
                <c:pt idx="138">
                  <c:v>7.5974558528109908</c:v>
                </c:pt>
                <c:pt idx="139">
                  <c:v>7.5972185583026928</c:v>
                </c:pt>
                <c:pt idx="140">
                  <c:v>7.5972651149173469</c:v>
                </c:pt>
                <c:pt idx="141">
                  <c:v>7.5971077933947413</c:v>
                </c:pt>
                <c:pt idx="142">
                  <c:v>7.597481392359235</c:v>
                </c:pt>
                <c:pt idx="143">
                  <c:v>7.5976598424370856</c:v>
                </c:pt>
                <c:pt idx="144">
                  <c:v>7.5977459936409133</c:v>
                </c:pt>
                <c:pt idx="145">
                  <c:v>7.5980511083010578</c:v>
                </c:pt>
                <c:pt idx="146">
                  <c:v>7.5983145192113968</c:v>
                </c:pt>
                <c:pt idx="147">
                  <c:v>7.5981628091246902</c:v>
                </c:pt>
                <c:pt idx="148">
                  <c:v>7.5985791452363145</c:v>
                </c:pt>
                <c:pt idx="149">
                  <c:v>7.5985402356869232</c:v>
                </c:pt>
                <c:pt idx="150">
                  <c:v>7.598627290306303</c:v>
                </c:pt>
                <c:pt idx="151">
                  <c:v>7.598915317983427</c:v>
                </c:pt>
                <c:pt idx="152">
                  <c:v>7.5988038845731847</c:v>
                </c:pt>
                <c:pt idx="153">
                  <c:v>7.598715866689397</c:v>
                </c:pt>
                <c:pt idx="154">
                  <c:v>7.5989192933673477</c:v>
                </c:pt>
                <c:pt idx="155">
                  <c:v>7.5990709493507689</c:v>
                </c:pt>
                <c:pt idx="156">
                  <c:v>7.5992178138229933</c:v>
                </c:pt>
                <c:pt idx="157">
                  <c:v>7.5997221367351004</c:v>
                </c:pt>
                <c:pt idx="158">
                  <c:v>7.5998115326977231</c:v>
                </c:pt>
                <c:pt idx="159">
                  <c:v>7.5995096445254182</c:v>
                </c:pt>
                <c:pt idx="160">
                  <c:v>7.5999246256182804</c:v>
                </c:pt>
                <c:pt idx="161">
                  <c:v>7.5996626778302403</c:v>
                </c:pt>
                <c:pt idx="162">
                  <c:v>7.5999632371107495</c:v>
                </c:pt>
                <c:pt idx="163">
                  <c:v>7.6004908758531347</c:v>
                </c:pt>
                <c:pt idx="164">
                  <c:v>7.600100990951919</c:v>
                </c:pt>
                <c:pt idx="165">
                  <c:v>7.5999011649138888</c:v>
                </c:pt>
                <c:pt idx="166">
                  <c:v>7.6009452441268088</c:v>
                </c:pt>
                <c:pt idx="167">
                  <c:v>7.6009949237671339</c:v>
                </c:pt>
                <c:pt idx="168">
                  <c:v>7.6010171379662603</c:v>
                </c:pt>
                <c:pt idx="169">
                  <c:v>7.6009449391398114</c:v>
                </c:pt>
                <c:pt idx="170">
                  <c:v>7.6014726094757146</c:v>
                </c:pt>
                <c:pt idx="171">
                  <c:v>7.6013606065767005</c:v>
                </c:pt>
                <c:pt idx="172">
                  <c:v>7.6010575380167937</c:v>
                </c:pt>
                <c:pt idx="173">
                  <c:v>7.6016102170226576</c:v>
                </c:pt>
                <c:pt idx="174">
                  <c:v>7.6014585184126888</c:v>
                </c:pt>
                <c:pt idx="175">
                  <c:v>7.6018719599246722</c:v>
                </c:pt>
                <c:pt idx="176">
                  <c:v>7.602263836947202</c:v>
                </c:pt>
                <c:pt idx="177">
                  <c:v>7.6017214600695722</c:v>
                </c:pt>
                <c:pt idx="178">
                  <c:v>7.60158545374843</c:v>
                </c:pt>
                <c:pt idx="179">
                  <c:v>7.6017366450126156</c:v>
                </c:pt>
                <c:pt idx="180">
                  <c:v>7.6024396684308586</c:v>
                </c:pt>
                <c:pt idx="181">
                  <c:v>7.6024010920312408</c:v>
                </c:pt>
                <c:pt idx="182">
                  <c:v>7.6022875473649156</c:v>
                </c:pt>
                <c:pt idx="183">
                  <c:v>7.6029175788247327</c:v>
                </c:pt>
                <c:pt idx="184">
                  <c:v>7.6028923608745345</c:v>
                </c:pt>
                <c:pt idx="185">
                  <c:v>7.6026158957714642</c:v>
                </c:pt>
                <c:pt idx="186">
                  <c:v>7.6032682503508262</c:v>
                </c:pt>
                <c:pt idx="187">
                  <c:v>7.6034681962228756</c:v>
                </c:pt>
                <c:pt idx="188">
                  <c:v>7.6035081926688424</c:v>
                </c:pt>
                <c:pt idx="189">
                  <c:v>7.6035307774863901</c:v>
                </c:pt>
                <c:pt idx="190">
                  <c:v>7.6038186134291816</c:v>
                </c:pt>
                <c:pt idx="191">
                  <c:v>7.6038825725908019</c:v>
                </c:pt>
                <c:pt idx="192">
                  <c:v>7.6035068531628891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PANI_2ndPhase!$F$2:$F$197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</c:numCache>
            </c:numRef>
          </c:xVal>
          <c:yVal>
            <c:numRef>
              <c:f>PANI_2ndPhase!$B$2:$B$197</c:f>
              <c:numCache>
                <c:formatCode>General</c:formatCode>
                <c:ptCount val="196"/>
                <c:pt idx="0">
                  <c:v>2156.9960940000001</c:v>
                </c:pt>
                <c:pt idx="1">
                  <c:v>2115.6564939999998</c:v>
                </c:pt>
                <c:pt idx="2">
                  <c:v>2103.998047</c:v>
                </c:pt>
                <c:pt idx="3">
                  <c:v>2086.5622560000002</c:v>
                </c:pt>
                <c:pt idx="4">
                  <c:v>2076.5998540000001</c:v>
                </c:pt>
                <c:pt idx="5">
                  <c:v>2068.8491210000002</c:v>
                </c:pt>
                <c:pt idx="6">
                  <c:v>2062.7602539999998</c:v>
                </c:pt>
                <c:pt idx="7">
                  <c:v>2057.7885740000002</c:v>
                </c:pt>
                <c:pt idx="8">
                  <c:v>1984.862061</c:v>
                </c:pt>
                <c:pt idx="9">
                  <c:v>2011.423096</c:v>
                </c:pt>
                <c:pt idx="10">
                  <c:v>2011.2188719999999</c:v>
                </c:pt>
                <c:pt idx="11">
                  <c:v>2009.3416749999999</c:v>
                </c:pt>
                <c:pt idx="12">
                  <c:v>2008.108154</c:v>
                </c:pt>
                <c:pt idx="13">
                  <c:v>2007.707764</c:v>
                </c:pt>
                <c:pt idx="14">
                  <c:v>2006.6929929999999</c:v>
                </c:pt>
                <c:pt idx="15">
                  <c:v>2005.5006100000001</c:v>
                </c:pt>
                <c:pt idx="16">
                  <c:v>2002.9698490000001</c:v>
                </c:pt>
                <c:pt idx="17">
                  <c:v>2003.4580080000001</c:v>
                </c:pt>
                <c:pt idx="18">
                  <c:v>2003.2761230000001</c:v>
                </c:pt>
                <c:pt idx="19">
                  <c:v>2002.080933</c:v>
                </c:pt>
                <c:pt idx="20">
                  <c:v>2001.4167480000001</c:v>
                </c:pt>
                <c:pt idx="21">
                  <c:v>2000.0927730000001</c:v>
                </c:pt>
                <c:pt idx="22">
                  <c:v>1999.2951660000001</c:v>
                </c:pt>
                <c:pt idx="23">
                  <c:v>1999.020264</c:v>
                </c:pt>
                <c:pt idx="24">
                  <c:v>1998.136841</c:v>
                </c:pt>
                <c:pt idx="25">
                  <c:v>1997.0318600000001</c:v>
                </c:pt>
                <c:pt idx="26">
                  <c:v>1996.8549800000001</c:v>
                </c:pt>
                <c:pt idx="27">
                  <c:v>1995.924438</c:v>
                </c:pt>
                <c:pt idx="28">
                  <c:v>1995.2645259999999</c:v>
                </c:pt>
                <c:pt idx="29">
                  <c:v>1994.2517089999999</c:v>
                </c:pt>
                <c:pt idx="30">
                  <c:v>1994.6866460000001</c:v>
                </c:pt>
                <c:pt idx="31">
                  <c:v>1994.6389160000001</c:v>
                </c:pt>
                <c:pt idx="32">
                  <c:v>1993.6669919999999</c:v>
                </c:pt>
                <c:pt idx="33">
                  <c:v>1993.2338870000001</c:v>
                </c:pt>
                <c:pt idx="34">
                  <c:v>1993.8426509999999</c:v>
                </c:pt>
                <c:pt idx="35">
                  <c:v>1993.489746</c:v>
                </c:pt>
                <c:pt idx="36">
                  <c:v>1993.5736079999999</c:v>
                </c:pt>
                <c:pt idx="37">
                  <c:v>1992.390991</c:v>
                </c:pt>
                <c:pt idx="38">
                  <c:v>1992.521851</c:v>
                </c:pt>
                <c:pt idx="39">
                  <c:v>1992.1241460000001</c:v>
                </c:pt>
                <c:pt idx="40">
                  <c:v>1991.989624</c:v>
                </c:pt>
                <c:pt idx="41">
                  <c:v>1991.946655</c:v>
                </c:pt>
                <c:pt idx="42">
                  <c:v>1991.1142580000001</c:v>
                </c:pt>
                <c:pt idx="43">
                  <c:v>1991.0686040000001</c:v>
                </c:pt>
                <c:pt idx="44">
                  <c:v>1991.6397710000001</c:v>
                </c:pt>
                <c:pt idx="45">
                  <c:v>1990.5850829999999</c:v>
                </c:pt>
                <c:pt idx="46">
                  <c:v>1990.847534</c:v>
                </c:pt>
                <c:pt idx="47">
                  <c:v>1989.974487</c:v>
                </c:pt>
                <c:pt idx="48">
                  <c:v>1989.892212</c:v>
                </c:pt>
                <c:pt idx="49">
                  <c:v>1989.453857</c:v>
                </c:pt>
                <c:pt idx="50">
                  <c:v>1989.8000489999999</c:v>
                </c:pt>
                <c:pt idx="51">
                  <c:v>1989.8889160000001</c:v>
                </c:pt>
                <c:pt idx="52">
                  <c:v>1989.625732</c:v>
                </c:pt>
                <c:pt idx="53">
                  <c:v>1989.497437</c:v>
                </c:pt>
                <c:pt idx="54">
                  <c:v>1988.626587</c:v>
                </c:pt>
                <c:pt idx="55">
                  <c:v>1988.4967039999999</c:v>
                </c:pt>
                <c:pt idx="56">
                  <c:v>1988.2797849999999</c:v>
                </c:pt>
                <c:pt idx="57">
                  <c:v>1987.8900149999999</c:v>
                </c:pt>
                <c:pt idx="58">
                  <c:v>1988.7613530000001</c:v>
                </c:pt>
                <c:pt idx="59">
                  <c:v>1988.3714600000001</c:v>
                </c:pt>
                <c:pt idx="60">
                  <c:v>1988.155518</c:v>
                </c:pt>
                <c:pt idx="61">
                  <c:v>1988.154419</c:v>
                </c:pt>
                <c:pt idx="62">
                  <c:v>1988.025024</c:v>
                </c:pt>
                <c:pt idx="63">
                  <c:v>1988.8125</c:v>
                </c:pt>
                <c:pt idx="64">
                  <c:v>1987.765991</c:v>
                </c:pt>
                <c:pt idx="65">
                  <c:v>1988.5078129999999</c:v>
                </c:pt>
                <c:pt idx="66">
                  <c:v>1987.5535890000001</c:v>
                </c:pt>
                <c:pt idx="67">
                  <c:v>1988.038086</c:v>
                </c:pt>
                <c:pt idx="68">
                  <c:v>1986.512817</c:v>
                </c:pt>
                <c:pt idx="69">
                  <c:v>1986.955322</c:v>
                </c:pt>
                <c:pt idx="70">
                  <c:v>1987.563721</c:v>
                </c:pt>
                <c:pt idx="71">
                  <c:v>1986.5634769999999</c:v>
                </c:pt>
                <c:pt idx="72">
                  <c:v>1987.002686</c:v>
                </c:pt>
                <c:pt idx="73">
                  <c:v>1986.4011230000001</c:v>
                </c:pt>
                <c:pt idx="74">
                  <c:v>1987.3183590000001</c:v>
                </c:pt>
                <c:pt idx="75">
                  <c:v>1986.1885990000001</c:v>
                </c:pt>
                <c:pt idx="76">
                  <c:v>1986.930908</c:v>
                </c:pt>
                <c:pt idx="77">
                  <c:v>1986.453857</c:v>
                </c:pt>
                <c:pt idx="78">
                  <c:v>1986.849121</c:v>
                </c:pt>
                <c:pt idx="79">
                  <c:v>1986.9848629999999</c:v>
                </c:pt>
                <c:pt idx="80">
                  <c:v>1986.598755</c:v>
                </c:pt>
                <c:pt idx="81">
                  <c:v>1985.697876</c:v>
                </c:pt>
                <c:pt idx="82">
                  <c:v>1985.2677000000001</c:v>
                </c:pt>
                <c:pt idx="83">
                  <c:v>1986.1397710000001</c:v>
                </c:pt>
                <c:pt idx="84">
                  <c:v>1985.497314</c:v>
                </c:pt>
                <c:pt idx="85">
                  <c:v>1986.1948239999999</c:v>
                </c:pt>
                <c:pt idx="86">
                  <c:v>1986.197144</c:v>
                </c:pt>
                <c:pt idx="87">
                  <c:v>1985.850952</c:v>
                </c:pt>
                <c:pt idx="88">
                  <c:v>1986.2459719999999</c:v>
                </c:pt>
                <c:pt idx="89">
                  <c:v>1985.2116699999999</c:v>
                </c:pt>
                <c:pt idx="90">
                  <c:v>1985.7070309999999</c:v>
                </c:pt>
                <c:pt idx="91">
                  <c:v>1985.3154300000001</c:v>
                </c:pt>
                <c:pt idx="92">
                  <c:v>1985.802612</c:v>
                </c:pt>
                <c:pt idx="93">
                  <c:v>1985.8039550000001</c:v>
                </c:pt>
                <c:pt idx="94">
                  <c:v>1985.805908</c:v>
                </c:pt>
                <c:pt idx="95">
                  <c:v>1985.2939449999999</c:v>
                </c:pt>
                <c:pt idx="96">
                  <c:v>1985.461548</c:v>
                </c:pt>
                <c:pt idx="97">
                  <c:v>1985.469116</c:v>
                </c:pt>
                <c:pt idx="98">
                  <c:v>1985.5277100000001</c:v>
                </c:pt>
                <c:pt idx="99">
                  <c:v>1985.090942</c:v>
                </c:pt>
                <c:pt idx="100">
                  <c:v>1986.2298579999999</c:v>
                </c:pt>
                <c:pt idx="101">
                  <c:v>1985.360962</c:v>
                </c:pt>
                <c:pt idx="102">
                  <c:v>1986.5006100000001</c:v>
                </c:pt>
                <c:pt idx="103">
                  <c:v>1986.5467530000001</c:v>
                </c:pt>
                <c:pt idx="104">
                  <c:v>1986.421509</c:v>
                </c:pt>
                <c:pt idx="105">
                  <c:v>1986.647095</c:v>
                </c:pt>
                <c:pt idx="106">
                  <c:v>1986.1347659999999</c:v>
                </c:pt>
                <c:pt idx="107">
                  <c:v>1987.0908199999999</c:v>
                </c:pt>
                <c:pt idx="108">
                  <c:v>1986.4990230000001</c:v>
                </c:pt>
                <c:pt idx="109">
                  <c:v>1986.2795410000001</c:v>
                </c:pt>
                <c:pt idx="110">
                  <c:v>1986.8858640000001</c:v>
                </c:pt>
                <c:pt idx="111">
                  <c:v>1987.331543</c:v>
                </c:pt>
                <c:pt idx="112">
                  <c:v>1987.460327</c:v>
                </c:pt>
                <c:pt idx="113">
                  <c:v>1987.3370359999999</c:v>
                </c:pt>
                <c:pt idx="114">
                  <c:v>1988.0352780000001</c:v>
                </c:pt>
                <c:pt idx="115">
                  <c:v>1988.083374</c:v>
                </c:pt>
                <c:pt idx="116">
                  <c:v>1987.2601320000001</c:v>
                </c:pt>
                <c:pt idx="117">
                  <c:v>1987.7977289999999</c:v>
                </c:pt>
                <c:pt idx="118">
                  <c:v>1987.4068600000001</c:v>
                </c:pt>
                <c:pt idx="119">
                  <c:v>1987.7667240000001</c:v>
                </c:pt>
                <c:pt idx="120">
                  <c:v>1988.229736</c:v>
                </c:pt>
                <c:pt idx="121">
                  <c:v>1988.4213870000001</c:v>
                </c:pt>
                <c:pt idx="122">
                  <c:v>1989.281982</c:v>
                </c:pt>
                <c:pt idx="123">
                  <c:v>1989.506226</c:v>
                </c:pt>
                <c:pt idx="124">
                  <c:v>1989.159668</c:v>
                </c:pt>
                <c:pt idx="125">
                  <c:v>1989.60437</c:v>
                </c:pt>
                <c:pt idx="126">
                  <c:v>1989.6530760000001</c:v>
                </c:pt>
                <c:pt idx="127">
                  <c:v>1990.002563</c:v>
                </c:pt>
                <c:pt idx="128">
                  <c:v>1990.0076899999999</c:v>
                </c:pt>
                <c:pt idx="129">
                  <c:v>1989.8835449999999</c:v>
                </c:pt>
                <c:pt idx="130">
                  <c:v>1990.439453</c:v>
                </c:pt>
                <c:pt idx="131">
                  <c:v>1990.964111</c:v>
                </c:pt>
                <c:pt idx="132">
                  <c:v>1991.4104</c:v>
                </c:pt>
                <c:pt idx="133">
                  <c:v>1990.9345699999999</c:v>
                </c:pt>
                <c:pt idx="134">
                  <c:v>1991.7294919999999</c:v>
                </c:pt>
                <c:pt idx="135">
                  <c:v>1991.457764</c:v>
                </c:pt>
                <c:pt idx="136">
                  <c:v>1991.8139650000001</c:v>
                </c:pt>
                <c:pt idx="137">
                  <c:v>1992.290894</c:v>
                </c:pt>
                <c:pt idx="138">
                  <c:v>1993.1186520000001</c:v>
                </c:pt>
                <c:pt idx="139">
                  <c:v>1992.6457519999999</c:v>
                </c:pt>
                <c:pt idx="140">
                  <c:v>1992.738525</c:v>
                </c:pt>
                <c:pt idx="141">
                  <c:v>1992.4250489999999</c:v>
                </c:pt>
                <c:pt idx="142">
                  <c:v>1993.1695560000001</c:v>
                </c:pt>
                <c:pt idx="143">
                  <c:v>1993.525269</c:v>
                </c:pt>
                <c:pt idx="144">
                  <c:v>1993.6970209999999</c:v>
                </c:pt>
                <c:pt idx="145">
                  <c:v>1994.3054199999999</c:v>
                </c:pt>
                <c:pt idx="146">
                  <c:v>1994.830811</c:v>
                </c:pt>
                <c:pt idx="147">
                  <c:v>1994.528198</c:v>
                </c:pt>
                <c:pt idx="148">
                  <c:v>1995.3587649999999</c:v>
                </c:pt>
                <c:pt idx="149">
                  <c:v>1995.2811280000001</c:v>
                </c:pt>
                <c:pt idx="150">
                  <c:v>1995.4548339999999</c:v>
                </c:pt>
                <c:pt idx="151">
                  <c:v>1996.029663</c:v>
                </c:pt>
                <c:pt idx="152">
                  <c:v>1995.807251</c:v>
                </c:pt>
                <c:pt idx="153">
                  <c:v>1995.631592</c:v>
                </c:pt>
                <c:pt idx="154">
                  <c:v>1996.0375979999999</c:v>
                </c:pt>
                <c:pt idx="155">
                  <c:v>1996.340332</c:v>
                </c:pt>
                <c:pt idx="156">
                  <c:v>1996.6335449999999</c:v>
                </c:pt>
                <c:pt idx="157">
                  <c:v>1997.6407469999999</c:v>
                </c:pt>
                <c:pt idx="158">
                  <c:v>1997.819336</c:v>
                </c:pt>
                <c:pt idx="159">
                  <c:v>1997.2163089999999</c:v>
                </c:pt>
                <c:pt idx="160">
                  <c:v>1998.045288</c:v>
                </c:pt>
                <c:pt idx="161">
                  <c:v>1997.5219729999999</c:v>
                </c:pt>
                <c:pt idx="162">
                  <c:v>1998.122437</c:v>
                </c:pt>
                <c:pt idx="163">
                  <c:v>1999.1770019999999</c:v>
                </c:pt>
                <c:pt idx="164">
                  <c:v>1998.3977050000001</c:v>
                </c:pt>
                <c:pt idx="165">
                  <c:v>1997.998413</c:v>
                </c:pt>
                <c:pt idx="166">
                  <c:v>2000.0855710000001</c:v>
                </c:pt>
                <c:pt idx="167">
                  <c:v>2000.184937</c:v>
                </c:pt>
                <c:pt idx="168">
                  <c:v>2000.22937</c:v>
                </c:pt>
                <c:pt idx="169">
                  <c:v>2000.084961</c:v>
                </c:pt>
                <c:pt idx="170">
                  <c:v>2001.140625</c:v>
                </c:pt>
                <c:pt idx="171">
                  <c:v>2000.916504</c:v>
                </c:pt>
                <c:pt idx="172">
                  <c:v>2000.3101810000001</c:v>
                </c:pt>
                <c:pt idx="173">
                  <c:v>2001.4160159999999</c:v>
                </c:pt>
                <c:pt idx="174">
                  <c:v>2001.112427</c:v>
                </c:pt>
                <c:pt idx="175">
                  <c:v>2001.9399410000001</c:v>
                </c:pt>
                <c:pt idx="176">
                  <c:v>2002.7246090000001</c:v>
                </c:pt>
                <c:pt idx="177">
                  <c:v>2001.638672</c:v>
                </c:pt>
                <c:pt idx="178">
                  <c:v>2001.3664550000001</c:v>
                </c:pt>
                <c:pt idx="179">
                  <c:v>2001.669067</c:v>
                </c:pt>
                <c:pt idx="180">
                  <c:v>2003.0767820000001</c:v>
                </c:pt>
                <c:pt idx="181">
                  <c:v>2002.9995120000001</c:v>
                </c:pt>
                <c:pt idx="182">
                  <c:v>2002.772095</c:v>
                </c:pt>
                <c:pt idx="183">
                  <c:v>2004.034302</c:v>
                </c:pt>
                <c:pt idx="184">
                  <c:v>2003.9837649999999</c:v>
                </c:pt>
                <c:pt idx="185">
                  <c:v>2003.4298100000001</c:v>
                </c:pt>
                <c:pt idx="186">
                  <c:v>2004.737183</c:v>
                </c:pt>
                <c:pt idx="187">
                  <c:v>2005.138062</c:v>
                </c:pt>
                <c:pt idx="188">
                  <c:v>2005.2182620000001</c:v>
                </c:pt>
                <c:pt idx="189">
                  <c:v>2005.2635499999999</c:v>
                </c:pt>
                <c:pt idx="190">
                  <c:v>2005.8408199999999</c:v>
                </c:pt>
                <c:pt idx="191">
                  <c:v>2005.969116</c:v>
                </c:pt>
                <c:pt idx="192">
                  <c:v>2005.2155760000001</c:v>
                </c:pt>
                <c:pt idx="193">
                  <c:v>2007.1804199999999</c:v>
                </c:pt>
                <c:pt idx="194">
                  <c:v>2006.8280030000001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PANI_2ndPhase!$F$2:$F$102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PANI_2ndPhase!$G$2:$G$102</c:f>
              <c:numCache>
                <c:formatCode>General</c:formatCode>
                <c:ptCount val="101"/>
                <c:pt idx="0">
                  <c:v>7.6764718355391164</c:v>
                </c:pt>
                <c:pt idx="1">
                  <c:v>7.6571204423709318</c:v>
                </c:pt>
                <c:pt idx="2">
                  <c:v>7.6515946456252308</c:v>
                </c:pt>
                <c:pt idx="3">
                  <c:v>7.6432731371134359</c:v>
                </c:pt>
                <c:pt idx="4">
                  <c:v>7.6384871495621178</c:v>
                </c:pt>
                <c:pt idx="5">
                  <c:v>7.6347477514518793</c:v>
                </c:pt>
                <c:pt idx="6">
                  <c:v>7.6318002940059113</c:v>
                </c:pt>
                <c:pt idx="7">
                  <c:v>7.6293871773944648</c:v>
                </c:pt>
                <c:pt idx="8">
                  <c:v>7.593304700026601</c:v>
                </c:pt>
                <c:pt idx="9">
                  <c:v>7.6065977584939244</c:v>
                </c:pt>
                <c:pt idx="10">
                  <c:v>7.6064962212446234</c:v>
                </c:pt>
                <c:pt idx="11">
                  <c:v>7.6055624225295126</c:v>
                </c:pt>
                <c:pt idx="12">
                  <c:v>7.6049483409149232</c:v>
                </c:pt>
                <c:pt idx="13">
                  <c:v>7.604748934363676</c:v>
                </c:pt>
                <c:pt idx="14">
                  <c:v>7.604243368983914</c:v>
                </c:pt>
                <c:pt idx="15">
                  <c:v>7.6036489893736112</c:v>
                </c:pt>
                <c:pt idx="16">
                  <c:v>7.6023862826319029</c:v>
                </c:pt>
                <c:pt idx="17">
                  <c:v>7.6026299705353617</c:v>
                </c:pt>
                <c:pt idx="18">
                  <c:v>7.602539180882653</c:v>
                </c:pt>
                <c:pt idx="19">
                  <c:v>7.6019423851319798</c:v>
                </c:pt>
                <c:pt idx="20">
                  <c:v>7.6016105827636435</c:v>
                </c:pt>
                <c:pt idx="21">
                  <c:v>7.6009488449662621</c:v>
                </c:pt>
                <c:pt idx="22">
                  <c:v>7.6005499804286174</c:v>
                </c:pt>
                <c:pt idx="23">
                  <c:v>7.6004124715175543</c:v>
                </c:pt>
                <c:pt idx="24">
                  <c:v>7.5999704458522244</c:v>
                </c:pt>
                <c:pt idx="25">
                  <c:v>7.599417287219449</c:v>
                </c:pt>
                <c:pt idx="26">
                  <c:v>7.599328711850541</c:v>
                </c:pt>
                <c:pt idx="27">
                  <c:v>7.5988625994413992</c:v>
                </c:pt>
                <c:pt idx="28">
                  <c:v>7.598531915020307</c:v>
                </c:pt>
                <c:pt idx="29">
                  <c:v>7.5980241757546425</c:v>
                </c:pt>
                <c:pt idx="30">
                  <c:v>7.5982422473130455</c:v>
                </c:pt>
                <c:pt idx="31">
                  <c:v>7.5982183184562695</c:v>
                </c:pt>
                <c:pt idx="32">
                  <c:v>7.5977309315598482</c:v>
                </c:pt>
                <c:pt idx="33">
                  <c:v>7.5975136675671644</c:v>
                </c:pt>
                <c:pt idx="34">
                  <c:v>7.5978190361744273</c:v>
                </c:pt>
                <c:pt idx="35">
                  <c:v>7.5976420230911001</c:v>
                </c:pt>
                <c:pt idx="36">
                  <c:v>7.5976840901427449</c:v>
                </c:pt>
                <c:pt idx="37">
                  <c:v>7.5970906995065119</c:v>
                </c:pt>
                <c:pt idx="38">
                  <c:v>7.59715637722908</c:v>
                </c:pt>
                <c:pt idx="39">
                  <c:v>7.5969567584917472</c:v>
                </c:pt>
                <c:pt idx="40">
                  <c:v>7.5968892292956358</c:v>
                </c:pt>
                <c:pt idx="41">
                  <c:v>7.596867658167489</c:v>
                </c:pt>
                <c:pt idx="42">
                  <c:v>7.5964496896602034</c:v>
                </c:pt>
                <c:pt idx="43">
                  <c:v>7.5964267605273212</c:v>
                </c:pt>
                <c:pt idx="44">
                  <c:v>7.5967135839400024</c:v>
                </c:pt>
                <c:pt idx="45">
                  <c:v>7.5961838860633986</c:v>
                </c:pt>
                <c:pt idx="46">
                  <c:v>7.5963157235327863</c:v>
                </c:pt>
                <c:pt idx="47">
                  <c:v>7.5958770970333385</c:v>
                </c:pt>
                <c:pt idx="48">
                  <c:v>7.5958357514274502</c:v>
                </c:pt>
                <c:pt idx="49">
                  <c:v>7.5956154363333761</c:v>
                </c:pt>
                <c:pt idx="50">
                  <c:v>7.5957894347808494</c:v>
                </c:pt>
                <c:pt idx="51">
                  <c:v>7.595834095054955</c:v>
                </c:pt>
                <c:pt idx="52">
                  <c:v>7.5957018256584758</c:v>
                </c:pt>
                <c:pt idx="53">
                  <c:v>7.5956373416027709</c:v>
                </c:pt>
                <c:pt idx="54">
                  <c:v>7.5951995221639317</c:v>
                </c:pt>
                <c:pt idx="55">
                  <c:v>7.5951342071155699</c:v>
                </c:pt>
                <c:pt idx="56">
                  <c:v>7.5950251142355372</c:v>
                </c:pt>
                <c:pt idx="57">
                  <c:v>7.5948290612393858</c:v>
                </c:pt>
                <c:pt idx="58">
                  <c:v>7.5952672882466388</c:v>
                </c:pt>
                <c:pt idx="59">
                  <c:v>7.5950712208686655</c:v>
                </c:pt>
                <c:pt idx="60">
                  <c:v>7.5949626125270617</c:v>
                </c:pt>
                <c:pt idx="61">
                  <c:v>7.5949620597532492</c:v>
                </c:pt>
                <c:pt idx="62">
                  <c:v>7.594896974662448</c:v>
                </c:pt>
                <c:pt idx="63">
                  <c:v>7.5952930059337991</c:v>
                </c:pt>
                <c:pt idx="64">
                  <c:v>7.5947666695234757</c:v>
                </c:pt>
                <c:pt idx="65">
                  <c:v>7.5951397937323071</c:v>
                </c:pt>
                <c:pt idx="66">
                  <c:v>7.5946598091838595</c:v>
                </c:pt>
                <c:pt idx="67">
                  <c:v>7.5949035449806948</c:v>
                </c:pt>
                <c:pt idx="68">
                  <c:v>7.5941360272851854</c:v>
                </c:pt>
                <c:pt idx="69">
                  <c:v>7.5943587571455247</c:v>
                </c:pt>
                <c:pt idx="70">
                  <c:v>7.5946649068950514</c:v>
                </c:pt>
                <c:pt idx="71">
                  <c:v>7.5941615289349169</c:v>
                </c:pt>
                <c:pt idx="72">
                  <c:v>7.5943825943375165</c:v>
                </c:pt>
                <c:pt idx="73">
                  <c:v>7.5940797995381386</c:v>
                </c:pt>
                <c:pt idx="74">
                  <c:v>7.5945414506538977</c:v>
                </c:pt>
                <c:pt idx="75">
                  <c:v>7.5939728043460475</c:v>
                </c:pt>
                <c:pt idx="76">
                  <c:v>7.5943464699291381</c:v>
                </c:pt>
                <c:pt idx="77">
                  <c:v>7.5941063466939083</c:v>
                </c:pt>
                <c:pt idx="78">
                  <c:v>7.5943053066038333</c:v>
                </c:pt>
                <c:pt idx="79">
                  <c:v>7.5943736245056881</c:v>
                </c:pt>
                <c:pt idx="80">
                  <c:v>7.5941792870821763</c:v>
                </c:pt>
                <c:pt idx="81">
                  <c:v>7.5937257061444319</c:v>
                </c:pt>
                <c:pt idx="82">
                  <c:v>7.5935090454892586</c:v>
                </c:pt>
                <c:pt idx="83">
                  <c:v>7.5939482202757214</c:v>
                </c:pt>
                <c:pt idx="84">
                  <c:v>7.5936246977625341</c:v>
                </c:pt>
                <c:pt idx="85">
                  <c:v>7.5939759384845917</c:v>
                </c:pt>
                <c:pt idx="86">
                  <c:v>7.5939771065465651</c:v>
                </c:pt>
                <c:pt idx="87">
                  <c:v>7.5938027924433573</c:v>
                </c:pt>
                <c:pt idx="88">
                  <c:v>7.5940016899067677</c:v>
                </c:pt>
                <c:pt idx="89">
                  <c:v>7.5934808221969137</c:v>
                </c:pt>
                <c:pt idx="90">
                  <c:v>7.5937303166035584</c:v>
                </c:pt>
                <c:pt idx="91">
                  <c:v>7.5935330872979501</c:v>
                </c:pt>
                <c:pt idx="92">
                  <c:v>7.5937784499375347</c:v>
                </c:pt>
                <c:pt idx="93">
                  <c:v>7.5937791262381591</c:v>
                </c:pt>
                <c:pt idx="94">
                  <c:v>7.5937801097184439</c:v>
                </c:pt>
                <c:pt idx="95">
                  <c:v>7.5935222652814929</c:v>
                </c:pt>
                <c:pt idx="96">
                  <c:v>7.5936066839773284</c:v>
                </c:pt>
                <c:pt idx="97">
                  <c:v>7.5936104956782318</c:v>
                </c:pt>
                <c:pt idx="98">
                  <c:v>7.5936400066562415</c:v>
                </c:pt>
                <c:pt idx="99">
                  <c:v>7.5934200066814057</c:v>
                </c:pt>
                <c:pt idx="100">
                  <c:v>7.5939935770820757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PANI_2ndPhase!$F$2:$F$102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PANI_2ndPhase!$B$2:$B$102</c:f>
              <c:numCache>
                <c:formatCode>General</c:formatCode>
                <c:ptCount val="101"/>
                <c:pt idx="0">
                  <c:v>2156.9960940000001</c:v>
                </c:pt>
                <c:pt idx="1">
                  <c:v>2115.6564939999998</c:v>
                </c:pt>
                <c:pt idx="2">
                  <c:v>2103.998047</c:v>
                </c:pt>
                <c:pt idx="3">
                  <c:v>2086.5622560000002</c:v>
                </c:pt>
                <c:pt idx="4">
                  <c:v>2076.5998540000001</c:v>
                </c:pt>
                <c:pt idx="5">
                  <c:v>2068.8491210000002</c:v>
                </c:pt>
                <c:pt idx="6">
                  <c:v>2062.7602539999998</c:v>
                </c:pt>
                <c:pt idx="7">
                  <c:v>2057.7885740000002</c:v>
                </c:pt>
                <c:pt idx="8">
                  <c:v>1984.862061</c:v>
                </c:pt>
                <c:pt idx="9">
                  <c:v>2011.423096</c:v>
                </c:pt>
                <c:pt idx="10">
                  <c:v>2011.2188719999999</c:v>
                </c:pt>
                <c:pt idx="11">
                  <c:v>2009.3416749999999</c:v>
                </c:pt>
                <c:pt idx="12">
                  <c:v>2008.108154</c:v>
                </c:pt>
                <c:pt idx="13">
                  <c:v>2007.707764</c:v>
                </c:pt>
                <c:pt idx="14">
                  <c:v>2006.6929929999999</c:v>
                </c:pt>
                <c:pt idx="15">
                  <c:v>2005.5006100000001</c:v>
                </c:pt>
                <c:pt idx="16">
                  <c:v>2002.9698490000001</c:v>
                </c:pt>
                <c:pt idx="17">
                  <c:v>2003.4580080000001</c:v>
                </c:pt>
                <c:pt idx="18">
                  <c:v>2003.2761230000001</c:v>
                </c:pt>
                <c:pt idx="19">
                  <c:v>2002.080933</c:v>
                </c:pt>
                <c:pt idx="20">
                  <c:v>2001.4167480000001</c:v>
                </c:pt>
                <c:pt idx="21">
                  <c:v>2000.0927730000001</c:v>
                </c:pt>
                <c:pt idx="22">
                  <c:v>1999.2951660000001</c:v>
                </c:pt>
                <c:pt idx="23">
                  <c:v>1999.020264</c:v>
                </c:pt>
                <c:pt idx="24">
                  <c:v>1998.136841</c:v>
                </c:pt>
                <c:pt idx="25">
                  <c:v>1997.0318600000001</c:v>
                </c:pt>
                <c:pt idx="26">
                  <c:v>1996.8549800000001</c:v>
                </c:pt>
                <c:pt idx="27">
                  <c:v>1995.924438</c:v>
                </c:pt>
                <c:pt idx="28">
                  <c:v>1995.2645259999999</c:v>
                </c:pt>
                <c:pt idx="29">
                  <c:v>1994.2517089999999</c:v>
                </c:pt>
                <c:pt idx="30">
                  <c:v>1994.6866460000001</c:v>
                </c:pt>
                <c:pt idx="31">
                  <c:v>1994.6389160000001</c:v>
                </c:pt>
                <c:pt idx="32">
                  <c:v>1993.6669919999999</c:v>
                </c:pt>
                <c:pt idx="33">
                  <c:v>1993.2338870000001</c:v>
                </c:pt>
                <c:pt idx="34">
                  <c:v>1993.8426509999999</c:v>
                </c:pt>
                <c:pt idx="35">
                  <c:v>1993.489746</c:v>
                </c:pt>
                <c:pt idx="36">
                  <c:v>1993.5736079999999</c:v>
                </c:pt>
                <c:pt idx="37">
                  <c:v>1992.390991</c:v>
                </c:pt>
                <c:pt idx="38">
                  <c:v>1992.521851</c:v>
                </c:pt>
                <c:pt idx="39">
                  <c:v>1992.1241460000001</c:v>
                </c:pt>
                <c:pt idx="40">
                  <c:v>1991.989624</c:v>
                </c:pt>
                <c:pt idx="41">
                  <c:v>1991.946655</c:v>
                </c:pt>
                <c:pt idx="42">
                  <c:v>1991.1142580000001</c:v>
                </c:pt>
                <c:pt idx="43">
                  <c:v>1991.0686040000001</c:v>
                </c:pt>
                <c:pt idx="44">
                  <c:v>1991.6397710000001</c:v>
                </c:pt>
                <c:pt idx="45">
                  <c:v>1990.5850829999999</c:v>
                </c:pt>
                <c:pt idx="46">
                  <c:v>1990.847534</c:v>
                </c:pt>
                <c:pt idx="47">
                  <c:v>1989.974487</c:v>
                </c:pt>
                <c:pt idx="48">
                  <c:v>1989.892212</c:v>
                </c:pt>
                <c:pt idx="49">
                  <c:v>1989.453857</c:v>
                </c:pt>
                <c:pt idx="50">
                  <c:v>1989.8000489999999</c:v>
                </c:pt>
                <c:pt idx="51">
                  <c:v>1989.8889160000001</c:v>
                </c:pt>
                <c:pt idx="52">
                  <c:v>1989.625732</c:v>
                </c:pt>
                <c:pt idx="53">
                  <c:v>1989.497437</c:v>
                </c:pt>
                <c:pt idx="54">
                  <c:v>1988.626587</c:v>
                </c:pt>
                <c:pt idx="55">
                  <c:v>1988.4967039999999</c:v>
                </c:pt>
                <c:pt idx="56">
                  <c:v>1988.2797849999999</c:v>
                </c:pt>
                <c:pt idx="57">
                  <c:v>1987.8900149999999</c:v>
                </c:pt>
                <c:pt idx="58">
                  <c:v>1988.7613530000001</c:v>
                </c:pt>
                <c:pt idx="59">
                  <c:v>1988.3714600000001</c:v>
                </c:pt>
                <c:pt idx="60">
                  <c:v>1988.155518</c:v>
                </c:pt>
                <c:pt idx="61">
                  <c:v>1988.154419</c:v>
                </c:pt>
                <c:pt idx="62">
                  <c:v>1988.025024</c:v>
                </c:pt>
                <c:pt idx="63">
                  <c:v>1988.8125</c:v>
                </c:pt>
                <c:pt idx="64">
                  <c:v>1987.765991</c:v>
                </c:pt>
                <c:pt idx="65">
                  <c:v>1988.5078129999999</c:v>
                </c:pt>
                <c:pt idx="66">
                  <c:v>1987.5535890000001</c:v>
                </c:pt>
                <c:pt idx="67">
                  <c:v>1988.038086</c:v>
                </c:pt>
                <c:pt idx="68">
                  <c:v>1986.512817</c:v>
                </c:pt>
                <c:pt idx="69">
                  <c:v>1986.955322</c:v>
                </c:pt>
                <c:pt idx="70">
                  <c:v>1987.563721</c:v>
                </c:pt>
                <c:pt idx="71">
                  <c:v>1986.5634769999999</c:v>
                </c:pt>
                <c:pt idx="72">
                  <c:v>1987.002686</c:v>
                </c:pt>
                <c:pt idx="73">
                  <c:v>1986.4011230000001</c:v>
                </c:pt>
                <c:pt idx="74">
                  <c:v>1987.3183590000001</c:v>
                </c:pt>
                <c:pt idx="75">
                  <c:v>1986.1885990000001</c:v>
                </c:pt>
                <c:pt idx="76">
                  <c:v>1986.930908</c:v>
                </c:pt>
                <c:pt idx="77">
                  <c:v>1986.453857</c:v>
                </c:pt>
                <c:pt idx="78">
                  <c:v>1986.849121</c:v>
                </c:pt>
                <c:pt idx="79">
                  <c:v>1986.9848629999999</c:v>
                </c:pt>
                <c:pt idx="80">
                  <c:v>1986.598755</c:v>
                </c:pt>
                <c:pt idx="81">
                  <c:v>1985.697876</c:v>
                </c:pt>
                <c:pt idx="82">
                  <c:v>1985.2677000000001</c:v>
                </c:pt>
                <c:pt idx="83">
                  <c:v>1986.1397710000001</c:v>
                </c:pt>
                <c:pt idx="84">
                  <c:v>1985.497314</c:v>
                </c:pt>
                <c:pt idx="85">
                  <c:v>1986.1948239999999</c:v>
                </c:pt>
                <c:pt idx="86">
                  <c:v>1986.197144</c:v>
                </c:pt>
                <c:pt idx="87">
                  <c:v>1985.850952</c:v>
                </c:pt>
                <c:pt idx="88">
                  <c:v>1986.2459719999999</c:v>
                </c:pt>
                <c:pt idx="89">
                  <c:v>1985.2116699999999</c:v>
                </c:pt>
                <c:pt idx="90">
                  <c:v>1985.7070309999999</c:v>
                </c:pt>
                <c:pt idx="91">
                  <c:v>1985.3154300000001</c:v>
                </c:pt>
                <c:pt idx="92">
                  <c:v>1985.802612</c:v>
                </c:pt>
                <c:pt idx="93">
                  <c:v>1985.8039550000001</c:v>
                </c:pt>
                <c:pt idx="94">
                  <c:v>1985.805908</c:v>
                </c:pt>
                <c:pt idx="95">
                  <c:v>1985.2939449999999</c:v>
                </c:pt>
                <c:pt idx="96">
                  <c:v>1985.461548</c:v>
                </c:pt>
                <c:pt idx="97">
                  <c:v>1985.469116</c:v>
                </c:pt>
                <c:pt idx="98">
                  <c:v>1985.5277100000001</c:v>
                </c:pt>
                <c:pt idx="99">
                  <c:v>1985.090942</c:v>
                </c:pt>
                <c:pt idx="100">
                  <c:v>1986.2298579999999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Cu_3rdPhase!$F$2:$F$194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Cu_3rdPhase!$G$2:$G$194</c:f>
              <c:numCache>
                <c:formatCode>General</c:formatCode>
                <c:ptCount val="193"/>
                <c:pt idx="0">
                  <c:v>8.0292910380195917</c:v>
                </c:pt>
                <c:pt idx="1">
                  <c:v>7.974851117288754</c:v>
                </c:pt>
                <c:pt idx="2">
                  <c:v>7.9396805595443407</c:v>
                </c:pt>
                <c:pt idx="3">
                  <c:v>7.913009298228797</c:v>
                </c:pt>
                <c:pt idx="4">
                  <c:v>7.8942510642071912</c:v>
                </c:pt>
                <c:pt idx="5">
                  <c:v>7.8790401976454598</c:v>
                </c:pt>
                <c:pt idx="6">
                  <c:v>7.8676620982609231</c:v>
                </c:pt>
                <c:pt idx="7">
                  <c:v>7.8569258624007698</c:v>
                </c:pt>
                <c:pt idx="8">
                  <c:v>7.8489181043146186</c:v>
                </c:pt>
                <c:pt idx="9">
                  <c:v>7.8411695585036316</c:v>
                </c:pt>
                <c:pt idx="10">
                  <c:v>7.8347171911419986</c:v>
                </c:pt>
                <c:pt idx="11">
                  <c:v>7.8294678099046724</c:v>
                </c:pt>
                <c:pt idx="12">
                  <c:v>7.823902348137298</c:v>
                </c:pt>
                <c:pt idx="13">
                  <c:v>7.8188532550062311</c:v>
                </c:pt>
                <c:pt idx="14">
                  <c:v>7.8143359342797538</c:v>
                </c:pt>
                <c:pt idx="15">
                  <c:v>7.8104650456190789</c:v>
                </c:pt>
                <c:pt idx="16">
                  <c:v>7.8054515439123895</c:v>
                </c:pt>
                <c:pt idx="17">
                  <c:v>7.8028960877245446</c:v>
                </c:pt>
                <c:pt idx="18">
                  <c:v>7.79944629452093</c:v>
                </c:pt>
                <c:pt idx="19">
                  <c:v>7.795325283915516</c:v>
                </c:pt>
                <c:pt idx="20">
                  <c:v>7.7926228642923769</c:v>
                </c:pt>
                <c:pt idx="21">
                  <c:v>7.7917124639769328</c:v>
                </c:pt>
                <c:pt idx="22">
                  <c:v>7.7905663796768803</c:v>
                </c:pt>
                <c:pt idx="23">
                  <c:v>7.7899785981160798</c:v>
                </c:pt>
                <c:pt idx="24">
                  <c:v>7.788313480513481</c:v>
                </c:pt>
                <c:pt idx="25">
                  <c:v>7.7870772601311407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Cu_3rdPhase!$F$2:$F$197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Cu_3rdPhase!$B$2:$B$197</c:f>
              <c:numCache>
                <c:formatCode>General</c:formatCode>
                <c:ptCount val="196"/>
                <c:pt idx="0">
                  <c:v>3069.5646969999998</c:v>
                </c:pt>
                <c:pt idx="1">
                  <c:v>2906.9250489999999</c:v>
                </c:pt>
                <c:pt idx="2">
                  <c:v>2806.4638669999999</c:v>
                </c:pt>
                <c:pt idx="3">
                  <c:v>2732.601318</c:v>
                </c:pt>
                <c:pt idx="4">
                  <c:v>2681.8203130000002</c:v>
                </c:pt>
                <c:pt idx="5">
                  <c:v>2641.336182</c:v>
                </c:pt>
                <c:pt idx="6">
                  <c:v>2611.453125</c:v>
                </c:pt>
                <c:pt idx="7">
                  <c:v>2583.5659179999998</c:v>
                </c:pt>
                <c:pt idx="8">
                  <c:v>2562.959961</c:v>
                </c:pt>
                <c:pt idx="9">
                  <c:v>2543.17749</c:v>
                </c:pt>
                <c:pt idx="10">
                  <c:v>2526.8208009999998</c:v>
                </c:pt>
                <c:pt idx="11">
                  <c:v>2513.5913089999999</c:v>
                </c:pt>
                <c:pt idx="12">
                  <c:v>2499.6408689999998</c:v>
                </c:pt>
                <c:pt idx="13">
                  <c:v>2487.0517580000001</c:v>
                </c:pt>
                <c:pt idx="14">
                  <c:v>2475.8422850000002</c:v>
                </c:pt>
                <c:pt idx="15">
                  <c:v>2466.2770999999998</c:v>
                </c:pt>
                <c:pt idx="16">
                  <c:v>2453.9433589999999</c:v>
                </c:pt>
                <c:pt idx="17">
                  <c:v>2447.6804200000001</c:v>
                </c:pt>
                <c:pt idx="18">
                  <c:v>2439.2509770000001</c:v>
                </c:pt>
                <c:pt idx="19">
                  <c:v>2429.219482</c:v>
                </c:pt>
                <c:pt idx="20">
                  <c:v>2422.6635740000002</c:v>
                </c:pt>
                <c:pt idx="21">
                  <c:v>2420.4589839999999</c:v>
                </c:pt>
                <c:pt idx="22">
                  <c:v>2417.6865229999999</c:v>
                </c:pt>
                <c:pt idx="23">
                  <c:v>2416.2658689999998</c:v>
                </c:pt>
                <c:pt idx="24">
                  <c:v>2412.2458499999998</c:v>
                </c:pt>
                <c:pt idx="25">
                  <c:v>2409.265625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PANI_3rdPhase!$F$2:$F$194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PANI_3rdPhase!$G$2:$G$194</c:f>
              <c:numCache>
                <c:formatCode>General</c:formatCode>
                <c:ptCount val="193"/>
                <c:pt idx="0">
                  <c:v>8.0817474532456828</c:v>
                </c:pt>
                <c:pt idx="1">
                  <c:v>7.9381811683771408</c:v>
                </c:pt>
                <c:pt idx="2">
                  <c:v>7.9084836439734811</c:v>
                </c:pt>
                <c:pt idx="3">
                  <c:v>7.8870298879107485</c:v>
                </c:pt>
                <c:pt idx="4">
                  <c:v>7.8705349803547131</c:v>
                </c:pt>
                <c:pt idx="5">
                  <c:v>7.8559617118751444</c:v>
                </c:pt>
                <c:pt idx="6">
                  <c:v>7.846514830113537</c:v>
                </c:pt>
                <c:pt idx="7">
                  <c:v>7.8355124413543171</c:v>
                </c:pt>
                <c:pt idx="8">
                  <c:v>7.8279940662191043</c:v>
                </c:pt>
                <c:pt idx="9">
                  <c:v>7.8193219793694366</c:v>
                </c:pt>
                <c:pt idx="10">
                  <c:v>7.8126950149656755</c:v>
                </c:pt>
                <c:pt idx="11">
                  <c:v>7.8066575199145749</c:v>
                </c:pt>
                <c:pt idx="12">
                  <c:v>7.8022025288160703</c:v>
                </c:pt>
                <c:pt idx="13">
                  <c:v>7.797167389949812</c:v>
                </c:pt>
                <c:pt idx="14">
                  <c:v>7.793336288696433</c:v>
                </c:pt>
                <c:pt idx="15">
                  <c:v>7.787940354822787</c:v>
                </c:pt>
                <c:pt idx="16">
                  <c:v>7.785857772453471</c:v>
                </c:pt>
                <c:pt idx="17">
                  <c:v>7.7816145472519169</c:v>
                </c:pt>
                <c:pt idx="18">
                  <c:v>7.7780565743251229</c:v>
                </c:pt>
                <c:pt idx="19">
                  <c:v>7.7749698290677198</c:v>
                </c:pt>
                <c:pt idx="20">
                  <c:v>7.7720460525247921</c:v>
                </c:pt>
                <c:pt idx="21">
                  <c:v>7.7692957818337609</c:v>
                </c:pt>
                <c:pt idx="22">
                  <c:v>7.7668688700174648</c:v>
                </c:pt>
                <c:pt idx="23">
                  <c:v>7.7651964849744441</c:v>
                </c:pt>
                <c:pt idx="24">
                  <c:v>7.7626050829526836</c:v>
                </c:pt>
                <c:pt idx="25">
                  <c:v>7.7610275839232266</c:v>
                </c:pt>
                <c:pt idx="26">
                  <c:v>7.7584347272080558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PANI_3rdPhase!$F$2:$F$197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PANI_3rdPhase!$B$2:$B$197</c:f>
              <c:numCache>
                <c:formatCode>General</c:formatCode>
                <c:ptCount val="196"/>
                <c:pt idx="0">
                  <c:v>3234.8811040000001</c:v>
                </c:pt>
                <c:pt idx="1">
                  <c:v>2802.2590329999998</c:v>
                </c:pt>
                <c:pt idx="2">
                  <c:v>2720.2624510000001</c:v>
                </c:pt>
                <c:pt idx="3">
                  <c:v>2662.5241700000001</c:v>
                </c:pt>
                <c:pt idx="4">
                  <c:v>2618.9663089999999</c:v>
                </c:pt>
                <c:pt idx="5">
                  <c:v>2581.076172</c:v>
                </c:pt>
                <c:pt idx="6">
                  <c:v>2556.8078609999998</c:v>
                </c:pt>
                <c:pt idx="7">
                  <c:v>2528.8310550000001</c:v>
                </c:pt>
                <c:pt idx="8">
                  <c:v>2509.8896479999999</c:v>
                </c:pt>
                <c:pt idx="9">
                  <c:v>2488.2177729999999</c:v>
                </c:pt>
                <c:pt idx="10">
                  <c:v>2471.7829590000001</c:v>
                </c:pt>
                <c:pt idx="11">
                  <c:v>2456.9045409999999</c:v>
                </c:pt>
                <c:pt idx="12">
                  <c:v>2445.9833979999999</c:v>
                </c:pt>
                <c:pt idx="13">
                  <c:v>2433.6984859999998</c:v>
                </c:pt>
                <c:pt idx="14">
                  <c:v>2424.392578</c:v>
                </c:pt>
                <c:pt idx="15">
                  <c:v>2411.3459469999998</c:v>
                </c:pt>
                <c:pt idx="16">
                  <c:v>2406.329346</c:v>
                </c:pt>
                <c:pt idx="17">
                  <c:v>2396.1403810000002</c:v>
                </c:pt>
                <c:pt idx="18">
                  <c:v>2387.6301269999999</c:v>
                </c:pt>
                <c:pt idx="19">
                  <c:v>2380.2714839999999</c:v>
                </c:pt>
                <c:pt idx="20">
                  <c:v>2373.3222660000001</c:v>
                </c:pt>
                <c:pt idx="21">
                  <c:v>2366.8039549999999</c:v>
                </c:pt>
                <c:pt idx="22">
                  <c:v>2361.0668949999999</c:v>
                </c:pt>
                <c:pt idx="23">
                  <c:v>2357.1215820000002</c:v>
                </c:pt>
                <c:pt idx="24">
                  <c:v>2351.02124</c:v>
                </c:pt>
                <c:pt idx="25">
                  <c:v>2347.3154300000001</c:v>
                </c:pt>
                <c:pt idx="26">
                  <c:v>2341.2370609999998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13</xdr:col>
      <xdr:colOff>552450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77010</xdr:rowOff>
    </xdr:from>
    <xdr:to>
      <xdr:col>13</xdr:col>
      <xdr:colOff>561975</xdr:colOff>
      <xdr:row>34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552450</xdr:colOff>
      <xdr:row>6</xdr:row>
      <xdr:rowOff>0</xdr:rowOff>
    </xdr:from>
    <xdr:to>
      <xdr:col>19</xdr:col>
      <xdr:colOff>198905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552682</xdr:colOff>
      <xdr:row>20</xdr:row>
      <xdr:rowOff>76432</xdr:rowOff>
    </xdr:from>
    <xdr:to>
      <xdr:col>19</xdr:col>
      <xdr:colOff>199137</xdr:colOff>
      <xdr:row>34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14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866</xdr:colOff>
      <xdr:row>20</xdr:row>
      <xdr:rowOff>77066</xdr:rowOff>
    </xdr:from>
    <xdr:to>
      <xdr:col>14</xdr:col>
      <xdr:colOff>250758</xdr:colOff>
      <xdr:row>34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250069</xdr:colOff>
      <xdr:row>6</xdr:row>
      <xdr:rowOff>0</xdr:rowOff>
    </xdr:from>
    <xdr:to>
      <xdr:col>20</xdr:col>
      <xdr:colOff>253431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249568</xdr:colOff>
      <xdr:row>20</xdr:row>
      <xdr:rowOff>75698</xdr:rowOff>
    </xdr:from>
    <xdr:to>
      <xdr:col>20</xdr:col>
      <xdr:colOff>252930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13</xdr:col>
      <xdr:colOff>552450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760639</xdr:colOff>
      <xdr:row>20</xdr:row>
      <xdr:rowOff>69396</xdr:rowOff>
    </xdr:from>
    <xdr:to>
      <xdr:col>13</xdr:col>
      <xdr:colOff>551089</xdr:colOff>
      <xdr:row>34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549729</xdr:colOff>
      <xdr:row>5</xdr:row>
      <xdr:rowOff>185057</xdr:rowOff>
    </xdr:from>
    <xdr:to>
      <xdr:col>19</xdr:col>
      <xdr:colOff>194823</xdr:colOff>
      <xdr:row>20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548368</xdr:colOff>
      <xdr:row>20</xdr:row>
      <xdr:rowOff>69396</xdr:rowOff>
    </xdr:from>
    <xdr:to>
      <xdr:col>19</xdr:col>
      <xdr:colOff>193462</xdr:colOff>
      <xdr:row>34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14</xdr:col>
      <xdr:colOff>249892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761499</xdr:colOff>
      <xdr:row>20</xdr:row>
      <xdr:rowOff>75698</xdr:rowOff>
    </xdr:from>
    <xdr:to>
      <xdr:col>14</xdr:col>
      <xdr:colOff>249391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250069</xdr:colOff>
      <xdr:row>6</xdr:row>
      <xdr:rowOff>0</xdr:rowOff>
    </xdr:from>
    <xdr:to>
      <xdr:col>20</xdr:col>
      <xdr:colOff>253431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249568</xdr:colOff>
      <xdr:row>20</xdr:row>
      <xdr:rowOff>75698</xdr:rowOff>
    </xdr:from>
    <xdr:to>
      <xdr:col>20</xdr:col>
      <xdr:colOff>252930</xdr:colOff>
      <xdr:row>34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4329</xdr:colOff>
      <xdr:row>6</xdr:row>
      <xdr:rowOff>4330</xdr:rowOff>
    </xdr:from>
    <xdr:to>
      <xdr:col>13</xdr:col>
      <xdr:colOff>556779</xdr:colOff>
      <xdr:row>20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757670</xdr:colOff>
      <xdr:row>20</xdr:row>
      <xdr:rowOff>71871</xdr:rowOff>
    </xdr:from>
    <xdr:to>
      <xdr:col>13</xdr:col>
      <xdr:colOff>548120</xdr:colOff>
      <xdr:row>34</xdr:row>
      <xdr:rowOff>148071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14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2956</xdr:colOff>
      <xdr:row>20</xdr:row>
      <xdr:rowOff>79156</xdr:rowOff>
    </xdr:from>
    <xdr:to>
      <xdr:col>14</xdr:col>
      <xdr:colOff>252848</xdr:colOff>
      <xdr:row>34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zoomScale="85" zoomScaleNormal="85" workbookViewId="0">
      <selection activeCell="F1" sqref="F1:F1048576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8" bestFit="1" customWidth="1"/>
    <col min="7" max="7" width="14.28515625" bestFit="1" customWidth="1"/>
    <col min="12" max="12" width="13.28515625" bestFit="1" customWidth="1"/>
    <col min="13" max="13" width="12.7109375" bestFit="1" customWidth="1"/>
    <col min="14" max="14" width="13.85546875" bestFit="1" customWidth="1"/>
    <col min="15" max="15" width="16.7109375" bestFit="1" customWidth="1"/>
  </cols>
  <sheetData>
    <row r="1" spans="1:14" x14ac:dyDescent="0.25">
      <c r="A1" t="s">
        <v>469</v>
      </c>
      <c r="B1" t="s">
        <v>470</v>
      </c>
      <c r="C1" t="s">
        <v>471</v>
      </c>
      <c r="D1" t="s">
        <v>472</v>
      </c>
      <c r="E1" t="s">
        <v>475</v>
      </c>
      <c r="F1" t="s">
        <v>473</v>
      </c>
      <c r="G1" t="s">
        <v>474</v>
      </c>
    </row>
    <row r="2" spans="1:14" x14ac:dyDescent="0.25">
      <c r="A2">
        <v>1000</v>
      </c>
      <c r="B2">
        <v>1902.828125</v>
      </c>
      <c r="C2">
        <v>-13.54693</v>
      </c>
      <c r="D2" t="s">
        <v>6</v>
      </c>
      <c r="E2">
        <f>B2-N$3</f>
        <v>424.828125</v>
      </c>
      <c r="F2">
        <v>50</v>
      </c>
      <c r="G2">
        <f t="shared" ref="G2:G33" si="0">LN(B2)</f>
        <v>7.5510965452981651</v>
      </c>
      <c r="J2" s="1" t="s">
        <v>0</v>
      </c>
      <c r="K2" s="1" t="s">
        <v>467</v>
      </c>
      <c r="N2" t="s">
        <v>468</v>
      </c>
    </row>
    <row r="3" spans="1:14" x14ac:dyDescent="0.25">
      <c r="A3">
        <v>1000</v>
      </c>
      <c r="B3">
        <v>1902.602539</v>
      </c>
      <c r="C3">
        <v>-13.585124</v>
      </c>
      <c r="D3" t="s">
        <v>7</v>
      </c>
      <c r="E3">
        <f t="shared" ref="E3:E66" si="1">B3-N$3</f>
        <v>424.60253899999998</v>
      </c>
      <c r="F3">
        <v>60</v>
      </c>
      <c r="G3">
        <f t="shared" si="0"/>
        <v>7.5509779852611123</v>
      </c>
      <c r="I3" t="s">
        <v>1</v>
      </c>
      <c r="J3">
        <f>1/(0.00003)</f>
        <v>33333.333333333336</v>
      </c>
      <c r="K3">
        <f>1/(0.00004)</f>
        <v>24999.999999999996</v>
      </c>
      <c r="L3" s="3" t="s">
        <v>3</v>
      </c>
      <c r="N3">
        <v>1478</v>
      </c>
    </row>
    <row r="4" spans="1:14" x14ac:dyDescent="0.25">
      <c r="A4">
        <v>1000</v>
      </c>
      <c r="B4">
        <v>1902.904297</v>
      </c>
      <c r="C4">
        <v>-13.622047</v>
      </c>
      <c r="D4" t="s">
        <v>8</v>
      </c>
      <c r="E4">
        <f t="shared" si="1"/>
        <v>424.90429700000004</v>
      </c>
      <c r="F4">
        <v>70</v>
      </c>
      <c r="G4">
        <f t="shared" si="0"/>
        <v>7.5511365754377362</v>
      </c>
      <c r="J4">
        <f>J3/60</f>
        <v>555.55555555555554</v>
      </c>
      <c r="K4">
        <f>K3/60</f>
        <v>416.66666666666663</v>
      </c>
      <c r="L4" s="3" t="s">
        <v>4</v>
      </c>
    </row>
    <row r="5" spans="1:14" x14ac:dyDescent="0.25">
      <c r="A5">
        <v>1000</v>
      </c>
      <c r="B5">
        <v>1901.5708010000001</v>
      </c>
      <c r="C5">
        <v>-13.586217</v>
      </c>
      <c r="D5" t="s">
        <v>9</v>
      </c>
      <c r="E5">
        <f t="shared" si="1"/>
        <v>423.57080100000007</v>
      </c>
      <c r="F5">
        <v>80</v>
      </c>
      <c r="G5">
        <f t="shared" si="0"/>
        <v>7.5504355609638552</v>
      </c>
      <c r="J5">
        <f>J4/60</f>
        <v>9.2592592592592595</v>
      </c>
      <c r="K5">
        <f>K4/60</f>
        <v>6.9444444444444438</v>
      </c>
      <c r="L5" s="3" t="s">
        <v>5</v>
      </c>
    </row>
    <row r="6" spans="1:14" x14ac:dyDescent="0.25">
      <c r="A6">
        <v>1000</v>
      </c>
      <c r="B6">
        <v>1901.8482670000001</v>
      </c>
      <c r="C6">
        <v>-13.584578</v>
      </c>
      <c r="D6" t="s">
        <v>10</v>
      </c>
      <c r="E6">
        <f t="shared" si="1"/>
        <v>423.84826700000008</v>
      </c>
      <c r="F6">
        <v>90</v>
      </c>
      <c r="G6">
        <f t="shared" si="0"/>
        <v>7.5505814644236269</v>
      </c>
    </row>
    <row r="7" spans="1:14" x14ac:dyDescent="0.25">
      <c r="A7">
        <v>1000</v>
      </c>
      <c r="B7">
        <v>1902.179077</v>
      </c>
      <c r="C7">
        <v>-13.618947</v>
      </c>
      <c r="D7" t="s">
        <v>11</v>
      </c>
      <c r="E7">
        <f t="shared" si="1"/>
        <v>424.17907700000001</v>
      </c>
      <c r="F7">
        <v>100</v>
      </c>
      <c r="G7">
        <f t="shared" si="0"/>
        <v>7.5507553906186402</v>
      </c>
    </row>
    <row r="8" spans="1:14" x14ac:dyDescent="0.25">
      <c r="A8">
        <v>1000</v>
      </c>
      <c r="B8">
        <v>1901.4866939999999</v>
      </c>
      <c r="C8">
        <v>-13.580698</v>
      </c>
      <c r="D8" t="s">
        <v>12</v>
      </c>
      <c r="E8">
        <f t="shared" si="1"/>
        <v>423.48669399999994</v>
      </c>
      <c r="F8">
        <v>110</v>
      </c>
      <c r="G8">
        <f t="shared" si="0"/>
        <v>7.5503913297103837</v>
      </c>
    </row>
    <row r="9" spans="1:14" x14ac:dyDescent="0.25">
      <c r="A9">
        <v>1000</v>
      </c>
      <c r="B9">
        <v>1900.411621</v>
      </c>
      <c r="C9">
        <v>-13.547188999999999</v>
      </c>
      <c r="D9" t="s">
        <v>13</v>
      </c>
      <c r="E9">
        <f t="shared" si="1"/>
        <v>422.41162099999997</v>
      </c>
      <c r="F9">
        <v>120</v>
      </c>
      <c r="G9">
        <f t="shared" si="0"/>
        <v>7.5498257843224845</v>
      </c>
    </row>
    <row r="10" spans="1:14" x14ac:dyDescent="0.25">
      <c r="A10">
        <v>1000</v>
      </c>
      <c r="B10">
        <v>1900.6904300000001</v>
      </c>
      <c r="C10">
        <v>-13.542367</v>
      </c>
      <c r="D10" t="s">
        <v>14</v>
      </c>
      <c r="E10">
        <f t="shared" si="1"/>
        <v>422.69043000000011</v>
      </c>
      <c r="F10">
        <v>130</v>
      </c>
      <c r="G10">
        <f t="shared" si="0"/>
        <v>7.5499724833570063</v>
      </c>
    </row>
    <row r="11" spans="1:14" x14ac:dyDescent="0.25">
      <c r="A11">
        <v>1000</v>
      </c>
      <c r="B11">
        <v>1899.2905270000001</v>
      </c>
      <c r="C11">
        <v>-13.488503</v>
      </c>
      <c r="D11" t="s">
        <v>15</v>
      </c>
      <c r="E11">
        <f t="shared" si="1"/>
        <v>421.29052700000011</v>
      </c>
      <c r="F11">
        <v>140</v>
      </c>
      <c r="G11">
        <f t="shared" si="0"/>
        <v>7.5492356885787322</v>
      </c>
    </row>
    <row r="12" spans="1:14" x14ac:dyDescent="0.25">
      <c r="A12">
        <v>1000</v>
      </c>
      <c r="B12">
        <v>1898.6239009999999</v>
      </c>
      <c r="C12">
        <v>-13.439791</v>
      </c>
      <c r="D12" t="s">
        <v>16</v>
      </c>
      <c r="E12">
        <f t="shared" si="1"/>
        <v>420.62390099999993</v>
      </c>
      <c r="F12">
        <v>150</v>
      </c>
      <c r="G12">
        <f t="shared" si="0"/>
        <v>7.5488846401180654</v>
      </c>
    </row>
    <row r="13" spans="1:14" x14ac:dyDescent="0.25">
      <c r="A13">
        <v>1000</v>
      </c>
      <c r="B13">
        <v>1897.1870120000001</v>
      </c>
      <c r="C13">
        <v>-13.391351</v>
      </c>
      <c r="D13" t="s">
        <v>17</v>
      </c>
      <c r="E13">
        <f t="shared" si="1"/>
        <v>419.1870120000001</v>
      </c>
      <c r="F13">
        <v>160</v>
      </c>
      <c r="G13">
        <f t="shared" si="0"/>
        <v>7.5481275481018573</v>
      </c>
    </row>
    <row r="14" spans="1:14" x14ac:dyDescent="0.25">
      <c r="A14">
        <v>1000</v>
      </c>
      <c r="B14">
        <v>1896.078125</v>
      </c>
      <c r="C14">
        <v>-13.338663</v>
      </c>
      <c r="D14" t="s">
        <v>18</v>
      </c>
      <c r="E14">
        <f t="shared" si="1"/>
        <v>418.078125</v>
      </c>
      <c r="F14">
        <v>170</v>
      </c>
      <c r="G14">
        <f t="shared" si="0"/>
        <v>7.547542887134834</v>
      </c>
    </row>
    <row r="15" spans="1:14" x14ac:dyDescent="0.25">
      <c r="A15">
        <v>1000</v>
      </c>
      <c r="B15">
        <v>1894.992432</v>
      </c>
      <c r="C15">
        <v>-13.287682999999999</v>
      </c>
      <c r="D15" t="s">
        <v>19</v>
      </c>
      <c r="E15">
        <f t="shared" si="1"/>
        <v>416.99243200000001</v>
      </c>
      <c r="F15">
        <v>180</v>
      </c>
      <c r="G15">
        <f t="shared" si="0"/>
        <v>7.5469701238410059</v>
      </c>
    </row>
    <row r="16" spans="1:14" x14ac:dyDescent="0.25">
      <c r="A16">
        <v>1000</v>
      </c>
      <c r="B16">
        <v>1893.044312</v>
      </c>
      <c r="C16">
        <v>-13.196978</v>
      </c>
      <c r="D16" t="s">
        <v>20</v>
      </c>
      <c r="E16">
        <f t="shared" si="1"/>
        <v>415.04431199999999</v>
      </c>
      <c r="F16">
        <v>190</v>
      </c>
      <c r="G16">
        <f t="shared" si="0"/>
        <v>7.5459415592818919</v>
      </c>
    </row>
    <row r="17" spans="1:7" x14ac:dyDescent="0.25">
      <c r="A17">
        <v>1000</v>
      </c>
      <c r="B17">
        <v>1890.72876</v>
      </c>
      <c r="C17">
        <v>-13.058543999999999</v>
      </c>
      <c r="D17" t="s">
        <v>21</v>
      </c>
      <c r="E17">
        <f t="shared" si="1"/>
        <v>412.72875999999997</v>
      </c>
      <c r="F17">
        <v>200</v>
      </c>
      <c r="G17">
        <f t="shared" si="0"/>
        <v>7.5447176210355957</v>
      </c>
    </row>
    <row r="18" spans="1:7" x14ac:dyDescent="0.25">
      <c r="A18">
        <v>1000</v>
      </c>
      <c r="B18">
        <v>1886.213379</v>
      </c>
      <c r="C18">
        <v>-12.767987</v>
      </c>
      <c r="D18" t="s">
        <v>22</v>
      </c>
      <c r="E18">
        <f t="shared" si="1"/>
        <v>408.21337900000003</v>
      </c>
      <c r="F18">
        <v>210</v>
      </c>
      <c r="G18">
        <f t="shared" si="0"/>
        <v>7.5423265951818612</v>
      </c>
    </row>
    <row r="19" spans="1:7" x14ac:dyDescent="0.25">
      <c r="A19">
        <v>1000</v>
      </c>
      <c r="B19">
        <v>1881.783081</v>
      </c>
      <c r="C19">
        <v>-12.541553</v>
      </c>
      <c r="D19" t="s">
        <v>23</v>
      </c>
      <c r="E19">
        <f t="shared" si="1"/>
        <v>403.78308100000004</v>
      </c>
      <c r="F19">
        <v>220</v>
      </c>
      <c r="G19">
        <f t="shared" si="0"/>
        <v>7.5399750536724319</v>
      </c>
    </row>
    <row r="20" spans="1:7" x14ac:dyDescent="0.25">
      <c r="A20">
        <v>1000</v>
      </c>
      <c r="B20">
        <v>1878.8785399999999</v>
      </c>
      <c r="C20">
        <v>-12.357233000000001</v>
      </c>
      <c r="D20" t="s">
        <v>24</v>
      </c>
      <c r="E20">
        <f t="shared" si="1"/>
        <v>400.87853999999993</v>
      </c>
      <c r="F20">
        <v>230</v>
      </c>
      <c r="G20">
        <f t="shared" si="0"/>
        <v>7.5384303565577957</v>
      </c>
    </row>
    <row r="21" spans="1:7" x14ac:dyDescent="0.25">
      <c r="A21">
        <v>1000</v>
      </c>
      <c r="B21">
        <v>1875.2573239999999</v>
      </c>
      <c r="C21">
        <v>-12.122835</v>
      </c>
      <c r="D21" t="s">
        <v>25</v>
      </c>
      <c r="E21">
        <f t="shared" si="1"/>
        <v>397.25732399999993</v>
      </c>
      <c r="F21">
        <v>240</v>
      </c>
      <c r="G21">
        <f t="shared" si="0"/>
        <v>7.5365011684547039</v>
      </c>
    </row>
    <row r="22" spans="1:7" x14ac:dyDescent="0.25">
      <c r="A22">
        <v>1000</v>
      </c>
      <c r="B22">
        <v>1872.2955320000001</v>
      </c>
      <c r="C22">
        <v>-11.947463000000001</v>
      </c>
      <c r="D22" t="s">
        <v>26</v>
      </c>
      <c r="E22">
        <f t="shared" si="1"/>
        <v>394.29553200000009</v>
      </c>
      <c r="F22">
        <v>250</v>
      </c>
      <c r="G22">
        <f t="shared" si="0"/>
        <v>7.5349205142355542</v>
      </c>
    </row>
    <row r="23" spans="1:7" x14ac:dyDescent="0.25">
      <c r="A23">
        <v>1000</v>
      </c>
      <c r="B23">
        <v>1870.5010990000001</v>
      </c>
      <c r="C23">
        <v>-11.818619</v>
      </c>
      <c r="D23" t="s">
        <v>27</v>
      </c>
      <c r="E23">
        <f t="shared" si="1"/>
        <v>392.50109900000007</v>
      </c>
      <c r="F23">
        <v>260</v>
      </c>
      <c r="G23">
        <f t="shared" si="0"/>
        <v>7.5339616413314658</v>
      </c>
    </row>
    <row r="24" spans="1:7" x14ac:dyDescent="0.25">
      <c r="A24">
        <v>1000</v>
      </c>
      <c r="B24">
        <v>1868.9888920000001</v>
      </c>
      <c r="C24">
        <v>-11.693899</v>
      </c>
      <c r="D24" t="s">
        <v>28</v>
      </c>
      <c r="E24">
        <f t="shared" si="1"/>
        <v>390.98889200000008</v>
      </c>
      <c r="F24">
        <v>270</v>
      </c>
      <c r="G24">
        <f t="shared" si="0"/>
        <v>7.5331528641527221</v>
      </c>
    </row>
    <row r="25" spans="1:7" x14ac:dyDescent="0.25">
      <c r="A25">
        <v>1000</v>
      </c>
      <c r="B25">
        <v>1867.7100829999999</v>
      </c>
      <c r="C25">
        <v>-11.652631</v>
      </c>
      <c r="D25" t="s">
        <v>29</v>
      </c>
      <c r="E25">
        <f t="shared" si="1"/>
        <v>389.71008299999994</v>
      </c>
      <c r="F25">
        <v>280</v>
      </c>
      <c r="G25">
        <f t="shared" si="0"/>
        <v>7.5324684049236108</v>
      </c>
    </row>
    <row r="26" spans="1:7" x14ac:dyDescent="0.25">
      <c r="A26">
        <v>1000</v>
      </c>
      <c r="B26">
        <v>1867.4533690000001</v>
      </c>
      <c r="C26">
        <v>-11.630459999999999</v>
      </c>
      <c r="D26" t="s">
        <v>30</v>
      </c>
      <c r="E26">
        <f t="shared" si="1"/>
        <v>389.45336900000007</v>
      </c>
      <c r="F26">
        <v>290</v>
      </c>
      <c r="G26">
        <f t="shared" si="0"/>
        <v>7.5323309469495738</v>
      </c>
    </row>
    <row r="27" spans="1:7" x14ac:dyDescent="0.25">
      <c r="A27">
        <v>1000</v>
      </c>
      <c r="B27">
        <v>1866.383789</v>
      </c>
      <c r="C27">
        <v>-11.605066000000001</v>
      </c>
      <c r="D27" t="s">
        <v>31</v>
      </c>
      <c r="E27">
        <f t="shared" si="1"/>
        <v>388.38378899999998</v>
      </c>
      <c r="F27">
        <v>300</v>
      </c>
      <c r="G27">
        <f t="shared" si="0"/>
        <v>7.5317580349643984</v>
      </c>
    </row>
    <row r="28" spans="1:7" x14ac:dyDescent="0.25">
      <c r="A28">
        <v>1000</v>
      </c>
      <c r="B28">
        <v>1865.7329099999999</v>
      </c>
      <c r="C28">
        <v>-11.583496</v>
      </c>
      <c r="D28" t="s">
        <v>32</v>
      </c>
      <c r="E28">
        <f t="shared" si="1"/>
        <v>387.73290999999995</v>
      </c>
      <c r="F28">
        <v>310</v>
      </c>
      <c r="G28">
        <f t="shared" si="0"/>
        <v>7.5314092361142588</v>
      </c>
    </row>
    <row r="29" spans="1:7" x14ac:dyDescent="0.25">
      <c r="A29">
        <v>1000</v>
      </c>
      <c r="B29">
        <v>1865.8804929999999</v>
      </c>
      <c r="C29">
        <v>-11.582992000000001</v>
      </c>
      <c r="D29" t="s">
        <v>33</v>
      </c>
      <c r="E29">
        <f t="shared" si="1"/>
        <v>387.88049299999989</v>
      </c>
      <c r="F29">
        <v>320</v>
      </c>
      <c r="G29">
        <f t="shared" si="0"/>
        <v>7.5314883348761823</v>
      </c>
    </row>
    <row r="30" spans="1:7" x14ac:dyDescent="0.25">
      <c r="A30">
        <v>1000</v>
      </c>
      <c r="B30">
        <v>1865.673706</v>
      </c>
      <c r="C30">
        <v>-11.584725000000001</v>
      </c>
      <c r="D30" t="s">
        <v>34</v>
      </c>
      <c r="E30">
        <f t="shared" si="1"/>
        <v>387.67370600000004</v>
      </c>
      <c r="F30">
        <v>330</v>
      </c>
      <c r="G30">
        <f t="shared" si="0"/>
        <v>7.5313775033088604</v>
      </c>
    </row>
    <row r="31" spans="1:7" x14ac:dyDescent="0.25">
      <c r="A31">
        <v>1000</v>
      </c>
      <c r="B31">
        <v>1865.0074460000001</v>
      </c>
      <c r="C31">
        <v>-11.566106</v>
      </c>
      <c r="D31" t="s">
        <v>35</v>
      </c>
      <c r="E31">
        <f t="shared" si="1"/>
        <v>387.00744600000007</v>
      </c>
      <c r="F31">
        <v>340</v>
      </c>
      <c r="G31">
        <f t="shared" si="0"/>
        <v>7.5310203245632437</v>
      </c>
    </row>
    <row r="32" spans="1:7" x14ac:dyDescent="0.25">
      <c r="A32">
        <v>1000</v>
      </c>
      <c r="B32">
        <v>1864.2064210000001</v>
      </c>
      <c r="C32">
        <v>-11.545165000000001</v>
      </c>
      <c r="D32" t="s">
        <v>36</v>
      </c>
      <c r="E32">
        <f t="shared" si="1"/>
        <v>386.20642100000009</v>
      </c>
      <c r="F32">
        <v>350</v>
      </c>
      <c r="G32">
        <f t="shared" si="0"/>
        <v>7.5305907299940467</v>
      </c>
    </row>
    <row r="33" spans="1:7" x14ac:dyDescent="0.25">
      <c r="A33">
        <v>1000</v>
      </c>
      <c r="B33">
        <v>1864.2573239999999</v>
      </c>
      <c r="C33">
        <v>-11.536477</v>
      </c>
      <c r="D33" t="s">
        <v>37</v>
      </c>
      <c r="E33">
        <f t="shared" si="1"/>
        <v>386.25732399999993</v>
      </c>
      <c r="F33">
        <v>360</v>
      </c>
      <c r="G33">
        <f t="shared" si="0"/>
        <v>7.5306180350738243</v>
      </c>
    </row>
    <row r="34" spans="1:7" x14ac:dyDescent="0.25">
      <c r="A34">
        <v>1000</v>
      </c>
      <c r="B34">
        <v>1864.716797</v>
      </c>
      <c r="C34">
        <v>-11.516738</v>
      </c>
      <c r="D34" t="s">
        <v>38</v>
      </c>
      <c r="E34">
        <f t="shared" si="1"/>
        <v>386.71679700000004</v>
      </c>
      <c r="F34">
        <v>370</v>
      </c>
      <c r="G34">
        <f t="shared" ref="G34:G65" si="2">LN(B34)</f>
        <v>7.5308644690727826</v>
      </c>
    </row>
    <row r="35" spans="1:7" x14ac:dyDescent="0.25">
      <c r="A35">
        <v>1000</v>
      </c>
      <c r="B35">
        <v>1863.647827</v>
      </c>
      <c r="C35">
        <v>-11.483815</v>
      </c>
      <c r="D35" t="s">
        <v>39</v>
      </c>
      <c r="E35">
        <f t="shared" si="1"/>
        <v>385.64782700000001</v>
      </c>
      <c r="F35">
        <v>380</v>
      </c>
      <c r="G35">
        <f t="shared" si="2"/>
        <v>7.5302910433823822</v>
      </c>
    </row>
    <row r="36" spans="1:7" x14ac:dyDescent="0.25">
      <c r="A36">
        <v>1000</v>
      </c>
      <c r="B36">
        <v>1863.006226</v>
      </c>
      <c r="C36">
        <v>-11.484704000000001</v>
      </c>
      <c r="D36" t="s">
        <v>40</v>
      </c>
      <c r="E36">
        <f t="shared" si="1"/>
        <v>385.00622599999997</v>
      </c>
      <c r="F36">
        <v>390</v>
      </c>
      <c r="G36">
        <f t="shared" si="2"/>
        <v>7.5299467125176358</v>
      </c>
    </row>
    <row r="37" spans="1:7" x14ac:dyDescent="0.25">
      <c r="A37">
        <v>1000</v>
      </c>
      <c r="B37">
        <v>1863.948486</v>
      </c>
      <c r="C37">
        <v>-11.490086</v>
      </c>
      <c r="D37" t="s">
        <v>41</v>
      </c>
      <c r="E37">
        <f t="shared" si="1"/>
        <v>385.948486</v>
      </c>
      <c r="F37">
        <v>400</v>
      </c>
      <c r="G37">
        <f t="shared" si="2"/>
        <v>7.5304523585975538</v>
      </c>
    </row>
    <row r="38" spans="1:7" x14ac:dyDescent="0.25">
      <c r="A38">
        <v>1000</v>
      </c>
      <c r="B38">
        <v>1862.9487300000001</v>
      </c>
      <c r="C38">
        <v>-11.478365999999999</v>
      </c>
      <c r="D38" t="s">
        <v>42</v>
      </c>
      <c r="E38">
        <f t="shared" si="1"/>
        <v>384.94873000000007</v>
      </c>
      <c r="F38">
        <v>410</v>
      </c>
      <c r="G38">
        <f t="shared" si="2"/>
        <v>7.5299158500940786</v>
      </c>
    </row>
    <row r="39" spans="1:7" x14ac:dyDescent="0.25">
      <c r="A39">
        <v>1000</v>
      </c>
      <c r="B39">
        <v>1862.6164550000001</v>
      </c>
      <c r="C39">
        <v>-11.460101</v>
      </c>
      <c r="D39" t="s">
        <v>43</v>
      </c>
      <c r="E39">
        <f t="shared" si="1"/>
        <v>384.61645500000009</v>
      </c>
      <c r="F39">
        <v>420</v>
      </c>
      <c r="G39">
        <f t="shared" si="2"/>
        <v>7.5297374744735315</v>
      </c>
    </row>
    <row r="40" spans="1:7" x14ac:dyDescent="0.25">
      <c r="A40">
        <v>1000</v>
      </c>
      <c r="B40">
        <v>1861.5708010000001</v>
      </c>
      <c r="C40">
        <v>-11.398793</v>
      </c>
      <c r="D40" t="s">
        <v>44</v>
      </c>
      <c r="E40">
        <f t="shared" si="1"/>
        <v>383.57080100000007</v>
      </c>
      <c r="F40">
        <v>430</v>
      </c>
      <c r="G40">
        <f t="shared" si="2"/>
        <v>7.5291759269703586</v>
      </c>
    </row>
    <row r="41" spans="1:7" x14ac:dyDescent="0.25">
      <c r="A41">
        <v>1000</v>
      </c>
      <c r="B41">
        <v>1861.0008539999999</v>
      </c>
      <c r="C41">
        <v>-11.347664</v>
      </c>
      <c r="D41" t="s">
        <v>45</v>
      </c>
      <c r="E41">
        <f t="shared" si="1"/>
        <v>383.00085399999989</v>
      </c>
      <c r="F41">
        <v>440</v>
      </c>
      <c r="G41">
        <f t="shared" si="2"/>
        <v>7.5288697155352136</v>
      </c>
    </row>
    <row r="42" spans="1:7" x14ac:dyDescent="0.25">
      <c r="A42">
        <v>1000</v>
      </c>
      <c r="B42">
        <v>1860.424683</v>
      </c>
      <c r="C42">
        <v>-11.395296</v>
      </c>
      <c r="D42" t="s">
        <v>46</v>
      </c>
      <c r="E42">
        <f t="shared" si="1"/>
        <v>382.42468299999996</v>
      </c>
      <c r="F42">
        <v>450</v>
      </c>
      <c r="G42">
        <f t="shared" si="2"/>
        <v>7.5285600648387936</v>
      </c>
    </row>
    <row r="43" spans="1:7" x14ac:dyDescent="0.25">
      <c r="A43">
        <v>1000</v>
      </c>
      <c r="B43">
        <v>1860.836182</v>
      </c>
      <c r="C43">
        <v>-11.391690000000001</v>
      </c>
      <c r="D43" t="s">
        <v>47</v>
      </c>
      <c r="E43">
        <f t="shared" si="1"/>
        <v>382.83618200000001</v>
      </c>
      <c r="F43">
        <v>460</v>
      </c>
      <c r="G43">
        <f t="shared" si="2"/>
        <v>7.5287812259003832</v>
      </c>
    </row>
    <row r="44" spans="1:7" x14ac:dyDescent="0.25">
      <c r="A44">
        <v>1000</v>
      </c>
      <c r="B44">
        <v>1861.651001</v>
      </c>
      <c r="C44">
        <v>-11.409831000000001</v>
      </c>
      <c r="D44" t="s">
        <v>48</v>
      </c>
      <c r="E44">
        <f t="shared" si="1"/>
        <v>383.65100099999995</v>
      </c>
      <c r="F44">
        <v>470</v>
      </c>
      <c r="G44">
        <f t="shared" si="2"/>
        <v>7.5292190079385506</v>
      </c>
    </row>
    <row r="45" spans="1:7" x14ac:dyDescent="0.25">
      <c r="A45">
        <v>1000</v>
      </c>
      <c r="B45">
        <v>1861.677124</v>
      </c>
      <c r="C45">
        <v>-11.389013</v>
      </c>
      <c r="D45" t="s">
        <v>49</v>
      </c>
      <c r="E45">
        <f t="shared" si="1"/>
        <v>383.67712400000005</v>
      </c>
      <c r="F45">
        <v>480</v>
      </c>
      <c r="G45">
        <f t="shared" si="2"/>
        <v>7.5292330400083136</v>
      </c>
    </row>
    <row r="46" spans="1:7" x14ac:dyDescent="0.25">
      <c r="A46">
        <v>1000</v>
      </c>
      <c r="B46">
        <v>1859.7456050000001</v>
      </c>
      <c r="C46">
        <v>-11.313608</v>
      </c>
      <c r="D46" t="s">
        <v>50</v>
      </c>
      <c r="E46">
        <f t="shared" si="1"/>
        <v>381.74560500000007</v>
      </c>
      <c r="F46">
        <v>490</v>
      </c>
      <c r="G46">
        <f t="shared" si="2"/>
        <v>7.5281949858477955</v>
      </c>
    </row>
    <row r="47" spans="1:7" x14ac:dyDescent="0.25">
      <c r="A47">
        <v>1000</v>
      </c>
      <c r="B47">
        <v>1858.4182129999999</v>
      </c>
      <c r="C47">
        <v>-11.235580000000001</v>
      </c>
      <c r="D47" t="s">
        <v>51</v>
      </c>
      <c r="E47">
        <f t="shared" si="1"/>
        <v>380.41821299999992</v>
      </c>
      <c r="F47">
        <v>500</v>
      </c>
      <c r="G47">
        <f t="shared" si="2"/>
        <v>7.5274809817740822</v>
      </c>
    </row>
    <row r="48" spans="1:7" x14ac:dyDescent="0.25">
      <c r="A48">
        <v>1000</v>
      </c>
      <c r="B48">
        <v>1857.6575929999999</v>
      </c>
      <c r="C48">
        <v>-11.168316000000001</v>
      </c>
      <c r="D48" t="s">
        <v>52</v>
      </c>
      <c r="E48">
        <f t="shared" si="1"/>
        <v>379.65759299999991</v>
      </c>
      <c r="F48">
        <v>510</v>
      </c>
      <c r="G48">
        <f t="shared" si="2"/>
        <v>7.5270716144466485</v>
      </c>
    </row>
    <row r="49" spans="1:7" x14ac:dyDescent="0.25">
      <c r="A49">
        <v>1000</v>
      </c>
      <c r="B49">
        <v>1857.334595</v>
      </c>
      <c r="C49">
        <v>-11.149861</v>
      </c>
      <c r="D49" t="s">
        <v>53</v>
      </c>
      <c r="E49">
        <f t="shared" si="1"/>
        <v>379.33459500000004</v>
      </c>
      <c r="F49">
        <v>520</v>
      </c>
      <c r="G49">
        <f t="shared" si="2"/>
        <v>7.5268977255206595</v>
      </c>
    </row>
    <row r="50" spans="1:7" x14ac:dyDescent="0.25">
      <c r="A50">
        <v>1000</v>
      </c>
      <c r="B50">
        <v>1856.9982910000001</v>
      </c>
      <c r="C50">
        <v>-11.108866000000001</v>
      </c>
      <c r="D50" t="s">
        <v>54</v>
      </c>
      <c r="E50">
        <f t="shared" si="1"/>
        <v>378.99829100000011</v>
      </c>
      <c r="F50">
        <v>530</v>
      </c>
      <c r="G50">
        <f t="shared" si="2"/>
        <v>7.5267166410507205</v>
      </c>
    </row>
    <row r="51" spans="1:7" x14ac:dyDescent="0.25">
      <c r="A51">
        <v>1000</v>
      </c>
      <c r="B51">
        <v>1856.7540280000001</v>
      </c>
      <c r="C51">
        <v>-11.053406000000001</v>
      </c>
      <c r="D51" t="s">
        <v>55</v>
      </c>
      <c r="E51">
        <f t="shared" si="1"/>
        <v>378.75402800000006</v>
      </c>
      <c r="F51">
        <v>540</v>
      </c>
      <c r="G51">
        <f t="shared" si="2"/>
        <v>7.526585095929037</v>
      </c>
    </row>
    <row r="52" spans="1:7" x14ac:dyDescent="0.25">
      <c r="A52">
        <v>1000</v>
      </c>
      <c r="B52">
        <v>1854.446289</v>
      </c>
      <c r="C52">
        <v>-10.900230000000001</v>
      </c>
      <c r="D52" t="s">
        <v>56</v>
      </c>
      <c r="E52">
        <f t="shared" si="1"/>
        <v>376.44628899999998</v>
      </c>
      <c r="F52">
        <v>550</v>
      </c>
      <c r="G52">
        <f t="shared" si="2"/>
        <v>7.5253414339866325</v>
      </c>
    </row>
    <row r="53" spans="1:7" x14ac:dyDescent="0.25">
      <c r="A53">
        <v>1000</v>
      </c>
      <c r="B53">
        <v>1852.559937</v>
      </c>
      <c r="C53">
        <v>-10.735977999999999</v>
      </c>
      <c r="D53" t="s">
        <v>57</v>
      </c>
      <c r="E53">
        <f t="shared" si="1"/>
        <v>374.55993699999999</v>
      </c>
      <c r="F53">
        <v>560</v>
      </c>
      <c r="G53">
        <f t="shared" si="2"/>
        <v>7.5243237113027117</v>
      </c>
    </row>
    <row r="54" spans="1:7" x14ac:dyDescent="0.25">
      <c r="A54">
        <v>1000</v>
      </c>
      <c r="B54">
        <v>1850.7727050000001</v>
      </c>
      <c r="C54">
        <v>-10.635287999999999</v>
      </c>
      <c r="D54" t="s">
        <v>58</v>
      </c>
      <c r="E54">
        <f t="shared" si="1"/>
        <v>372.77270500000009</v>
      </c>
      <c r="F54">
        <v>570</v>
      </c>
      <c r="G54">
        <f t="shared" si="2"/>
        <v>7.5233585092474158</v>
      </c>
    </row>
    <row r="55" spans="1:7" x14ac:dyDescent="0.25">
      <c r="A55">
        <v>1000</v>
      </c>
      <c r="B55">
        <v>1849.655884</v>
      </c>
      <c r="C55">
        <v>-10.558175</v>
      </c>
      <c r="D55" t="s">
        <v>59</v>
      </c>
      <c r="E55">
        <f t="shared" si="1"/>
        <v>371.65588400000001</v>
      </c>
      <c r="F55">
        <v>580</v>
      </c>
      <c r="G55">
        <f t="shared" si="2"/>
        <v>7.5227548921219674</v>
      </c>
    </row>
    <row r="56" spans="1:7" x14ac:dyDescent="0.25">
      <c r="A56">
        <v>1000</v>
      </c>
      <c r="B56">
        <v>1849.0585940000001</v>
      </c>
      <c r="C56">
        <v>-10.515432000000001</v>
      </c>
      <c r="D56" t="s">
        <v>60</v>
      </c>
      <c r="E56">
        <f t="shared" si="1"/>
        <v>371.05859400000008</v>
      </c>
      <c r="F56">
        <v>590</v>
      </c>
      <c r="G56">
        <f t="shared" si="2"/>
        <v>7.5224319204469463</v>
      </c>
    </row>
    <row r="57" spans="1:7" x14ac:dyDescent="0.25">
      <c r="A57">
        <v>1000</v>
      </c>
      <c r="B57">
        <v>1848.3610839999999</v>
      </c>
      <c r="C57">
        <v>-10.457032999999999</v>
      </c>
      <c r="D57" t="s">
        <v>61</v>
      </c>
      <c r="E57">
        <f t="shared" si="1"/>
        <v>370.36108399999989</v>
      </c>
      <c r="F57">
        <v>600</v>
      </c>
      <c r="G57">
        <f t="shared" si="2"/>
        <v>7.5220546248900346</v>
      </c>
    </row>
    <row r="58" spans="1:7" x14ac:dyDescent="0.25">
      <c r="A58">
        <v>1000</v>
      </c>
      <c r="B58">
        <v>1848.596802</v>
      </c>
      <c r="C58">
        <v>-10.444452</v>
      </c>
      <c r="D58" t="s">
        <v>62</v>
      </c>
      <c r="E58">
        <f t="shared" si="1"/>
        <v>370.59680200000003</v>
      </c>
      <c r="F58">
        <v>610</v>
      </c>
      <c r="G58">
        <f t="shared" si="2"/>
        <v>7.5221821448713753</v>
      </c>
    </row>
    <row r="59" spans="1:7" x14ac:dyDescent="0.25">
      <c r="A59">
        <v>1000</v>
      </c>
      <c r="B59">
        <v>1847.855591</v>
      </c>
      <c r="C59">
        <v>-10.399633</v>
      </c>
      <c r="D59" t="s">
        <v>63</v>
      </c>
      <c r="E59">
        <f t="shared" si="1"/>
        <v>369.855591</v>
      </c>
      <c r="F59">
        <v>620</v>
      </c>
      <c r="G59">
        <f t="shared" si="2"/>
        <v>7.5217811057500068</v>
      </c>
    </row>
    <row r="60" spans="1:7" x14ac:dyDescent="0.25">
      <c r="A60">
        <v>1000</v>
      </c>
      <c r="B60">
        <v>1848.4064940000001</v>
      </c>
      <c r="C60">
        <v>-10.398198000000001</v>
      </c>
      <c r="D60" t="s">
        <v>64</v>
      </c>
      <c r="E60">
        <f t="shared" si="1"/>
        <v>370.40649400000007</v>
      </c>
      <c r="F60">
        <v>630</v>
      </c>
      <c r="G60">
        <f t="shared" si="2"/>
        <v>7.5220791922987473</v>
      </c>
    </row>
    <row r="61" spans="1:7" x14ac:dyDescent="0.25">
      <c r="A61">
        <v>1000</v>
      </c>
      <c r="B61">
        <v>1847.5992429999999</v>
      </c>
      <c r="C61">
        <v>-10.372503</v>
      </c>
      <c r="D61" t="s">
        <v>65</v>
      </c>
      <c r="E61">
        <f t="shared" si="1"/>
        <v>369.59924299999989</v>
      </c>
      <c r="F61">
        <v>640</v>
      </c>
      <c r="G61">
        <f t="shared" si="2"/>
        <v>7.5216423688356473</v>
      </c>
    </row>
    <row r="62" spans="1:7" x14ac:dyDescent="0.25">
      <c r="A62">
        <v>1000</v>
      </c>
      <c r="B62">
        <v>1847.599976</v>
      </c>
      <c r="C62">
        <v>-10.349881</v>
      </c>
      <c r="D62" t="s">
        <v>66</v>
      </c>
      <c r="E62">
        <f t="shared" si="1"/>
        <v>369.59997599999997</v>
      </c>
      <c r="F62">
        <v>650</v>
      </c>
      <c r="G62">
        <f t="shared" si="2"/>
        <v>7.5216427655666251</v>
      </c>
    </row>
    <row r="63" spans="1:7" x14ac:dyDescent="0.25">
      <c r="A63">
        <v>1000</v>
      </c>
      <c r="B63">
        <v>1847.5341800000001</v>
      </c>
      <c r="C63">
        <v>-10.346384</v>
      </c>
      <c r="D63" t="s">
        <v>67</v>
      </c>
      <c r="E63">
        <f t="shared" si="1"/>
        <v>369.53418000000011</v>
      </c>
      <c r="F63">
        <v>660</v>
      </c>
      <c r="G63">
        <f t="shared" si="2"/>
        <v>7.5216071533278113</v>
      </c>
    </row>
    <row r="64" spans="1:7" x14ac:dyDescent="0.25">
      <c r="A64">
        <v>1000</v>
      </c>
      <c r="B64">
        <v>1847.073975</v>
      </c>
      <c r="C64">
        <v>-10.310553000000001</v>
      </c>
      <c r="D64" t="s">
        <v>68</v>
      </c>
      <c r="E64">
        <f t="shared" si="1"/>
        <v>369.07397500000002</v>
      </c>
      <c r="F64">
        <v>670</v>
      </c>
      <c r="G64">
        <f t="shared" si="2"/>
        <v>7.5213580308319621</v>
      </c>
    </row>
    <row r="65" spans="1:7" x14ac:dyDescent="0.25">
      <c r="A65">
        <v>1000</v>
      </c>
      <c r="B65">
        <v>1846.8975829999999</v>
      </c>
      <c r="C65">
        <v>-10.294584</v>
      </c>
      <c r="D65" t="s">
        <v>69</v>
      </c>
      <c r="E65">
        <f t="shared" si="1"/>
        <v>368.89758299999994</v>
      </c>
      <c r="F65">
        <v>680</v>
      </c>
      <c r="G65">
        <f t="shared" si="2"/>
        <v>7.5212625282016008</v>
      </c>
    </row>
    <row r="66" spans="1:7" x14ac:dyDescent="0.25">
      <c r="A66">
        <v>1000</v>
      </c>
      <c r="B66">
        <v>1846.394043</v>
      </c>
      <c r="C66">
        <v>-10.282372000000001</v>
      </c>
      <c r="D66" t="s">
        <v>70</v>
      </c>
      <c r="E66">
        <f t="shared" si="1"/>
        <v>368.39404300000001</v>
      </c>
      <c r="F66">
        <v>690</v>
      </c>
      <c r="G66">
        <f t="shared" ref="G66:G97" si="3">LN(B66)</f>
        <v>7.5209898500304133</v>
      </c>
    </row>
    <row r="67" spans="1:7" x14ac:dyDescent="0.25">
      <c r="A67">
        <v>1000</v>
      </c>
      <c r="B67">
        <v>1846.2514650000001</v>
      </c>
      <c r="C67">
        <v>-10.260474</v>
      </c>
      <c r="D67" t="s">
        <v>71</v>
      </c>
      <c r="E67">
        <f t="shared" ref="E67:E119" si="4">B67-N$3</f>
        <v>368.25146500000005</v>
      </c>
      <c r="F67">
        <v>700</v>
      </c>
      <c r="G67">
        <f t="shared" si="3"/>
        <v>7.5209126273456137</v>
      </c>
    </row>
    <row r="68" spans="1:7" x14ac:dyDescent="0.25">
      <c r="A68">
        <v>1000</v>
      </c>
      <c r="B68">
        <v>1844.7429199999999</v>
      </c>
      <c r="C68">
        <v>-10.15085</v>
      </c>
      <c r="D68" t="s">
        <v>72</v>
      </c>
      <c r="E68">
        <f t="shared" si="4"/>
        <v>366.74291999999991</v>
      </c>
      <c r="F68">
        <v>710</v>
      </c>
      <c r="G68">
        <f t="shared" si="3"/>
        <v>7.5200952080126937</v>
      </c>
    </row>
    <row r="69" spans="1:7" x14ac:dyDescent="0.25">
      <c r="A69">
        <v>1000</v>
      </c>
      <c r="B69">
        <v>1843.0513920000001</v>
      </c>
      <c r="C69">
        <v>-10.084201</v>
      </c>
      <c r="D69" t="s">
        <v>73</v>
      </c>
      <c r="E69">
        <f t="shared" si="4"/>
        <v>365.05139200000008</v>
      </c>
      <c r="F69">
        <v>720</v>
      </c>
      <c r="G69">
        <f t="shared" si="3"/>
        <v>7.5191778422512021</v>
      </c>
    </row>
    <row r="70" spans="1:7" x14ac:dyDescent="0.25">
      <c r="A70">
        <v>1000</v>
      </c>
      <c r="B70">
        <v>1842.274414</v>
      </c>
      <c r="C70">
        <v>-10.047482</v>
      </c>
      <c r="D70" t="s">
        <v>74</v>
      </c>
      <c r="E70">
        <f t="shared" si="4"/>
        <v>364.27441399999998</v>
      </c>
      <c r="F70">
        <v>730</v>
      </c>
      <c r="G70">
        <f t="shared" si="3"/>
        <v>7.5187561818323339</v>
      </c>
    </row>
    <row r="71" spans="1:7" x14ac:dyDescent="0.25">
      <c r="A71">
        <v>1000</v>
      </c>
      <c r="B71">
        <v>1842.0251459999999</v>
      </c>
      <c r="C71">
        <v>-10.020311</v>
      </c>
      <c r="D71" t="s">
        <v>75</v>
      </c>
      <c r="E71">
        <f t="shared" si="4"/>
        <v>364.02514599999995</v>
      </c>
      <c r="F71">
        <v>740</v>
      </c>
      <c r="G71">
        <f t="shared" si="3"/>
        <v>7.5186208681878695</v>
      </c>
    </row>
    <row r="72" spans="1:7" x14ac:dyDescent="0.25">
      <c r="A72">
        <v>1000</v>
      </c>
      <c r="B72">
        <v>1842.541504</v>
      </c>
      <c r="C72">
        <v>-9.9912279999999996</v>
      </c>
      <c r="D72" t="s">
        <v>76</v>
      </c>
      <c r="E72">
        <f t="shared" si="4"/>
        <v>364.54150400000003</v>
      </c>
      <c r="F72">
        <v>750</v>
      </c>
      <c r="G72">
        <f t="shared" si="3"/>
        <v>7.5189011497256626</v>
      </c>
    </row>
    <row r="73" spans="1:7" x14ac:dyDescent="0.25">
      <c r="A73">
        <v>1000</v>
      </c>
      <c r="B73">
        <v>1841.7303469999999</v>
      </c>
      <c r="C73">
        <v>-9.9759290000000007</v>
      </c>
      <c r="D73" t="s">
        <v>77</v>
      </c>
      <c r="E73">
        <f t="shared" si="4"/>
        <v>363.73034699999994</v>
      </c>
      <c r="F73">
        <v>760</v>
      </c>
      <c r="G73">
        <f t="shared" si="3"/>
        <v>7.5184608146766152</v>
      </c>
    </row>
    <row r="74" spans="1:7" x14ac:dyDescent="0.25">
      <c r="A74">
        <v>1000</v>
      </c>
      <c r="B74">
        <v>1841.5002440000001</v>
      </c>
      <c r="C74">
        <v>-9.9758469999999999</v>
      </c>
      <c r="D74" t="s">
        <v>78</v>
      </c>
      <c r="E74">
        <f t="shared" si="4"/>
        <v>363.50024400000007</v>
      </c>
      <c r="F74">
        <v>770</v>
      </c>
      <c r="G74">
        <f t="shared" si="3"/>
        <v>7.5183358683857904</v>
      </c>
    </row>
    <row r="75" spans="1:7" x14ac:dyDescent="0.25">
      <c r="A75">
        <v>1000</v>
      </c>
      <c r="B75">
        <v>1841.5383300000001</v>
      </c>
      <c r="C75">
        <v>-9.9472149999999999</v>
      </c>
      <c r="D75" t="s">
        <v>79</v>
      </c>
      <c r="E75">
        <f t="shared" si="4"/>
        <v>363.53833000000009</v>
      </c>
      <c r="F75">
        <v>780</v>
      </c>
      <c r="G75">
        <f t="shared" si="3"/>
        <v>7.5183565502218537</v>
      </c>
    </row>
    <row r="76" spans="1:7" x14ac:dyDescent="0.25">
      <c r="A76">
        <v>1000</v>
      </c>
      <c r="B76">
        <v>1841.2586670000001</v>
      </c>
      <c r="C76">
        <v>-9.9260140000000003</v>
      </c>
      <c r="D76" t="s">
        <v>80</v>
      </c>
      <c r="E76">
        <f t="shared" si="4"/>
        <v>363.25866700000006</v>
      </c>
      <c r="F76">
        <v>790</v>
      </c>
      <c r="G76">
        <f t="shared" si="3"/>
        <v>7.5182046748940712</v>
      </c>
    </row>
    <row r="77" spans="1:7" x14ac:dyDescent="0.25">
      <c r="A77">
        <v>1000</v>
      </c>
      <c r="B77">
        <v>1841.306274</v>
      </c>
      <c r="C77">
        <v>-9.8869179999999997</v>
      </c>
      <c r="D77" t="s">
        <v>81</v>
      </c>
      <c r="E77">
        <f t="shared" si="4"/>
        <v>363.30627400000003</v>
      </c>
      <c r="F77">
        <v>800</v>
      </c>
      <c r="G77">
        <f t="shared" si="3"/>
        <v>7.5182305302425929</v>
      </c>
    </row>
    <row r="78" spans="1:7" x14ac:dyDescent="0.25">
      <c r="A78">
        <v>1000</v>
      </c>
      <c r="B78">
        <v>1839.3172609999999</v>
      </c>
      <c r="C78">
        <v>-9.8296259999999993</v>
      </c>
      <c r="D78" t="s">
        <v>82</v>
      </c>
      <c r="E78">
        <f t="shared" si="4"/>
        <v>361.31726099999992</v>
      </c>
      <c r="F78">
        <v>810</v>
      </c>
      <c r="G78">
        <f t="shared" si="3"/>
        <v>7.5171497279411872</v>
      </c>
    </row>
    <row r="79" spans="1:7" x14ac:dyDescent="0.25">
      <c r="A79">
        <v>1000</v>
      </c>
      <c r="B79">
        <v>1840.342163</v>
      </c>
      <c r="C79">
        <v>-9.8297220000000003</v>
      </c>
      <c r="D79" t="s">
        <v>83</v>
      </c>
      <c r="E79">
        <f t="shared" si="4"/>
        <v>362.34216300000003</v>
      </c>
      <c r="F79">
        <v>820</v>
      </c>
      <c r="G79">
        <f t="shared" si="3"/>
        <v>7.5177067914671314</v>
      </c>
    </row>
    <row r="80" spans="1:7" x14ac:dyDescent="0.25">
      <c r="A80">
        <v>1000</v>
      </c>
      <c r="B80">
        <v>1840.3498540000001</v>
      </c>
      <c r="C80">
        <v>-9.8070730000000008</v>
      </c>
      <c r="D80" t="s">
        <v>84</v>
      </c>
      <c r="E80">
        <f t="shared" si="4"/>
        <v>362.34985400000005</v>
      </c>
      <c r="F80">
        <v>830</v>
      </c>
      <c r="G80">
        <f t="shared" si="3"/>
        <v>7.5177109705725629</v>
      </c>
    </row>
    <row r="81" spans="1:7" x14ac:dyDescent="0.25">
      <c r="A81">
        <v>1000</v>
      </c>
      <c r="B81">
        <v>1839.851318</v>
      </c>
      <c r="C81">
        <v>-9.7959949999999996</v>
      </c>
      <c r="D81" t="s">
        <v>85</v>
      </c>
      <c r="E81">
        <f t="shared" si="4"/>
        <v>361.85131799999999</v>
      </c>
      <c r="F81">
        <v>840</v>
      </c>
      <c r="G81">
        <f t="shared" si="3"/>
        <v>7.5174400419033134</v>
      </c>
    </row>
    <row r="82" spans="1:7" x14ac:dyDescent="0.25">
      <c r="A82">
        <v>1000</v>
      </c>
      <c r="B82">
        <v>1840.0493160000001</v>
      </c>
      <c r="C82">
        <v>-9.7814599999999992</v>
      </c>
      <c r="D82" t="s">
        <v>86</v>
      </c>
      <c r="E82">
        <f t="shared" si="4"/>
        <v>362.04931600000009</v>
      </c>
      <c r="F82">
        <v>850</v>
      </c>
      <c r="G82">
        <f t="shared" si="3"/>
        <v>7.5175476524177727</v>
      </c>
    </row>
    <row r="83" spans="1:7" x14ac:dyDescent="0.25">
      <c r="A83">
        <v>1000</v>
      </c>
      <c r="B83">
        <v>1839.686768</v>
      </c>
      <c r="C83">
        <v>-9.7716650000000005</v>
      </c>
      <c r="D83" t="s">
        <v>87</v>
      </c>
      <c r="E83">
        <f t="shared" si="4"/>
        <v>361.68676800000003</v>
      </c>
      <c r="F83">
        <v>860</v>
      </c>
      <c r="G83">
        <f t="shared" si="3"/>
        <v>7.5173506013288369</v>
      </c>
    </row>
    <row r="84" spans="1:7" x14ac:dyDescent="0.25">
      <c r="A84">
        <v>1000</v>
      </c>
      <c r="B84">
        <v>1839.4267580000001</v>
      </c>
      <c r="C84">
        <v>-9.7418440000000004</v>
      </c>
      <c r="D84" t="s">
        <v>88</v>
      </c>
      <c r="E84">
        <f t="shared" si="4"/>
        <v>361.42675800000006</v>
      </c>
      <c r="F84">
        <v>870</v>
      </c>
      <c r="G84">
        <f t="shared" si="3"/>
        <v>7.5172092574977238</v>
      </c>
    </row>
    <row r="85" spans="1:7" x14ac:dyDescent="0.25">
      <c r="A85">
        <v>1000</v>
      </c>
      <c r="B85">
        <v>1839.7384030000001</v>
      </c>
      <c r="C85">
        <v>-9.7254520000000007</v>
      </c>
      <c r="D85" t="s">
        <v>89</v>
      </c>
      <c r="E85">
        <f t="shared" si="4"/>
        <v>361.73840300000006</v>
      </c>
      <c r="F85">
        <v>880</v>
      </c>
      <c r="G85">
        <f t="shared" si="3"/>
        <v>7.5173786682129853</v>
      </c>
    </row>
    <row r="86" spans="1:7" x14ac:dyDescent="0.25">
      <c r="A86">
        <v>1000</v>
      </c>
      <c r="B86">
        <v>1839.6685789999999</v>
      </c>
      <c r="C86">
        <v>-9.7037189999999995</v>
      </c>
      <c r="D86" t="s">
        <v>90</v>
      </c>
      <c r="E86">
        <f t="shared" si="4"/>
        <v>361.66857899999991</v>
      </c>
      <c r="F86">
        <v>890</v>
      </c>
      <c r="G86">
        <f t="shared" si="3"/>
        <v>7.5173407142707607</v>
      </c>
    </row>
    <row r="87" spans="1:7" x14ac:dyDescent="0.25">
      <c r="A87">
        <v>1000</v>
      </c>
      <c r="B87">
        <v>1839.449707</v>
      </c>
      <c r="C87">
        <v>-9.6809600000000007</v>
      </c>
      <c r="D87" t="s">
        <v>91</v>
      </c>
      <c r="E87">
        <f t="shared" si="4"/>
        <v>361.44970699999999</v>
      </c>
      <c r="F87">
        <v>900</v>
      </c>
      <c r="G87">
        <f t="shared" si="3"/>
        <v>7.5172217335893885</v>
      </c>
    </row>
    <row r="88" spans="1:7" x14ac:dyDescent="0.25">
      <c r="A88">
        <v>1000</v>
      </c>
      <c r="B88">
        <v>1839.669312</v>
      </c>
      <c r="C88">
        <v>-9.6915049999999994</v>
      </c>
      <c r="D88" t="s">
        <v>92</v>
      </c>
      <c r="E88">
        <f t="shared" si="4"/>
        <v>361.66931199999999</v>
      </c>
      <c r="F88">
        <v>910</v>
      </c>
      <c r="G88">
        <f t="shared" si="3"/>
        <v>7.517341112712014</v>
      </c>
    </row>
    <row r="89" spans="1:7" x14ac:dyDescent="0.25">
      <c r="A89">
        <v>1000</v>
      </c>
      <c r="B89">
        <v>1839.8476559999999</v>
      </c>
      <c r="C89">
        <v>-9.6654280000000004</v>
      </c>
      <c r="D89" t="s">
        <v>93</v>
      </c>
      <c r="E89">
        <f t="shared" si="4"/>
        <v>361.84765599999992</v>
      </c>
      <c r="F89">
        <v>920</v>
      </c>
      <c r="G89">
        <f t="shared" si="3"/>
        <v>7.5174380515231078</v>
      </c>
    </row>
    <row r="90" spans="1:7" x14ac:dyDescent="0.25">
      <c r="A90">
        <v>1000</v>
      </c>
      <c r="B90">
        <v>1839.1860349999999</v>
      </c>
      <c r="C90">
        <v>-9.6422880000000006</v>
      </c>
      <c r="D90" t="s">
        <v>94</v>
      </c>
      <c r="E90">
        <f t="shared" si="4"/>
        <v>361.18603499999995</v>
      </c>
      <c r="F90">
        <v>930</v>
      </c>
      <c r="G90">
        <f t="shared" si="3"/>
        <v>7.5170783804449384</v>
      </c>
    </row>
    <row r="91" spans="1:7" x14ac:dyDescent="0.25">
      <c r="A91">
        <v>1000</v>
      </c>
      <c r="B91">
        <v>1840.1994629999999</v>
      </c>
      <c r="C91">
        <v>-9.6274390000000007</v>
      </c>
      <c r="D91" t="s">
        <v>95</v>
      </c>
      <c r="E91">
        <f t="shared" si="4"/>
        <v>362.19946299999992</v>
      </c>
      <c r="F91">
        <v>940</v>
      </c>
      <c r="G91">
        <f t="shared" si="3"/>
        <v>7.5176292485321117</v>
      </c>
    </row>
    <row r="92" spans="1:7" x14ac:dyDescent="0.25">
      <c r="A92">
        <v>1000</v>
      </c>
      <c r="B92">
        <v>1838.842163</v>
      </c>
      <c r="C92">
        <v>-9.5993940000000002</v>
      </c>
      <c r="D92" t="s">
        <v>96</v>
      </c>
      <c r="E92">
        <f t="shared" si="4"/>
        <v>360.84216300000003</v>
      </c>
      <c r="F92">
        <v>950</v>
      </c>
      <c r="G92">
        <f t="shared" si="3"/>
        <v>7.516891393297211</v>
      </c>
    </row>
    <row r="93" spans="1:7" x14ac:dyDescent="0.25">
      <c r="A93">
        <v>1000</v>
      </c>
      <c r="B93">
        <v>1839.540649</v>
      </c>
      <c r="C93">
        <v>-9.5972220000000004</v>
      </c>
      <c r="D93" t="s">
        <v>97</v>
      </c>
      <c r="E93">
        <f t="shared" si="4"/>
        <v>361.54064900000003</v>
      </c>
      <c r="F93">
        <v>960</v>
      </c>
      <c r="G93">
        <f t="shared" si="3"/>
        <v>7.5172711721533521</v>
      </c>
    </row>
    <row r="94" spans="1:7" x14ac:dyDescent="0.25">
      <c r="A94">
        <v>1000</v>
      </c>
      <c r="B94">
        <v>1839.6572269999999</v>
      </c>
      <c r="C94">
        <v>-9.5869079999999993</v>
      </c>
      <c r="D94" t="s">
        <v>98</v>
      </c>
      <c r="E94">
        <f t="shared" si="4"/>
        <v>361.65722699999992</v>
      </c>
      <c r="F94">
        <v>970</v>
      </c>
      <c r="G94">
        <f t="shared" si="3"/>
        <v>7.5173345435750418</v>
      </c>
    </row>
    <row r="95" spans="1:7" x14ac:dyDescent="0.25">
      <c r="A95">
        <v>1000</v>
      </c>
      <c r="B95">
        <v>1838.87915</v>
      </c>
      <c r="C95">
        <v>-9.5689449999999994</v>
      </c>
      <c r="D95" t="s">
        <v>99</v>
      </c>
      <c r="E95">
        <f t="shared" si="4"/>
        <v>360.87914999999998</v>
      </c>
      <c r="F95">
        <v>980</v>
      </c>
      <c r="G95">
        <f t="shared" si="3"/>
        <v>7.5169115073824582</v>
      </c>
    </row>
    <row r="96" spans="1:7" x14ac:dyDescent="0.25">
      <c r="A96">
        <v>1000</v>
      </c>
      <c r="B96">
        <v>1839.3286129999999</v>
      </c>
      <c r="C96">
        <v>-9.5710630000000005</v>
      </c>
      <c r="D96" t="s">
        <v>100</v>
      </c>
      <c r="E96">
        <f t="shared" si="4"/>
        <v>361.3286129999999</v>
      </c>
      <c r="F96">
        <v>990</v>
      </c>
      <c r="G96">
        <f t="shared" si="3"/>
        <v>7.5171558997774488</v>
      </c>
    </row>
    <row r="97" spans="1:7" x14ac:dyDescent="0.25">
      <c r="A97">
        <v>1000</v>
      </c>
      <c r="B97">
        <v>1839.091187</v>
      </c>
      <c r="C97">
        <v>-9.5368300000000001</v>
      </c>
      <c r="D97" t="s">
        <v>101</v>
      </c>
      <c r="E97">
        <f t="shared" si="4"/>
        <v>361.09118699999999</v>
      </c>
      <c r="F97">
        <v>1000</v>
      </c>
      <c r="G97">
        <f t="shared" si="3"/>
        <v>7.5170268084756184</v>
      </c>
    </row>
    <row r="98" spans="1:7" x14ac:dyDescent="0.25">
      <c r="A98">
        <v>1000</v>
      </c>
      <c r="B98">
        <v>1838.120361</v>
      </c>
      <c r="C98">
        <v>-9.5178829999999994</v>
      </c>
      <c r="D98" t="s">
        <v>102</v>
      </c>
      <c r="E98">
        <f t="shared" si="4"/>
        <v>360.120361</v>
      </c>
      <c r="F98">
        <v>1010</v>
      </c>
      <c r="G98">
        <f t="shared" ref="G98:G119" si="5">LN(B98)</f>
        <v>7.5164987855376486</v>
      </c>
    </row>
    <row r="99" spans="1:7" x14ac:dyDescent="0.25">
      <c r="A99">
        <v>1000</v>
      </c>
      <c r="B99">
        <v>1839.098999</v>
      </c>
      <c r="C99">
        <v>-9.5212160000000008</v>
      </c>
      <c r="D99" t="s">
        <v>103</v>
      </c>
      <c r="E99">
        <f t="shared" si="4"/>
        <v>361.09899900000005</v>
      </c>
      <c r="F99">
        <v>1020</v>
      </c>
      <c r="G99">
        <f t="shared" si="5"/>
        <v>7.5170310562168199</v>
      </c>
    </row>
    <row r="100" spans="1:7" x14ac:dyDescent="0.25">
      <c r="A100">
        <v>1000</v>
      </c>
      <c r="B100">
        <v>1839.502686</v>
      </c>
      <c r="C100">
        <v>-9.5023099999999996</v>
      </c>
      <c r="D100" t="s">
        <v>104</v>
      </c>
      <c r="E100">
        <f t="shared" si="4"/>
        <v>361.50268600000004</v>
      </c>
      <c r="F100">
        <v>1030</v>
      </c>
      <c r="G100">
        <f t="shared" si="5"/>
        <v>7.5172505347231597</v>
      </c>
    </row>
    <row r="101" spans="1:7" x14ac:dyDescent="0.25">
      <c r="A101">
        <v>1000</v>
      </c>
      <c r="B101">
        <v>1838.8911129999999</v>
      </c>
      <c r="C101">
        <v>-9.4931439999999991</v>
      </c>
      <c r="D101" t="s">
        <v>105</v>
      </c>
      <c r="E101">
        <f t="shared" si="4"/>
        <v>360.8911129999999</v>
      </c>
      <c r="F101">
        <v>1040</v>
      </c>
      <c r="G101">
        <f t="shared" si="5"/>
        <v>7.5169180129546627</v>
      </c>
    </row>
    <row r="102" spans="1:7" x14ac:dyDescent="0.25">
      <c r="A102">
        <v>1000</v>
      </c>
      <c r="B102">
        <v>1839.619019</v>
      </c>
      <c r="C102">
        <v>-9.4883489999999995</v>
      </c>
      <c r="D102" t="s">
        <v>106</v>
      </c>
      <c r="E102">
        <f t="shared" si="4"/>
        <v>361.61901899999998</v>
      </c>
      <c r="F102">
        <v>1050</v>
      </c>
      <c r="G102">
        <f t="shared" si="5"/>
        <v>7.5173137742729033</v>
      </c>
    </row>
    <row r="103" spans="1:7" x14ac:dyDescent="0.25">
      <c r="A103">
        <v>1000</v>
      </c>
      <c r="B103">
        <v>1839.358154</v>
      </c>
      <c r="C103">
        <v>-9.458501</v>
      </c>
      <c r="D103" t="s">
        <v>107</v>
      </c>
      <c r="E103">
        <f t="shared" si="4"/>
        <v>361.35815400000001</v>
      </c>
      <c r="F103">
        <v>1060</v>
      </c>
      <c r="G103">
        <f t="shared" si="5"/>
        <v>7.5171719604000957</v>
      </c>
    </row>
    <row r="104" spans="1:7" x14ac:dyDescent="0.25">
      <c r="A104">
        <v>1000</v>
      </c>
      <c r="B104">
        <v>1839.4404300000001</v>
      </c>
      <c r="C104">
        <v>-9.4612459999999992</v>
      </c>
      <c r="D104" t="s">
        <v>108</v>
      </c>
      <c r="E104">
        <f t="shared" si="4"/>
        <v>361.44043000000011</v>
      </c>
      <c r="F104">
        <v>1070</v>
      </c>
      <c r="G104">
        <f t="shared" si="5"/>
        <v>7.5172166902205166</v>
      </c>
    </row>
    <row r="105" spans="1:7" x14ac:dyDescent="0.25">
      <c r="A105">
        <v>1000</v>
      </c>
      <c r="B105">
        <v>1839.840332</v>
      </c>
      <c r="C105">
        <v>-9.4457559999999994</v>
      </c>
      <c r="D105" t="s">
        <v>109</v>
      </c>
      <c r="E105">
        <f t="shared" si="4"/>
        <v>361.84033199999999</v>
      </c>
      <c r="F105">
        <v>1080</v>
      </c>
      <c r="G105">
        <f t="shared" si="5"/>
        <v>7.517434070750812</v>
      </c>
    </row>
    <row r="106" spans="1:7" x14ac:dyDescent="0.25">
      <c r="A106">
        <v>1000</v>
      </c>
      <c r="B106">
        <v>1839.5073239999999</v>
      </c>
      <c r="C106">
        <v>-9.4385019999999997</v>
      </c>
      <c r="D106" t="s">
        <v>110</v>
      </c>
      <c r="E106">
        <f t="shared" si="4"/>
        <v>361.50732399999993</v>
      </c>
      <c r="F106">
        <v>1090</v>
      </c>
      <c r="G106">
        <f t="shared" si="5"/>
        <v>7.5172530560536197</v>
      </c>
    </row>
    <row r="107" spans="1:7" x14ac:dyDescent="0.25">
      <c r="A107">
        <v>1000</v>
      </c>
      <c r="B107">
        <v>1839.5645750000001</v>
      </c>
      <c r="C107">
        <v>-9.4368350000000003</v>
      </c>
      <c r="D107" t="s">
        <v>111</v>
      </c>
      <c r="E107">
        <f t="shared" si="4"/>
        <v>361.5645750000001</v>
      </c>
      <c r="F107">
        <v>1100</v>
      </c>
      <c r="G107">
        <f t="shared" si="5"/>
        <v>7.517284178576678</v>
      </c>
    </row>
    <row r="108" spans="1:7" x14ac:dyDescent="0.25">
      <c r="A108">
        <v>1000</v>
      </c>
      <c r="B108">
        <v>1839.2508539999999</v>
      </c>
      <c r="C108">
        <v>-9.3964689999999997</v>
      </c>
      <c r="D108" t="s">
        <v>112</v>
      </c>
      <c r="E108">
        <f t="shared" si="4"/>
        <v>361.25085399999989</v>
      </c>
      <c r="F108">
        <v>1110</v>
      </c>
      <c r="G108">
        <f t="shared" si="5"/>
        <v>7.5171136231319613</v>
      </c>
    </row>
    <row r="109" spans="1:7" x14ac:dyDescent="0.25">
      <c r="A109">
        <v>1000</v>
      </c>
      <c r="B109">
        <v>1839.0863039999999</v>
      </c>
      <c r="C109">
        <v>-9.3876989999999996</v>
      </c>
      <c r="D109" t="s">
        <v>113</v>
      </c>
      <c r="E109">
        <f t="shared" si="4"/>
        <v>361.08630399999993</v>
      </c>
      <c r="F109">
        <v>1120</v>
      </c>
      <c r="G109">
        <f t="shared" si="5"/>
        <v>7.5170241533563313</v>
      </c>
    </row>
    <row r="110" spans="1:7" x14ac:dyDescent="0.25">
      <c r="A110">
        <v>1000</v>
      </c>
      <c r="B110">
        <v>1840.1789550000001</v>
      </c>
      <c r="C110">
        <v>-9.3892559999999996</v>
      </c>
      <c r="D110" t="s">
        <v>114</v>
      </c>
      <c r="E110">
        <f t="shared" si="4"/>
        <v>362.17895500000009</v>
      </c>
      <c r="F110">
        <v>1130</v>
      </c>
      <c r="G110">
        <f t="shared" si="5"/>
        <v>7.5176181040259378</v>
      </c>
    </row>
    <row r="111" spans="1:7" x14ac:dyDescent="0.25">
      <c r="A111">
        <v>1000</v>
      </c>
      <c r="B111">
        <v>1839.9567870000001</v>
      </c>
      <c r="C111">
        <v>-9.3821259999999995</v>
      </c>
      <c r="D111" t="s">
        <v>115</v>
      </c>
      <c r="E111">
        <f t="shared" si="4"/>
        <v>361.95678700000008</v>
      </c>
      <c r="F111">
        <v>1140</v>
      </c>
      <c r="G111">
        <f t="shared" si="5"/>
        <v>7.5174973650011596</v>
      </c>
    </row>
    <row r="112" spans="1:7" x14ac:dyDescent="0.25">
      <c r="A112">
        <v>1000</v>
      </c>
      <c r="B112">
        <v>1839.236206</v>
      </c>
      <c r="C112">
        <v>-9.3677139999999994</v>
      </c>
      <c r="D112" t="s">
        <v>116</v>
      </c>
      <c r="E112">
        <f t="shared" si="4"/>
        <v>361.23620600000004</v>
      </c>
      <c r="F112">
        <v>1150</v>
      </c>
      <c r="G112">
        <f t="shared" si="5"/>
        <v>7.5171056589881378</v>
      </c>
    </row>
    <row r="113" spans="1:7" x14ac:dyDescent="0.25">
      <c r="A113">
        <v>1000</v>
      </c>
      <c r="B113">
        <v>1839.9157709999999</v>
      </c>
      <c r="C113">
        <v>-9.3576870000000003</v>
      </c>
      <c r="D113" t="s">
        <v>117</v>
      </c>
      <c r="E113">
        <f t="shared" si="4"/>
        <v>361.91577099999995</v>
      </c>
      <c r="F113">
        <v>1160</v>
      </c>
      <c r="G113">
        <f t="shared" si="5"/>
        <v>7.5174750729248148</v>
      </c>
    </row>
    <row r="114" spans="1:7" x14ac:dyDescent="0.25">
      <c r="A114">
        <v>1000</v>
      </c>
      <c r="B114">
        <v>1839.110962</v>
      </c>
      <c r="C114">
        <v>-9.3388629999999999</v>
      </c>
      <c r="D114" t="s">
        <v>118</v>
      </c>
      <c r="E114">
        <f t="shared" si="4"/>
        <v>361.11096199999997</v>
      </c>
      <c r="F114">
        <v>1170</v>
      </c>
      <c r="G114">
        <f t="shared" si="5"/>
        <v>7.5170375610113407</v>
      </c>
    </row>
    <row r="115" spans="1:7" x14ac:dyDescent="0.25">
      <c r="A115">
        <v>1000</v>
      </c>
      <c r="B115">
        <v>1839.765259</v>
      </c>
      <c r="C115">
        <v>-9.3244240000000005</v>
      </c>
      <c r="D115" t="s">
        <v>119</v>
      </c>
      <c r="E115">
        <f t="shared" si="4"/>
        <v>361.76525900000001</v>
      </c>
      <c r="F115">
        <v>1180</v>
      </c>
      <c r="G115">
        <f t="shared" si="5"/>
        <v>7.5173932658340057</v>
      </c>
    </row>
    <row r="116" spans="1:7" x14ac:dyDescent="0.25">
      <c r="A116">
        <v>1000</v>
      </c>
      <c r="B116">
        <v>1840.268188</v>
      </c>
      <c r="C116">
        <v>-9.3282629999999997</v>
      </c>
      <c r="D116" t="s">
        <v>120</v>
      </c>
      <c r="E116">
        <f t="shared" si="4"/>
        <v>362.26818800000001</v>
      </c>
      <c r="F116">
        <v>1190</v>
      </c>
      <c r="G116">
        <f t="shared" si="5"/>
        <v>7.5176665943297243</v>
      </c>
    </row>
    <row r="117" spans="1:7" x14ac:dyDescent="0.25">
      <c r="A117">
        <v>1000</v>
      </c>
      <c r="B117">
        <v>1840.540405</v>
      </c>
      <c r="C117">
        <v>-9.3369370000000007</v>
      </c>
      <c r="D117" t="s">
        <v>121</v>
      </c>
      <c r="E117">
        <f t="shared" si="4"/>
        <v>362.54040499999996</v>
      </c>
      <c r="F117">
        <v>1200</v>
      </c>
      <c r="G117">
        <f t="shared" si="5"/>
        <v>7.517814505851673</v>
      </c>
    </row>
    <row r="118" spans="1:7" x14ac:dyDescent="0.25">
      <c r="A118">
        <v>1000</v>
      </c>
      <c r="B118">
        <v>1841.814087</v>
      </c>
      <c r="C118">
        <v>-9.3213229999999996</v>
      </c>
      <c r="D118" t="s">
        <v>122</v>
      </c>
      <c r="E118">
        <f t="shared" si="4"/>
        <v>363.81408699999997</v>
      </c>
      <c r="F118">
        <v>1210</v>
      </c>
      <c r="G118">
        <f t="shared" si="5"/>
        <v>7.5185062817540533</v>
      </c>
    </row>
    <row r="119" spans="1:7" x14ac:dyDescent="0.25">
      <c r="A119">
        <v>1000</v>
      </c>
      <c r="B119">
        <v>1926.6694339999999</v>
      </c>
      <c r="C119">
        <v>-11.777177999999999</v>
      </c>
      <c r="D119" t="s">
        <v>2</v>
      </c>
      <c r="E119">
        <f t="shared" si="4"/>
        <v>448.66943399999991</v>
      </c>
      <c r="F119">
        <v>1220</v>
      </c>
      <c r="G119">
        <f t="shared" si="5"/>
        <v>7.5635481093294619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zoomScale="85" zoomScaleNormal="85" workbookViewId="0">
      <selection activeCell="N2" sqref="N2:N3"/>
    </sheetView>
  </sheetViews>
  <sheetFormatPr baseColWidth="10" defaultRowHeight="15" x14ac:dyDescent="0.25"/>
  <cols>
    <col min="4" max="4" width="23" bestFit="1" customWidth="1"/>
    <col min="5" max="5" width="23" customWidth="1"/>
    <col min="10" max="10" width="9.5703125" bestFit="1" customWidth="1"/>
    <col min="11" max="11" width="9.140625" customWidth="1"/>
    <col min="12" max="12" width="11.5703125" bestFit="1" customWidth="1"/>
    <col min="13" max="13" width="11.7109375" bestFit="1" customWidth="1"/>
    <col min="14" max="14" width="13.85546875" bestFit="1" customWidth="1"/>
  </cols>
  <sheetData>
    <row r="1" spans="1:14" x14ac:dyDescent="0.25">
      <c r="A1" t="s">
        <v>469</v>
      </c>
      <c r="B1" t="s">
        <v>470</v>
      </c>
      <c r="C1" t="s">
        <v>471</v>
      </c>
      <c r="D1" t="s">
        <v>472</v>
      </c>
      <c r="E1" t="s">
        <v>475</v>
      </c>
      <c r="F1" t="s">
        <v>473</v>
      </c>
      <c r="G1" t="s">
        <v>474</v>
      </c>
    </row>
    <row r="2" spans="1:14" x14ac:dyDescent="0.25">
      <c r="A2">
        <v>1000</v>
      </c>
      <c r="B2">
        <v>1953.4761960000001</v>
      </c>
      <c r="C2">
        <v>-10.560504</v>
      </c>
      <c r="D2" t="s">
        <v>123</v>
      </c>
      <c r="E2">
        <f>B2-N$3</f>
        <v>469.47619600000007</v>
      </c>
      <c r="F2">
        <v>0</v>
      </c>
      <c r="G2">
        <f>LN(B2)</f>
        <v>7.5773657291124632</v>
      </c>
      <c r="J2" s="1" t="s">
        <v>0</v>
      </c>
      <c r="K2" s="1" t="s">
        <v>432</v>
      </c>
      <c r="M2" s="2"/>
      <c r="N2" t="s">
        <v>468</v>
      </c>
    </row>
    <row r="3" spans="1:14" x14ac:dyDescent="0.25">
      <c r="A3">
        <v>1000</v>
      </c>
      <c r="B3">
        <v>1946.03125</v>
      </c>
      <c r="C3">
        <v>-10.27455</v>
      </c>
      <c r="D3" t="s">
        <v>124</v>
      </c>
      <c r="E3">
        <f t="shared" ref="E3:E66" si="0">B3-N$3</f>
        <v>462.03125</v>
      </c>
      <c r="F3">
        <v>10</v>
      </c>
      <c r="G3">
        <f t="shared" ref="G3:G66" si="1">LN(B3)</f>
        <v>7.5735473211987188</v>
      </c>
      <c r="I3" t="s">
        <v>1</v>
      </c>
      <c r="J3">
        <f>1/(0.000002)</f>
        <v>500000</v>
      </c>
      <c r="K3">
        <f>1/(0.00003)</f>
        <v>33333.333333333336</v>
      </c>
      <c r="M3" s="2"/>
      <c r="N3">
        <v>1484</v>
      </c>
    </row>
    <row r="4" spans="1:14" x14ac:dyDescent="0.25">
      <c r="A4">
        <v>1000</v>
      </c>
      <c r="B4">
        <v>1939.30603</v>
      </c>
      <c r="C4">
        <v>-10.050547999999999</v>
      </c>
      <c r="D4" t="s">
        <v>125</v>
      </c>
      <c r="E4">
        <f t="shared" si="0"/>
        <v>455.30602999999996</v>
      </c>
      <c r="F4">
        <v>20</v>
      </c>
      <c r="G4">
        <f t="shared" si="1"/>
        <v>7.5700854715667214</v>
      </c>
      <c r="J4">
        <f>J3/60</f>
        <v>8333.3333333333339</v>
      </c>
      <c r="K4">
        <f>K3/60</f>
        <v>555.55555555555554</v>
      </c>
      <c r="L4" s="3" t="s">
        <v>4</v>
      </c>
    </row>
    <row r="5" spans="1:14" x14ac:dyDescent="0.25">
      <c r="A5">
        <v>1000</v>
      </c>
      <c r="B5">
        <v>1932.601807</v>
      </c>
      <c r="C5">
        <v>-9.8800670000000004</v>
      </c>
      <c r="D5" t="s">
        <v>126</v>
      </c>
      <c r="E5">
        <f t="shared" si="0"/>
        <v>448.60180700000001</v>
      </c>
      <c r="F5">
        <v>30</v>
      </c>
      <c r="G5">
        <f t="shared" si="1"/>
        <v>7.5666224605746022</v>
      </c>
      <c r="J5">
        <f>J4/60</f>
        <v>138.88888888888889</v>
      </c>
      <c r="K5">
        <f>K4/60</f>
        <v>9.2592592592592595</v>
      </c>
      <c r="L5" s="3" t="s">
        <v>5</v>
      </c>
    </row>
    <row r="6" spans="1:14" x14ac:dyDescent="0.25">
      <c r="A6">
        <v>1000</v>
      </c>
      <c r="B6">
        <v>1928.481689</v>
      </c>
      <c r="C6">
        <v>-9.7427650000000003</v>
      </c>
      <c r="D6" t="s">
        <v>127</v>
      </c>
      <c r="E6">
        <f t="shared" si="0"/>
        <v>444.48168899999996</v>
      </c>
      <c r="F6">
        <v>40</v>
      </c>
      <c r="G6">
        <f t="shared" si="1"/>
        <v>7.5644882826589477</v>
      </c>
    </row>
    <row r="7" spans="1:14" x14ac:dyDescent="0.25">
      <c r="A7">
        <v>1000</v>
      </c>
      <c r="B7">
        <v>1924.998413</v>
      </c>
      <c r="C7">
        <v>-9.6489189999999994</v>
      </c>
      <c r="D7" t="s">
        <v>128</v>
      </c>
      <c r="E7">
        <f t="shared" si="0"/>
        <v>440.99841300000003</v>
      </c>
      <c r="F7">
        <v>50</v>
      </c>
      <c r="G7">
        <f t="shared" si="1"/>
        <v>7.5626804223059603</v>
      </c>
    </row>
    <row r="8" spans="1:14" x14ac:dyDescent="0.25">
      <c r="A8">
        <v>1000</v>
      </c>
      <c r="B8">
        <v>1921.676025</v>
      </c>
      <c r="C8">
        <v>-9.5329560000000004</v>
      </c>
      <c r="D8" t="s">
        <v>129</v>
      </c>
      <c r="E8">
        <f t="shared" si="0"/>
        <v>437.67602499999998</v>
      </c>
      <c r="F8">
        <v>60</v>
      </c>
      <c r="G8">
        <f t="shared" si="1"/>
        <v>7.5609530139277883</v>
      </c>
    </row>
    <row r="9" spans="1:14" x14ac:dyDescent="0.25">
      <c r="A9">
        <v>1000</v>
      </c>
      <c r="B9">
        <v>1918.9648440000001</v>
      </c>
      <c r="C9">
        <v>-9.4583159999999999</v>
      </c>
      <c r="D9" t="s">
        <v>130</v>
      </c>
      <c r="E9">
        <f t="shared" si="0"/>
        <v>434.96484400000008</v>
      </c>
      <c r="F9">
        <v>70</v>
      </c>
      <c r="G9">
        <f t="shared" si="1"/>
        <v>7.5595411758815763</v>
      </c>
    </row>
    <row r="10" spans="1:14" x14ac:dyDescent="0.25">
      <c r="A10">
        <v>1000</v>
      </c>
      <c r="B10">
        <v>1915.903442</v>
      </c>
      <c r="C10">
        <v>-9.3801240000000004</v>
      </c>
      <c r="D10" t="s">
        <v>131</v>
      </c>
      <c r="E10">
        <f t="shared" si="0"/>
        <v>431.90344200000004</v>
      </c>
      <c r="F10">
        <v>80</v>
      </c>
      <c r="G10">
        <f t="shared" si="1"/>
        <v>7.557944561645038</v>
      </c>
    </row>
    <row r="11" spans="1:14" x14ac:dyDescent="0.25">
      <c r="A11">
        <v>1000</v>
      </c>
      <c r="B11">
        <v>1914.1419679999999</v>
      </c>
      <c r="C11">
        <v>-9.3210420000000003</v>
      </c>
      <c r="D11" t="s">
        <v>132</v>
      </c>
      <c r="E11">
        <f t="shared" si="0"/>
        <v>430.14196799999991</v>
      </c>
      <c r="F11">
        <v>90</v>
      </c>
      <c r="G11">
        <f t="shared" si="1"/>
        <v>7.5570247427209098</v>
      </c>
    </row>
    <row r="12" spans="1:14" x14ac:dyDescent="0.25">
      <c r="A12">
        <v>1000</v>
      </c>
      <c r="B12">
        <v>1911.1782229999999</v>
      </c>
      <c r="C12">
        <v>-9.2691330000000001</v>
      </c>
      <c r="D12" t="s">
        <v>133</v>
      </c>
      <c r="E12">
        <f t="shared" si="0"/>
        <v>427.17822299999989</v>
      </c>
      <c r="F12">
        <v>100</v>
      </c>
      <c r="G12">
        <f t="shared" si="1"/>
        <v>7.5554752015347955</v>
      </c>
    </row>
    <row r="13" spans="1:14" x14ac:dyDescent="0.25">
      <c r="A13">
        <v>1000</v>
      </c>
      <c r="B13">
        <v>1911.2270510000001</v>
      </c>
      <c r="C13">
        <v>-9.2373309999999993</v>
      </c>
      <c r="D13" t="s">
        <v>134</v>
      </c>
      <c r="E13">
        <f t="shared" si="0"/>
        <v>427.22705100000007</v>
      </c>
      <c r="F13">
        <v>110</v>
      </c>
      <c r="G13">
        <f t="shared" si="1"/>
        <v>7.5555007498461348</v>
      </c>
    </row>
    <row r="14" spans="1:14" x14ac:dyDescent="0.25">
      <c r="A14">
        <v>1000</v>
      </c>
      <c r="B14">
        <v>1907.732788</v>
      </c>
      <c r="C14">
        <v>-9.1745350000000006</v>
      </c>
      <c r="D14" t="s">
        <v>135</v>
      </c>
      <c r="E14">
        <f t="shared" si="0"/>
        <v>423.73278800000003</v>
      </c>
      <c r="F14">
        <v>120</v>
      </c>
      <c r="G14">
        <f t="shared" si="1"/>
        <v>7.5536707939825352</v>
      </c>
    </row>
    <row r="15" spans="1:14" x14ac:dyDescent="0.25">
      <c r="A15">
        <v>1000</v>
      </c>
      <c r="B15">
        <v>1905.6175539999999</v>
      </c>
      <c r="C15">
        <v>-9.1344560000000001</v>
      </c>
      <c r="D15" t="s">
        <v>136</v>
      </c>
      <c r="E15">
        <f t="shared" si="0"/>
        <v>421.61755399999993</v>
      </c>
      <c r="F15">
        <v>130</v>
      </c>
      <c r="G15">
        <f t="shared" si="1"/>
        <v>7.5525614103554171</v>
      </c>
    </row>
    <row r="16" spans="1:14" x14ac:dyDescent="0.25">
      <c r="A16">
        <v>1000</v>
      </c>
      <c r="B16">
        <v>1905.2677000000001</v>
      </c>
      <c r="C16">
        <v>-9.0980779999999992</v>
      </c>
      <c r="D16" t="s">
        <v>137</v>
      </c>
      <c r="E16">
        <f t="shared" si="0"/>
        <v>421.2677000000001</v>
      </c>
      <c r="F16">
        <v>140</v>
      </c>
      <c r="G16">
        <f t="shared" si="1"/>
        <v>7.5523778026224813</v>
      </c>
    </row>
    <row r="17" spans="1:7" x14ac:dyDescent="0.25">
      <c r="A17">
        <v>1000</v>
      </c>
      <c r="B17">
        <v>1903.0407709999999</v>
      </c>
      <c r="C17">
        <v>-9.0484770000000001</v>
      </c>
      <c r="D17" t="s">
        <v>138</v>
      </c>
      <c r="E17">
        <f t="shared" si="0"/>
        <v>419.04077099999995</v>
      </c>
      <c r="F17">
        <v>150</v>
      </c>
      <c r="G17">
        <f t="shared" si="1"/>
        <v>7.5512082916593943</v>
      </c>
    </row>
    <row r="18" spans="1:7" x14ac:dyDescent="0.25">
      <c r="A18">
        <v>1000</v>
      </c>
      <c r="B18">
        <v>1902.706909</v>
      </c>
      <c r="C18">
        <v>-9.0260879999999997</v>
      </c>
      <c r="D18" t="s">
        <v>139</v>
      </c>
      <c r="E18">
        <f t="shared" si="0"/>
        <v>418.706909</v>
      </c>
      <c r="F18">
        <v>160</v>
      </c>
      <c r="G18">
        <f t="shared" si="1"/>
        <v>7.5510328401954885</v>
      </c>
    </row>
    <row r="19" spans="1:7" x14ac:dyDescent="0.25">
      <c r="A19">
        <v>1000</v>
      </c>
      <c r="B19">
        <v>1901.5280760000001</v>
      </c>
      <c r="C19">
        <v>-9.0045319999999993</v>
      </c>
      <c r="D19" t="s">
        <v>140</v>
      </c>
      <c r="E19">
        <f t="shared" si="0"/>
        <v>417.52807600000006</v>
      </c>
      <c r="F19">
        <v>170</v>
      </c>
      <c r="G19">
        <f t="shared" si="1"/>
        <v>7.5504130924446899</v>
      </c>
    </row>
    <row r="20" spans="1:7" x14ac:dyDescent="0.25">
      <c r="A20">
        <v>1000</v>
      </c>
      <c r="B20">
        <v>1900.768311</v>
      </c>
      <c r="C20">
        <v>-8.9588509999999992</v>
      </c>
      <c r="D20" t="s">
        <v>6</v>
      </c>
      <c r="E20">
        <f t="shared" si="0"/>
        <v>416.76831100000004</v>
      </c>
      <c r="F20">
        <v>180</v>
      </c>
      <c r="G20">
        <f t="shared" si="1"/>
        <v>7.5500134576278413</v>
      </c>
    </row>
    <row r="21" spans="1:7" x14ac:dyDescent="0.25">
      <c r="A21">
        <v>1000</v>
      </c>
      <c r="B21">
        <v>1899.0631100000001</v>
      </c>
      <c r="C21">
        <v>-8.9262029999999992</v>
      </c>
      <c r="D21" t="s">
        <v>7</v>
      </c>
      <c r="E21">
        <f t="shared" si="0"/>
        <v>415.06311000000005</v>
      </c>
      <c r="F21">
        <v>190</v>
      </c>
      <c r="G21">
        <f t="shared" si="1"/>
        <v>7.5491159435407464</v>
      </c>
    </row>
    <row r="22" spans="1:7" x14ac:dyDescent="0.25">
      <c r="A22">
        <v>1000</v>
      </c>
      <c r="B22">
        <v>1898.0079350000001</v>
      </c>
      <c r="C22">
        <v>-8.8983089999999994</v>
      </c>
      <c r="D22" t="s">
        <v>8</v>
      </c>
      <c r="E22">
        <f t="shared" si="0"/>
        <v>414.00793500000009</v>
      </c>
      <c r="F22">
        <v>200</v>
      </c>
      <c r="G22">
        <f t="shared" si="1"/>
        <v>7.5485601598776775</v>
      </c>
    </row>
    <row r="23" spans="1:7" x14ac:dyDescent="0.25">
      <c r="A23">
        <v>1000</v>
      </c>
      <c r="B23">
        <v>1896.5155030000001</v>
      </c>
      <c r="C23">
        <v>-8.8637619999999995</v>
      </c>
      <c r="D23" t="s">
        <v>9</v>
      </c>
      <c r="E23">
        <f t="shared" si="0"/>
        <v>412.51550300000008</v>
      </c>
      <c r="F23">
        <v>210</v>
      </c>
      <c r="G23">
        <f t="shared" si="1"/>
        <v>7.5477735356275755</v>
      </c>
    </row>
    <row r="24" spans="1:7" x14ac:dyDescent="0.25">
      <c r="A24">
        <v>1000</v>
      </c>
      <c r="B24">
        <v>1895.359375</v>
      </c>
      <c r="C24">
        <v>-8.8237229999999993</v>
      </c>
      <c r="D24" t="s">
        <v>141</v>
      </c>
      <c r="E24">
        <f t="shared" si="0"/>
        <v>411.359375</v>
      </c>
      <c r="F24">
        <v>220</v>
      </c>
      <c r="G24">
        <f t="shared" si="1"/>
        <v>7.5471637433358865</v>
      </c>
    </row>
    <row r="25" spans="1:7" x14ac:dyDescent="0.25">
      <c r="A25">
        <v>1000</v>
      </c>
      <c r="B25">
        <v>1895.044067</v>
      </c>
      <c r="C25">
        <v>-8.8061699999999998</v>
      </c>
      <c r="D25" t="s">
        <v>11</v>
      </c>
      <c r="E25">
        <f t="shared" si="0"/>
        <v>411.04406700000004</v>
      </c>
      <c r="F25">
        <v>230</v>
      </c>
      <c r="G25">
        <f t="shared" si="1"/>
        <v>7.5469973715997103</v>
      </c>
    </row>
    <row r="26" spans="1:7" x14ac:dyDescent="0.25">
      <c r="A26">
        <v>1000</v>
      </c>
      <c r="B26">
        <v>1894.5288089999999</v>
      </c>
      <c r="C26">
        <v>-8.7852549999999994</v>
      </c>
      <c r="D26" t="s">
        <v>12</v>
      </c>
      <c r="E26">
        <f t="shared" si="0"/>
        <v>410.52880899999991</v>
      </c>
      <c r="F26">
        <v>240</v>
      </c>
      <c r="G26">
        <f t="shared" si="1"/>
        <v>7.5467254369938672</v>
      </c>
    </row>
    <row r="27" spans="1:7" x14ac:dyDescent="0.25">
      <c r="A27">
        <v>1000</v>
      </c>
      <c r="B27">
        <v>1893.425293</v>
      </c>
      <c r="C27">
        <v>-8.7549969999999995</v>
      </c>
      <c r="D27" t="s">
        <v>13</v>
      </c>
      <c r="E27">
        <f t="shared" si="0"/>
        <v>409.42529300000001</v>
      </c>
      <c r="F27">
        <v>250</v>
      </c>
      <c r="G27">
        <f t="shared" si="1"/>
        <v>7.54614279211407</v>
      </c>
    </row>
    <row r="28" spans="1:7" x14ac:dyDescent="0.25">
      <c r="A28">
        <v>1000</v>
      </c>
      <c r="B28">
        <v>1892.1729740000001</v>
      </c>
      <c r="C28">
        <v>-8.7219800000000003</v>
      </c>
      <c r="D28" t="s">
        <v>142</v>
      </c>
      <c r="E28">
        <f t="shared" si="0"/>
        <v>408.17297400000007</v>
      </c>
      <c r="F28">
        <v>260</v>
      </c>
      <c r="G28">
        <f t="shared" si="1"/>
        <v>7.5454811693229775</v>
      </c>
    </row>
    <row r="29" spans="1:7" x14ac:dyDescent="0.25">
      <c r="A29">
        <v>1000</v>
      </c>
      <c r="B29">
        <v>1891.5791019999999</v>
      </c>
      <c r="C29">
        <v>-8.7015170000000008</v>
      </c>
      <c r="D29" t="s">
        <v>15</v>
      </c>
      <c r="E29">
        <f t="shared" si="0"/>
        <v>407.57910199999992</v>
      </c>
      <c r="F29">
        <v>270</v>
      </c>
      <c r="G29">
        <f t="shared" si="1"/>
        <v>7.5451672629184632</v>
      </c>
    </row>
    <row r="30" spans="1:7" x14ac:dyDescent="0.25">
      <c r="A30">
        <v>1000</v>
      </c>
      <c r="B30">
        <v>1890.391357</v>
      </c>
      <c r="C30">
        <v>-8.6797970000000007</v>
      </c>
      <c r="D30" t="s">
        <v>16</v>
      </c>
      <c r="E30">
        <f t="shared" si="0"/>
        <v>406.39135699999997</v>
      </c>
      <c r="F30">
        <v>280</v>
      </c>
      <c r="G30">
        <f t="shared" si="1"/>
        <v>7.5445391538140028</v>
      </c>
    </row>
    <row r="31" spans="1:7" x14ac:dyDescent="0.25">
      <c r="A31">
        <v>1000</v>
      </c>
      <c r="B31">
        <v>1890.241211</v>
      </c>
      <c r="C31">
        <v>-8.6747289999999992</v>
      </c>
      <c r="D31" t="s">
        <v>143</v>
      </c>
      <c r="E31">
        <f t="shared" si="0"/>
        <v>406.24121100000002</v>
      </c>
      <c r="F31">
        <v>290</v>
      </c>
      <c r="G31">
        <f t="shared" si="1"/>
        <v>7.5444597247780525</v>
      </c>
    </row>
    <row r="32" spans="1:7" x14ac:dyDescent="0.25">
      <c r="A32">
        <v>1000</v>
      </c>
      <c r="B32">
        <v>1889.1301269999999</v>
      </c>
      <c r="C32">
        <v>-8.6328870000000002</v>
      </c>
      <c r="D32" t="s">
        <v>18</v>
      </c>
      <c r="E32">
        <f t="shared" si="0"/>
        <v>405.1301269999999</v>
      </c>
      <c r="F32">
        <v>300</v>
      </c>
      <c r="G32">
        <f t="shared" si="1"/>
        <v>7.5438717518414755</v>
      </c>
    </row>
    <row r="33" spans="1:7" x14ac:dyDescent="0.25">
      <c r="A33">
        <v>1000</v>
      </c>
      <c r="B33">
        <v>1888.347168</v>
      </c>
      <c r="C33">
        <v>-8.6177240000000008</v>
      </c>
      <c r="D33" t="s">
        <v>19</v>
      </c>
      <c r="E33">
        <f t="shared" si="0"/>
        <v>404.34716800000001</v>
      </c>
      <c r="F33">
        <v>310</v>
      </c>
      <c r="G33">
        <f t="shared" si="1"/>
        <v>7.543457211157274</v>
      </c>
    </row>
    <row r="34" spans="1:7" x14ac:dyDescent="0.25">
      <c r="A34">
        <v>1000</v>
      </c>
      <c r="B34">
        <v>1887.3718260000001</v>
      </c>
      <c r="C34">
        <v>-8.5811410000000006</v>
      </c>
      <c r="D34" t="s">
        <v>20</v>
      </c>
      <c r="E34">
        <f t="shared" si="0"/>
        <v>403.37182600000006</v>
      </c>
      <c r="F34">
        <v>320</v>
      </c>
      <c r="G34">
        <f t="shared" si="1"/>
        <v>7.5429405720624452</v>
      </c>
    </row>
    <row r="35" spans="1:7" x14ac:dyDescent="0.25">
      <c r="A35">
        <v>1000</v>
      </c>
      <c r="B35">
        <v>1886.9003909999999</v>
      </c>
      <c r="C35">
        <v>-8.5632190000000001</v>
      </c>
      <c r="D35" t="s">
        <v>21</v>
      </c>
      <c r="E35">
        <f t="shared" si="0"/>
        <v>402.9003909999999</v>
      </c>
      <c r="F35">
        <v>330</v>
      </c>
      <c r="G35">
        <f t="shared" si="1"/>
        <v>7.5426907570118358</v>
      </c>
    </row>
    <row r="36" spans="1:7" x14ac:dyDescent="0.25">
      <c r="A36">
        <v>1000</v>
      </c>
      <c r="B36">
        <v>1885.88147</v>
      </c>
      <c r="C36">
        <v>-8.5399419999999999</v>
      </c>
      <c r="D36" t="s">
        <v>22</v>
      </c>
      <c r="E36">
        <f t="shared" si="0"/>
        <v>401.88147000000004</v>
      </c>
      <c r="F36">
        <v>340</v>
      </c>
      <c r="G36">
        <f t="shared" si="1"/>
        <v>7.5421506139225647</v>
      </c>
    </row>
    <row r="37" spans="1:7" x14ac:dyDescent="0.25">
      <c r="A37">
        <v>1000</v>
      </c>
      <c r="B37">
        <v>1885.039307</v>
      </c>
      <c r="C37">
        <v>-8.5225659999999994</v>
      </c>
      <c r="D37" t="s">
        <v>144</v>
      </c>
      <c r="E37">
        <f t="shared" si="0"/>
        <v>401.03930700000001</v>
      </c>
      <c r="F37">
        <v>350</v>
      </c>
      <c r="G37">
        <f t="shared" si="1"/>
        <v>7.5417039521845943</v>
      </c>
    </row>
    <row r="38" spans="1:7" x14ac:dyDescent="0.25">
      <c r="A38">
        <v>1000</v>
      </c>
      <c r="B38">
        <v>1884.4025879999999</v>
      </c>
      <c r="C38">
        <v>-8.4806159999999995</v>
      </c>
      <c r="D38" t="s">
        <v>24</v>
      </c>
      <c r="E38">
        <f t="shared" si="0"/>
        <v>400.40258799999992</v>
      </c>
      <c r="F38">
        <v>360</v>
      </c>
      <c r="G38">
        <f t="shared" si="1"/>
        <v>7.5413661202063906</v>
      </c>
    </row>
    <row r="39" spans="1:7" x14ac:dyDescent="0.25">
      <c r="A39">
        <v>1000</v>
      </c>
      <c r="B39">
        <v>1883.1511230000001</v>
      </c>
      <c r="C39">
        <v>-8.4452079999999992</v>
      </c>
      <c r="D39" t="s">
        <v>25</v>
      </c>
      <c r="E39">
        <f t="shared" si="0"/>
        <v>399.1511230000001</v>
      </c>
      <c r="F39">
        <v>370</v>
      </c>
      <c r="G39">
        <f t="shared" si="1"/>
        <v>7.5407017819423476</v>
      </c>
    </row>
    <row r="40" spans="1:7" x14ac:dyDescent="0.25">
      <c r="A40">
        <v>1000</v>
      </c>
      <c r="B40">
        <v>1882.727905</v>
      </c>
      <c r="C40">
        <v>-8.4190889999999996</v>
      </c>
      <c r="D40" t="s">
        <v>26</v>
      </c>
      <c r="E40">
        <f t="shared" si="0"/>
        <v>398.72790499999996</v>
      </c>
      <c r="F40">
        <v>380</v>
      </c>
      <c r="G40">
        <f t="shared" si="1"/>
        <v>7.5404770174193052</v>
      </c>
    </row>
    <row r="41" spans="1:7" x14ac:dyDescent="0.25">
      <c r="A41">
        <v>1000</v>
      </c>
      <c r="B41">
        <v>1883.155518</v>
      </c>
      <c r="C41">
        <v>-8.4079549999999994</v>
      </c>
      <c r="D41" t="s">
        <v>27</v>
      </c>
      <c r="E41">
        <f t="shared" si="0"/>
        <v>399.15551800000003</v>
      </c>
      <c r="F41">
        <v>390</v>
      </c>
      <c r="G41">
        <f t="shared" si="1"/>
        <v>7.5407041157937407</v>
      </c>
    </row>
    <row r="42" spans="1:7" x14ac:dyDescent="0.25">
      <c r="A42">
        <v>1000</v>
      </c>
      <c r="B42">
        <v>1882.5772710000001</v>
      </c>
      <c r="C42">
        <v>-8.4012069999999994</v>
      </c>
      <c r="D42" t="s">
        <v>28</v>
      </c>
      <c r="E42">
        <f t="shared" si="0"/>
        <v>398.57727100000011</v>
      </c>
      <c r="F42">
        <v>400</v>
      </c>
      <c r="G42">
        <f t="shared" si="1"/>
        <v>7.5403970058435954</v>
      </c>
    </row>
    <row r="43" spans="1:7" x14ac:dyDescent="0.25">
      <c r="A43">
        <v>1000</v>
      </c>
      <c r="B43">
        <v>1881.1798100000001</v>
      </c>
      <c r="C43">
        <v>-8.3629300000000004</v>
      </c>
      <c r="D43" t="s">
        <v>29</v>
      </c>
      <c r="E43">
        <f t="shared" si="0"/>
        <v>397.17981000000009</v>
      </c>
      <c r="F43">
        <v>410</v>
      </c>
      <c r="G43">
        <f t="shared" si="1"/>
        <v>7.5396544175021365</v>
      </c>
    </row>
    <row r="44" spans="1:7" x14ac:dyDescent="0.25">
      <c r="A44">
        <v>1000</v>
      </c>
      <c r="B44">
        <v>1880.113159</v>
      </c>
      <c r="C44">
        <v>-8.3194079999999992</v>
      </c>
      <c r="D44" t="s">
        <v>30</v>
      </c>
      <c r="E44">
        <f t="shared" si="0"/>
        <v>396.113159</v>
      </c>
      <c r="F44">
        <v>420</v>
      </c>
      <c r="G44">
        <f t="shared" si="1"/>
        <v>7.5390872449700383</v>
      </c>
    </row>
    <row r="45" spans="1:7" x14ac:dyDescent="0.25">
      <c r="A45">
        <v>1000</v>
      </c>
      <c r="B45">
        <v>1879.646606</v>
      </c>
      <c r="C45">
        <v>-8.3066499999999994</v>
      </c>
      <c r="D45" t="s">
        <v>145</v>
      </c>
      <c r="E45">
        <f t="shared" si="0"/>
        <v>395.64660600000002</v>
      </c>
      <c r="F45">
        <v>430</v>
      </c>
      <c r="G45">
        <f t="shared" si="1"/>
        <v>7.5388390626224657</v>
      </c>
    </row>
    <row r="46" spans="1:7" x14ac:dyDescent="0.25">
      <c r="A46">
        <v>1000</v>
      </c>
      <c r="B46">
        <v>1879.997314</v>
      </c>
      <c r="C46">
        <v>-8.2766789999999997</v>
      </c>
      <c r="D46" t="s">
        <v>146</v>
      </c>
      <c r="E46">
        <f t="shared" si="0"/>
        <v>395.99731399999996</v>
      </c>
      <c r="F46">
        <v>440</v>
      </c>
      <c r="G46">
        <f t="shared" si="1"/>
        <v>7.5390256270995701</v>
      </c>
    </row>
    <row r="47" spans="1:7" x14ac:dyDescent="0.25">
      <c r="A47">
        <v>1000</v>
      </c>
      <c r="B47">
        <v>1878.7108149999999</v>
      </c>
      <c r="C47">
        <v>-8.2504229999999996</v>
      </c>
      <c r="D47" t="s">
        <v>147</v>
      </c>
      <c r="E47">
        <f t="shared" si="0"/>
        <v>394.71081499999991</v>
      </c>
      <c r="F47">
        <v>450</v>
      </c>
      <c r="G47">
        <f t="shared" si="1"/>
        <v>7.5383410838969134</v>
      </c>
    </row>
    <row r="48" spans="1:7" x14ac:dyDescent="0.25">
      <c r="A48">
        <v>1000</v>
      </c>
      <c r="B48">
        <v>1878.093384</v>
      </c>
      <c r="C48">
        <v>-8.2348110000000005</v>
      </c>
      <c r="D48" t="s">
        <v>34</v>
      </c>
      <c r="E48">
        <f t="shared" si="0"/>
        <v>394.09338400000001</v>
      </c>
      <c r="F48">
        <v>460</v>
      </c>
      <c r="G48">
        <f t="shared" si="1"/>
        <v>7.5380123837715658</v>
      </c>
    </row>
    <row r="49" spans="1:7" x14ac:dyDescent="0.25">
      <c r="A49">
        <v>1000</v>
      </c>
      <c r="B49">
        <v>1878.5692140000001</v>
      </c>
      <c r="C49">
        <v>-8.2282390000000003</v>
      </c>
      <c r="D49" t="s">
        <v>35</v>
      </c>
      <c r="E49">
        <f t="shared" si="0"/>
        <v>394.5692140000001</v>
      </c>
      <c r="F49">
        <v>470</v>
      </c>
      <c r="G49">
        <f t="shared" si="1"/>
        <v>7.5382657096905872</v>
      </c>
    </row>
    <row r="50" spans="1:7" x14ac:dyDescent="0.25">
      <c r="A50">
        <v>1000</v>
      </c>
      <c r="B50">
        <v>1877.0523679999999</v>
      </c>
      <c r="C50">
        <v>-8.2024620000000006</v>
      </c>
      <c r="D50" t="s">
        <v>36</v>
      </c>
      <c r="E50">
        <f t="shared" si="0"/>
        <v>393.05236799999989</v>
      </c>
      <c r="F50">
        <v>480</v>
      </c>
      <c r="G50">
        <f t="shared" si="1"/>
        <v>7.5374579360374856</v>
      </c>
    </row>
    <row r="51" spans="1:7" x14ac:dyDescent="0.25">
      <c r="A51">
        <v>1000</v>
      </c>
      <c r="B51">
        <v>1877.3896480000001</v>
      </c>
      <c r="C51">
        <v>-8.191808</v>
      </c>
      <c r="D51" t="s">
        <v>37</v>
      </c>
      <c r="E51">
        <f t="shared" si="0"/>
        <v>393.38964800000008</v>
      </c>
      <c r="F51">
        <v>490</v>
      </c>
      <c r="G51">
        <f t="shared" si="1"/>
        <v>7.5376376058789534</v>
      </c>
    </row>
    <row r="52" spans="1:7" x14ac:dyDescent="0.25">
      <c r="A52">
        <v>1000</v>
      </c>
      <c r="B52">
        <v>1876.444702</v>
      </c>
      <c r="C52">
        <v>-8.146414</v>
      </c>
      <c r="D52" t="s">
        <v>38</v>
      </c>
      <c r="E52">
        <f t="shared" si="0"/>
        <v>392.44470200000001</v>
      </c>
      <c r="F52">
        <v>500</v>
      </c>
      <c r="G52">
        <f t="shared" si="1"/>
        <v>7.5371341494491517</v>
      </c>
    </row>
    <row r="53" spans="1:7" x14ac:dyDescent="0.25">
      <c r="A53">
        <v>1000</v>
      </c>
      <c r="B53">
        <v>1876.1453859999999</v>
      </c>
      <c r="C53">
        <v>-8.1267420000000001</v>
      </c>
      <c r="D53" t="s">
        <v>39</v>
      </c>
      <c r="E53">
        <f t="shared" si="0"/>
        <v>392.14538599999992</v>
      </c>
      <c r="F53">
        <v>510</v>
      </c>
      <c r="G53">
        <f t="shared" si="1"/>
        <v>7.5369746244311688</v>
      </c>
    </row>
    <row r="54" spans="1:7" x14ac:dyDescent="0.25">
      <c r="A54">
        <v>1000</v>
      </c>
      <c r="B54">
        <v>1875.4135739999999</v>
      </c>
      <c r="C54">
        <v>-8.0917449999999995</v>
      </c>
      <c r="D54" t="s">
        <v>40</v>
      </c>
      <c r="E54">
        <f t="shared" si="0"/>
        <v>391.41357399999993</v>
      </c>
      <c r="F54">
        <v>520</v>
      </c>
      <c r="G54">
        <f t="shared" si="1"/>
        <v>7.5365844868819076</v>
      </c>
    </row>
    <row r="55" spans="1:7" x14ac:dyDescent="0.25">
      <c r="A55">
        <v>1000</v>
      </c>
      <c r="B55">
        <v>1875.281982</v>
      </c>
      <c r="C55">
        <v>-8.0736860000000004</v>
      </c>
      <c r="D55" t="s">
        <v>41</v>
      </c>
      <c r="E55">
        <f t="shared" si="0"/>
        <v>391.28198199999997</v>
      </c>
      <c r="F55">
        <v>530</v>
      </c>
      <c r="G55">
        <f t="shared" si="1"/>
        <v>7.5365143174970086</v>
      </c>
    </row>
    <row r="56" spans="1:7" x14ac:dyDescent="0.25">
      <c r="A56">
        <v>1000</v>
      </c>
      <c r="B56">
        <v>1873.8314210000001</v>
      </c>
      <c r="C56">
        <v>-8.0511879999999998</v>
      </c>
      <c r="D56" t="s">
        <v>42</v>
      </c>
      <c r="E56">
        <f t="shared" si="0"/>
        <v>389.83142100000009</v>
      </c>
      <c r="F56">
        <v>540</v>
      </c>
      <c r="G56">
        <f t="shared" si="1"/>
        <v>7.5357405019750665</v>
      </c>
    </row>
    <row r="57" spans="1:7" x14ac:dyDescent="0.25">
      <c r="A57">
        <v>1000</v>
      </c>
      <c r="B57">
        <v>1873.776001</v>
      </c>
      <c r="C57">
        <v>-8.0478000000000005</v>
      </c>
      <c r="D57" t="s">
        <v>43</v>
      </c>
      <c r="E57">
        <f t="shared" si="0"/>
        <v>389.77600099999995</v>
      </c>
      <c r="F57">
        <v>550</v>
      </c>
      <c r="G57">
        <f t="shared" si="1"/>
        <v>7.5357109257714976</v>
      </c>
    </row>
    <row r="58" spans="1:7" x14ac:dyDescent="0.25">
      <c r="A58">
        <v>1000</v>
      </c>
      <c r="B58">
        <v>1874.075439</v>
      </c>
      <c r="C58">
        <v>-8.036721</v>
      </c>
      <c r="D58" t="s">
        <v>44</v>
      </c>
      <c r="E58">
        <f t="shared" si="0"/>
        <v>390.07543899999996</v>
      </c>
      <c r="F58">
        <v>560</v>
      </c>
      <c r="G58">
        <f t="shared" si="1"/>
        <v>7.5358707175911208</v>
      </c>
    </row>
    <row r="59" spans="1:7" x14ac:dyDescent="0.25">
      <c r="A59">
        <v>1000</v>
      </c>
      <c r="B59">
        <v>1873.737427</v>
      </c>
      <c r="C59">
        <v>-8.0124049999999993</v>
      </c>
      <c r="D59" t="s">
        <v>45</v>
      </c>
      <c r="E59">
        <f t="shared" si="0"/>
        <v>389.73742700000003</v>
      </c>
      <c r="F59">
        <v>570</v>
      </c>
      <c r="G59">
        <f t="shared" si="1"/>
        <v>7.5356903393209125</v>
      </c>
    </row>
    <row r="60" spans="1:7" x14ac:dyDescent="0.25">
      <c r="A60">
        <v>1000</v>
      </c>
      <c r="B60">
        <v>1873.440063</v>
      </c>
      <c r="C60">
        <v>-7.9843469999999996</v>
      </c>
      <c r="D60" t="s">
        <v>46</v>
      </c>
      <c r="E60">
        <f t="shared" si="0"/>
        <v>389.44006300000001</v>
      </c>
      <c r="F60">
        <v>580</v>
      </c>
      <c r="G60">
        <f t="shared" si="1"/>
        <v>7.5355316257283924</v>
      </c>
    </row>
    <row r="61" spans="1:7" x14ac:dyDescent="0.25">
      <c r="A61">
        <v>1000</v>
      </c>
      <c r="B61">
        <v>1872.682251</v>
      </c>
      <c r="C61">
        <v>-7.9698399999999996</v>
      </c>
      <c r="D61" t="s">
        <v>148</v>
      </c>
      <c r="E61">
        <f t="shared" si="0"/>
        <v>388.68225099999995</v>
      </c>
      <c r="F61">
        <v>590</v>
      </c>
      <c r="G61">
        <f t="shared" si="1"/>
        <v>7.5351270409621636</v>
      </c>
    </row>
    <row r="62" spans="1:7" x14ac:dyDescent="0.25">
      <c r="A62">
        <v>1000</v>
      </c>
      <c r="B62">
        <v>1872.5070800000001</v>
      </c>
      <c r="C62">
        <v>-7.9652640000000003</v>
      </c>
      <c r="D62" t="s">
        <v>48</v>
      </c>
      <c r="E62">
        <f t="shared" si="0"/>
        <v>388.50708000000009</v>
      </c>
      <c r="F62">
        <v>600</v>
      </c>
      <c r="G62">
        <f t="shared" si="1"/>
        <v>7.5350334964256147</v>
      </c>
    </row>
    <row r="63" spans="1:7" x14ac:dyDescent="0.25">
      <c r="A63">
        <v>1000</v>
      </c>
      <c r="B63">
        <v>1872.773682</v>
      </c>
      <c r="C63">
        <v>-7.9398419999999996</v>
      </c>
      <c r="D63" t="s">
        <v>49</v>
      </c>
      <c r="E63">
        <f t="shared" si="0"/>
        <v>388.77368200000001</v>
      </c>
      <c r="F63">
        <v>610</v>
      </c>
      <c r="G63">
        <f t="shared" si="1"/>
        <v>7.5351758633227277</v>
      </c>
    </row>
    <row r="64" spans="1:7" x14ac:dyDescent="0.25">
      <c r="A64">
        <v>1000</v>
      </c>
      <c r="B64">
        <v>1870.9526370000001</v>
      </c>
      <c r="C64">
        <v>-7.9316180000000003</v>
      </c>
      <c r="D64" t="s">
        <v>50</v>
      </c>
      <c r="E64">
        <f t="shared" si="0"/>
        <v>386.9526370000001</v>
      </c>
      <c r="F64">
        <v>620</v>
      </c>
      <c r="G64">
        <f t="shared" si="1"/>
        <v>7.5342030116832346</v>
      </c>
    </row>
    <row r="65" spans="1:7" x14ac:dyDescent="0.25">
      <c r="A65">
        <v>1000</v>
      </c>
      <c r="B65">
        <v>1871.29187</v>
      </c>
      <c r="C65">
        <v>-7.8819359999999996</v>
      </c>
      <c r="D65" t="s">
        <v>51</v>
      </c>
      <c r="E65">
        <f t="shared" si="0"/>
        <v>387.29187000000002</v>
      </c>
      <c r="F65">
        <v>630</v>
      </c>
      <c r="G65">
        <f t="shared" si="1"/>
        <v>7.5343843109010136</v>
      </c>
    </row>
    <row r="66" spans="1:7" x14ac:dyDescent="0.25">
      <c r="A66">
        <v>1000</v>
      </c>
      <c r="B66">
        <v>1871.3011469999999</v>
      </c>
      <c r="C66">
        <v>-7.8944210000000004</v>
      </c>
      <c r="D66" t="s">
        <v>52</v>
      </c>
      <c r="E66">
        <f t="shared" si="0"/>
        <v>387.3011469999999</v>
      </c>
      <c r="F66">
        <v>640</v>
      </c>
      <c r="G66">
        <f t="shared" si="1"/>
        <v>7.5343892684264286</v>
      </c>
    </row>
    <row r="67" spans="1:7" x14ac:dyDescent="0.25">
      <c r="A67">
        <v>1000</v>
      </c>
      <c r="B67">
        <v>1870.5618899999999</v>
      </c>
      <c r="C67">
        <v>-7.8479619999999999</v>
      </c>
      <c r="D67" t="s">
        <v>149</v>
      </c>
      <c r="E67">
        <f t="shared" ref="E67:E130" si="2">B67-N$3</f>
        <v>386.56188999999995</v>
      </c>
      <c r="F67">
        <v>650</v>
      </c>
      <c r="G67">
        <f t="shared" ref="G67:G125" si="3">LN(B67)</f>
        <v>7.5339941406506084</v>
      </c>
    </row>
    <row r="68" spans="1:7" x14ac:dyDescent="0.25">
      <c r="A68">
        <v>1000</v>
      </c>
      <c r="B68">
        <v>1870.2791749999999</v>
      </c>
      <c r="C68">
        <v>-7.8449980000000004</v>
      </c>
      <c r="D68" t="s">
        <v>54</v>
      </c>
      <c r="E68">
        <f t="shared" si="2"/>
        <v>386.2791749999999</v>
      </c>
      <c r="F68">
        <v>660</v>
      </c>
      <c r="G68">
        <f t="shared" si="3"/>
        <v>7.5338429901496236</v>
      </c>
    </row>
    <row r="69" spans="1:7" x14ac:dyDescent="0.25">
      <c r="A69">
        <v>1000</v>
      </c>
      <c r="B69">
        <v>1869.661865</v>
      </c>
      <c r="C69">
        <v>-7.8220340000000004</v>
      </c>
      <c r="D69" t="s">
        <v>55</v>
      </c>
      <c r="E69">
        <f t="shared" si="2"/>
        <v>385.66186500000003</v>
      </c>
      <c r="F69">
        <v>670</v>
      </c>
      <c r="G69">
        <f t="shared" si="3"/>
        <v>7.5335128726429552</v>
      </c>
    </row>
    <row r="70" spans="1:7" x14ac:dyDescent="0.25">
      <c r="A70">
        <v>1000</v>
      </c>
      <c r="B70">
        <v>1869.3847659999999</v>
      </c>
      <c r="C70">
        <v>-7.8009839999999997</v>
      </c>
      <c r="D70" t="s">
        <v>56</v>
      </c>
      <c r="E70">
        <f t="shared" si="2"/>
        <v>385.3847659999999</v>
      </c>
      <c r="F70">
        <v>680</v>
      </c>
      <c r="G70">
        <f t="shared" si="3"/>
        <v>7.5333646535765171</v>
      </c>
    </row>
    <row r="71" spans="1:7" x14ac:dyDescent="0.25">
      <c r="A71">
        <v>1000</v>
      </c>
      <c r="B71">
        <v>1869.04126</v>
      </c>
      <c r="C71">
        <v>-7.7821189999999998</v>
      </c>
      <c r="D71" t="s">
        <v>57</v>
      </c>
      <c r="E71">
        <f t="shared" si="2"/>
        <v>385.04125999999997</v>
      </c>
      <c r="F71">
        <v>690</v>
      </c>
      <c r="G71">
        <f t="shared" si="3"/>
        <v>7.5331808831883498</v>
      </c>
    </row>
    <row r="72" spans="1:7" x14ac:dyDescent="0.25">
      <c r="A72">
        <v>1000</v>
      </c>
      <c r="B72">
        <v>1868.7413329999999</v>
      </c>
      <c r="C72">
        <v>-7.767817</v>
      </c>
      <c r="D72" t="s">
        <v>58</v>
      </c>
      <c r="E72">
        <f t="shared" si="2"/>
        <v>384.74133299999994</v>
      </c>
      <c r="F72">
        <v>700</v>
      </c>
      <c r="G72">
        <f t="shared" si="3"/>
        <v>7.5330203992687101</v>
      </c>
    </row>
    <row r="73" spans="1:7" x14ac:dyDescent="0.25">
      <c r="A73">
        <v>1000</v>
      </c>
      <c r="B73">
        <v>1869.1697999999999</v>
      </c>
      <c r="C73">
        <v>-7.7622429999999998</v>
      </c>
      <c r="D73" t="s">
        <v>59</v>
      </c>
      <c r="E73">
        <f t="shared" si="2"/>
        <v>385.1697999999999</v>
      </c>
      <c r="F73">
        <v>710</v>
      </c>
      <c r="G73">
        <f t="shared" si="3"/>
        <v>7.5332496540511968</v>
      </c>
    </row>
    <row r="74" spans="1:7" x14ac:dyDescent="0.25">
      <c r="A74">
        <v>1000</v>
      </c>
      <c r="B74">
        <v>1868.7889399999999</v>
      </c>
      <c r="C74">
        <v>-7.7207699999999999</v>
      </c>
      <c r="D74" t="s">
        <v>150</v>
      </c>
      <c r="E74">
        <f t="shared" si="2"/>
        <v>384.78893999999991</v>
      </c>
      <c r="F74">
        <v>720</v>
      </c>
      <c r="G74">
        <f t="shared" si="3"/>
        <v>7.5330458743800941</v>
      </c>
    </row>
    <row r="75" spans="1:7" x14ac:dyDescent="0.25">
      <c r="A75">
        <v>1000</v>
      </c>
      <c r="B75">
        <v>1868.164307</v>
      </c>
      <c r="C75">
        <v>-7.7115910000000003</v>
      </c>
      <c r="D75" t="s">
        <v>61</v>
      </c>
      <c r="E75">
        <f t="shared" si="2"/>
        <v>384.16430700000001</v>
      </c>
      <c r="F75">
        <v>730</v>
      </c>
      <c r="G75">
        <f t="shared" si="3"/>
        <v>7.5327115737000847</v>
      </c>
    </row>
    <row r="76" spans="1:7" x14ac:dyDescent="0.25">
      <c r="A76">
        <v>1000</v>
      </c>
      <c r="B76">
        <v>1868.205811</v>
      </c>
      <c r="C76">
        <v>-7.7215210000000001</v>
      </c>
      <c r="D76" t="s">
        <v>62</v>
      </c>
      <c r="E76">
        <f t="shared" si="2"/>
        <v>384.20581100000004</v>
      </c>
      <c r="F76">
        <v>740</v>
      </c>
      <c r="G76">
        <f t="shared" si="3"/>
        <v>7.5327337899145874</v>
      </c>
    </row>
    <row r="77" spans="1:7" x14ac:dyDescent="0.25">
      <c r="A77">
        <v>1000</v>
      </c>
      <c r="B77">
        <v>1867.3729249999999</v>
      </c>
      <c r="C77">
        <v>-7.6978070000000001</v>
      </c>
      <c r="D77" t="s">
        <v>63</v>
      </c>
      <c r="E77">
        <f t="shared" si="2"/>
        <v>383.3729249999999</v>
      </c>
      <c r="F77">
        <v>750</v>
      </c>
      <c r="G77">
        <f t="shared" si="3"/>
        <v>7.5322878691763764</v>
      </c>
    </row>
    <row r="78" spans="1:7" x14ac:dyDescent="0.25">
      <c r="A78">
        <v>1000</v>
      </c>
      <c r="B78">
        <v>1867.26062</v>
      </c>
      <c r="C78">
        <v>-7.6785600000000001</v>
      </c>
      <c r="D78" t="s">
        <v>64</v>
      </c>
      <c r="E78">
        <f t="shared" si="2"/>
        <v>383.26062000000002</v>
      </c>
      <c r="F78">
        <v>760</v>
      </c>
      <c r="G78">
        <f t="shared" si="3"/>
        <v>7.5322277267293698</v>
      </c>
    </row>
    <row r="79" spans="1:7" x14ac:dyDescent="0.25">
      <c r="A79">
        <v>1000</v>
      </c>
      <c r="B79">
        <v>1867.2456050000001</v>
      </c>
      <c r="C79">
        <v>-7.654585</v>
      </c>
      <c r="D79" t="s">
        <v>151</v>
      </c>
      <c r="E79">
        <f t="shared" si="2"/>
        <v>383.24560500000007</v>
      </c>
      <c r="F79">
        <v>770</v>
      </c>
      <c r="G79">
        <f t="shared" si="3"/>
        <v>7.5322196855056607</v>
      </c>
    </row>
    <row r="80" spans="1:7" x14ac:dyDescent="0.25">
      <c r="A80">
        <v>1000</v>
      </c>
      <c r="B80">
        <v>1866.4194339999999</v>
      </c>
      <c r="C80">
        <v>-7.6389310000000004</v>
      </c>
      <c r="D80" t="s">
        <v>152</v>
      </c>
      <c r="E80">
        <f t="shared" si="2"/>
        <v>382.41943399999991</v>
      </c>
      <c r="F80">
        <v>780</v>
      </c>
      <c r="G80">
        <f t="shared" si="3"/>
        <v>7.5317771332119472</v>
      </c>
    </row>
    <row r="81" spans="1:7" x14ac:dyDescent="0.25">
      <c r="A81">
        <v>1000</v>
      </c>
      <c r="B81">
        <v>1865.5695800000001</v>
      </c>
      <c r="C81">
        <v>-7.6038920000000001</v>
      </c>
      <c r="D81" t="s">
        <v>67</v>
      </c>
      <c r="E81">
        <f t="shared" si="2"/>
        <v>381.56958000000009</v>
      </c>
      <c r="F81">
        <v>790</v>
      </c>
      <c r="G81">
        <f t="shared" si="3"/>
        <v>7.5313216902770925</v>
      </c>
    </row>
    <row r="82" spans="1:7" x14ac:dyDescent="0.25">
      <c r="A82">
        <v>1000</v>
      </c>
      <c r="B82">
        <v>1865.931519</v>
      </c>
      <c r="C82">
        <v>-7.6043839999999996</v>
      </c>
      <c r="D82" t="s">
        <v>68</v>
      </c>
      <c r="E82">
        <f t="shared" si="2"/>
        <v>381.93151899999998</v>
      </c>
      <c r="F82">
        <v>800</v>
      </c>
      <c r="G82">
        <f t="shared" si="3"/>
        <v>7.5315156813769377</v>
      </c>
    </row>
    <row r="83" spans="1:7" x14ac:dyDescent="0.25">
      <c r="A83">
        <v>1000</v>
      </c>
      <c r="B83">
        <v>1865.569336</v>
      </c>
      <c r="C83">
        <v>-7.5922939999999999</v>
      </c>
      <c r="D83" t="s">
        <v>69</v>
      </c>
      <c r="E83">
        <f t="shared" si="2"/>
        <v>381.56933600000002</v>
      </c>
      <c r="F83">
        <v>810</v>
      </c>
      <c r="G83">
        <f t="shared" si="3"/>
        <v>7.5313215594859289</v>
      </c>
    </row>
    <row r="84" spans="1:7" x14ac:dyDescent="0.25">
      <c r="A84">
        <v>1000</v>
      </c>
      <c r="B84">
        <v>1865.477539</v>
      </c>
      <c r="C84">
        <v>-7.5843579999999999</v>
      </c>
      <c r="D84" t="s">
        <v>70</v>
      </c>
      <c r="E84">
        <f t="shared" si="2"/>
        <v>381.47753899999998</v>
      </c>
      <c r="F84">
        <v>820</v>
      </c>
      <c r="G84">
        <f t="shared" si="3"/>
        <v>7.53127235238503</v>
      </c>
    </row>
    <row r="85" spans="1:7" x14ac:dyDescent="0.25">
      <c r="A85">
        <v>1000</v>
      </c>
      <c r="B85">
        <v>1865.4331050000001</v>
      </c>
      <c r="C85">
        <v>-7.5628419999999998</v>
      </c>
      <c r="D85" t="s">
        <v>71</v>
      </c>
      <c r="E85">
        <f t="shared" si="2"/>
        <v>381.43310500000007</v>
      </c>
      <c r="F85">
        <v>830</v>
      </c>
      <c r="G85">
        <f t="shared" si="3"/>
        <v>7.5312485329992329</v>
      </c>
    </row>
    <row r="86" spans="1:7" x14ac:dyDescent="0.25">
      <c r="A86">
        <v>1000</v>
      </c>
      <c r="B86">
        <v>1863.097168</v>
      </c>
      <c r="C86">
        <v>-7.5488270000000002</v>
      </c>
      <c r="D86" t="s">
        <v>72</v>
      </c>
      <c r="E86">
        <f t="shared" si="2"/>
        <v>379.09716800000001</v>
      </c>
      <c r="F86">
        <v>840</v>
      </c>
      <c r="G86">
        <f t="shared" si="3"/>
        <v>7.5299955259779194</v>
      </c>
    </row>
    <row r="87" spans="1:7" x14ac:dyDescent="0.25">
      <c r="A87">
        <v>1000</v>
      </c>
      <c r="B87">
        <v>1862.5419919999999</v>
      </c>
      <c r="C87">
        <v>-7.512149</v>
      </c>
      <c r="D87" t="s">
        <v>153</v>
      </c>
      <c r="E87">
        <f t="shared" si="2"/>
        <v>378.54199199999994</v>
      </c>
      <c r="F87">
        <v>850</v>
      </c>
      <c r="G87">
        <f t="shared" si="3"/>
        <v>7.5296974960398249</v>
      </c>
    </row>
    <row r="88" spans="1:7" x14ac:dyDescent="0.25">
      <c r="A88">
        <v>1000</v>
      </c>
      <c r="B88">
        <v>1862.367798</v>
      </c>
      <c r="C88">
        <v>-7.4781890000000004</v>
      </c>
      <c r="D88" t="s">
        <v>74</v>
      </c>
      <c r="E88">
        <f t="shared" si="2"/>
        <v>378.36779799999999</v>
      </c>
      <c r="F88">
        <v>860</v>
      </c>
      <c r="G88">
        <f t="shared" si="3"/>
        <v>7.5296039667948511</v>
      </c>
    </row>
    <row r="89" spans="1:7" x14ac:dyDescent="0.25">
      <c r="A89">
        <v>1000</v>
      </c>
      <c r="B89">
        <v>1861.653198</v>
      </c>
      <c r="C89">
        <v>-7.4735719999999999</v>
      </c>
      <c r="D89" t="s">
        <v>75</v>
      </c>
      <c r="E89">
        <f t="shared" si="2"/>
        <v>377.65319799999997</v>
      </c>
      <c r="F89">
        <v>870</v>
      </c>
      <c r="G89">
        <f t="shared" si="3"/>
        <v>7.5292201880731211</v>
      </c>
    </row>
    <row r="90" spans="1:7" x14ac:dyDescent="0.25">
      <c r="A90">
        <v>1000</v>
      </c>
      <c r="B90">
        <v>1861.7661129999999</v>
      </c>
      <c r="C90">
        <v>-7.4550890000000001</v>
      </c>
      <c r="D90" t="s">
        <v>76</v>
      </c>
      <c r="E90">
        <f t="shared" si="2"/>
        <v>377.7661129999999</v>
      </c>
      <c r="F90">
        <v>880</v>
      </c>
      <c r="G90">
        <f t="shared" si="3"/>
        <v>7.5292808393136088</v>
      </c>
    </row>
    <row r="91" spans="1:7" x14ac:dyDescent="0.25">
      <c r="A91">
        <v>1000</v>
      </c>
      <c r="B91">
        <v>1862.0860600000001</v>
      </c>
      <c r="C91">
        <v>-7.45106</v>
      </c>
      <c r="D91" t="s">
        <v>77</v>
      </c>
      <c r="E91">
        <f t="shared" si="2"/>
        <v>378.08606000000009</v>
      </c>
      <c r="F91">
        <v>890</v>
      </c>
      <c r="G91">
        <f t="shared" si="3"/>
        <v>7.5294526758881686</v>
      </c>
    </row>
    <row r="92" spans="1:7" x14ac:dyDescent="0.25">
      <c r="A92">
        <v>1000</v>
      </c>
      <c r="B92">
        <v>1861.9729</v>
      </c>
      <c r="C92">
        <v>-7.4499129999999996</v>
      </c>
      <c r="D92" t="s">
        <v>78</v>
      </c>
      <c r="E92">
        <f t="shared" si="2"/>
        <v>377.97289999999998</v>
      </c>
      <c r="F92">
        <v>900</v>
      </c>
      <c r="G92">
        <f t="shared" si="3"/>
        <v>7.5293919034883485</v>
      </c>
    </row>
    <row r="93" spans="1:7" x14ac:dyDescent="0.25">
      <c r="A93">
        <v>1000</v>
      </c>
      <c r="B93">
        <v>1861.921875</v>
      </c>
      <c r="C93">
        <v>-7.4214570000000002</v>
      </c>
      <c r="D93" t="s">
        <v>79</v>
      </c>
      <c r="E93">
        <f t="shared" si="2"/>
        <v>377.921875</v>
      </c>
      <c r="F93">
        <v>910</v>
      </c>
      <c r="G93">
        <f t="shared" si="3"/>
        <v>7.5293644993842666</v>
      </c>
    </row>
    <row r="94" spans="1:7" x14ac:dyDescent="0.25">
      <c r="A94">
        <v>1000</v>
      </c>
      <c r="B94">
        <v>1862.0023189999999</v>
      </c>
      <c r="C94">
        <v>-7.4054200000000003</v>
      </c>
      <c r="D94" t="s">
        <v>80</v>
      </c>
      <c r="E94">
        <f t="shared" si="2"/>
        <v>378.00231899999994</v>
      </c>
      <c r="F94">
        <v>920</v>
      </c>
      <c r="G94">
        <f t="shared" si="3"/>
        <v>7.5294077032712527</v>
      </c>
    </row>
    <row r="95" spans="1:7" x14ac:dyDescent="0.25">
      <c r="A95">
        <v>1000</v>
      </c>
      <c r="B95">
        <v>1861.1248780000001</v>
      </c>
      <c r="C95">
        <v>-7.3908180000000003</v>
      </c>
      <c r="D95" t="s">
        <v>154</v>
      </c>
      <c r="E95">
        <f t="shared" si="2"/>
        <v>377.12487800000008</v>
      </c>
      <c r="F95">
        <v>930</v>
      </c>
      <c r="G95">
        <f t="shared" si="3"/>
        <v>7.5289363570239631</v>
      </c>
    </row>
    <row r="96" spans="1:7" x14ac:dyDescent="0.25">
      <c r="A96">
        <v>1000</v>
      </c>
      <c r="B96">
        <v>1861.450439</v>
      </c>
      <c r="C96">
        <v>-7.3686879999999997</v>
      </c>
      <c r="D96" t="s">
        <v>82</v>
      </c>
      <c r="E96">
        <f t="shared" si="2"/>
        <v>377.45043899999996</v>
      </c>
      <c r="F96">
        <v>940</v>
      </c>
      <c r="G96">
        <f t="shared" si="3"/>
        <v>7.529111268730567</v>
      </c>
    </row>
    <row r="97" spans="1:7" x14ac:dyDescent="0.25">
      <c r="A97">
        <v>1000</v>
      </c>
      <c r="B97">
        <v>1861.5595699999999</v>
      </c>
      <c r="C97">
        <v>-7.3683050000000003</v>
      </c>
      <c r="D97" t="s">
        <v>155</v>
      </c>
      <c r="E97">
        <f t="shared" si="2"/>
        <v>377.55956999999989</v>
      </c>
      <c r="F97">
        <v>950</v>
      </c>
      <c r="G97">
        <f t="shared" si="3"/>
        <v>7.5291698938751503</v>
      </c>
    </row>
    <row r="98" spans="1:7" x14ac:dyDescent="0.25">
      <c r="A98">
        <v>1000</v>
      </c>
      <c r="B98">
        <v>1861.86499</v>
      </c>
      <c r="C98">
        <v>-7.3519540000000001</v>
      </c>
      <c r="D98" t="s">
        <v>84</v>
      </c>
      <c r="E98">
        <f t="shared" si="2"/>
        <v>377.86499000000003</v>
      </c>
      <c r="F98">
        <v>960</v>
      </c>
      <c r="G98">
        <f t="shared" si="3"/>
        <v>7.5293339471523222</v>
      </c>
    </row>
    <row r="99" spans="1:7" x14ac:dyDescent="0.25">
      <c r="A99">
        <v>1000</v>
      </c>
      <c r="B99">
        <v>1862.2222899999999</v>
      </c>
      <c r="C99">
        <v>-7.344468</v>
      </c>
      <c r="D99" t="s">
        <v>85</v>
      </c>
      <c r="E99">
        <f t="shared" si="2"/>
        <v>378.22228999999993</v>
      </c>
      <c r="F99">
        <v>970</v>
      </c>
      <c r="G99">
        <f t="shared" si="3"/>
        <v>7.5295258330960353</v>
      </c>
    </row>
    <row r="100" spans="1:7" x14ac:dyDescent="0.25">
      <c r="A100">
        <v>1000</v>
      </c>
      <c r="B100">
        <v>1861.7669679999999</v>
      </c>
      <c r="C100">
        <v>-7.3371320000000004</v>
      </c>
      <c r="D100" t="s">
        <v>156</v>
      </c>
      <c r="E100">
        <f t="shared" si="2"/>
        <v>377.76696799999991</v>
      </c>
      <c r="F100">
        <v>980</v>
      </c>
      <c r="G100">
        <f t="shared" si="3"/>
        <v>7.5292812985548627</v>
      </c>
    </row>
    <row r="101" spans="1:7" x14ac:dyDescent="0.25">
      <c r="A101">
        <v>1000</v>
      </c>
      <c r="B101">
        <v>1862.0214840000001</v>
      </c>
      <c r="C101">
        <v>-7.3354379999999999</v>
      </c>
      <c r="D101" t="s">
        <v>87</v>
      </c>
      <c r="E101">
        <f t="shared" si="2"/>
        <v>378.0214840000001</v>
      </c>
      <c r="F101">
        <v>990</v>
      </c>
      <c r="G101">
        <f t="shared" si="3"/>
        <v>7.5294179959014906</v>
      </c>
    </row>
    <row r="102" spans="1:7" x14ac:dyDescent="0.25">
      <c r="A102">
        <v>1000</v>
      </c>
      <c r="B102">
        <v>1862.135986</v>
      </c>
      <c r="C102">
        <v>-7.3169690000000003</v>
      </c>
      <c r="D102" t="s">
        <v>88</v>
      </c>
      <c r="E102">
        <f t="shared" si="2"/>
        <v>378.135986</v>
      </c>
      <c r="F102">
        <v>1000</v>
      </c>
      <c r="G102">
        <f t="shared" si="3"/>
        <v>7.5294794873937052</v>
      </c>
    </row>
    <row r="103" spans="1:7" x14ac:dyDescent="0.25">
      <c r="A103">
        <v>1000</v>
      </c>
      <c r="B103">
        <v>1862.5177000000001</v>
      </c>
      <c r="C103">
        <v>-7.3026809999999998</v>
      </c>
      <c r="D103" t="s">
        <v>89</v>
      </c>
      <c r="E103">
        <f t="shared" si="2"/>
        <v>378.5177000000001</v>
      </c>
      <c r="F103">
        <v>1010</v>
      </c>
      <c r="G103">
        <f t="shared" si="3"/>
        <v>7.5296844535642631</v>
      </c>
    </row>
    <row r="104" spans="1:7" x14ac:dyDescent="0.25">
      <c r="A104">
        <v>1000</v>
      </c>
      <c r="B104">
        <v>1862.2935789999999</v>
      </c>
      <c r="C104">
        <v>-7.3029809999999999</v>
      </c>
      <c r="D104" t="s">
        <v>90</v>
      </c>
      <c r="E104">
        <f t="shared" si="2"/>
        <v>378.29357899999991</v>
      </c>
      <c r="F104">
        <v>1020</v>
      </c>
      <c r="G104">
        <f t="shared" si="3"/>
        <v>7.5295641140444944</v>
      </c>
    </row>
    <row r="105" spans="1:7" x14ac:dyDescent="0.25">
      <c r="A105">
        <v>1000</v>
      </c>
      <c r="B105">
        <v>1861.822876</v>
      </c>
      <c r="C105">
        <v>-7.2672730000000003</v>
      </c>
      <c r="D105" t="s">
        <v>91</v>
      </c>
      <c r="E105">
        <f t="shared" si="2"/>
        <v>377.82287599999995</v>
      </c>
      <c r="F105">
        <v>1030</v>
      </c>
      <c r="G105">
        <f t="shared" si="3"/>
        <v>7.5293113276409578</v>
      </c>
    </row>
    <row r="106" spans="1:7" x14ac:dyDescent="0.25">
      <c r="A106">
        <v>1000</v>
      </c>
      <c r="B106">
        <v>1861.9776609999999</v>
      </c>
      <c r="C106">
        <v>-7.2703740000000003</v>
      </c>
      <c r="D106" t="s">
        <v>92</v>
      </c>
      <c r="E106">
        <f t="shared" si="2"/>
        <v>377.9776609999999</v>
      </c>
      <c r="F106">
        <v>1040</v>
      </c>
      <c r="G106">
        <f t="shared" si="3"/>
        <v>7.5293944604503285</v>
      </c>
    </row>
    <row r="107" spans="1:7" x14ac:dyDescent="0.25">
      <c r="A107">
        <v>1000</v>
      </c>
      <c r="B107">
        <v>1862.316284</v>
      </c>
      <c r="C107">
        <v>-7.2516179999999997</v>
      </c>
      <c r="D107" t="s">
        <v>157</v>
      </c>
      <c r="E107">
        <f t="shared" si="2"/>
        <v>378.316284</v>
      </c>
      <c r="F107">
        <v>1050</v>
      </c>
      <c r="G107">
        <f t="shared" si="3"/>
        <v>7.5295763059254357</v>
      </c>
    </row>
    <row r="108" spans="1:7" x14ac:dyDescent="0.25">
      <c r="A108">
        <v>1000</v>
      </c>
      <c r="B108">
        <v>1861.7310789999999</v>
      </c>
      <c r="C108">
        <v>-7.2343650000000004</v>
      </c>
      <c r="D108" t="s">
        <v>94</v>
      </c>
      <c r="E108">
        <f t="shared" si="2"/>
        <v>377.73107899999991</v>
      </c>
      <c r="F108">
        <v>1060</v>
      </c>
      <c r="G108">
        <f t="shared" si="3"/>
        <v>7.529262021520446</v>
      </c>
    </row>
    <row r="109" spans="1:7" x14ac:dyDescent="0.25">
      <c r="A109">
        <v>1000</v>
      </c>
      <c r="B109">
        <v>1862.517822</v>
      </c>
      <c r="C109">
        <v>-7.2420970000000002</v>
      </c>
      <c r="D109" t="s">
        <v>95</v>
      </c>
      <c r="E109">
        <f t="shared" si="2"/>
        <v>378.51782200000002</v>
      </c>
      <c r="F109">
        <v>1070</v>
      </c>
      <c r="G109">
        <f t="shared" si="3"/>
        <v>7.5296845190669934</v>
      </c>
    </row>
    <row r="110" spans="1:7" x14ac:dyDescent="0.25">
      <c r="A110">
        <v>1000</v>
      </c>
      <c r="B110">
        <v>1862.217529</v>
      </c>
      <c r="C110">
        <v>-7.237876</v>
      </c>
      <c r="D110" t="s">
        <v>96</v>
      </c>
      <c r="E110">
        <f t="shared" si="2"/>
        <v>378.21752900000001</v>
      </c>
      <c r="F110">
        <v>1080</v>
      </c>
      <c r="G110">
        <f t="shared" si="3"/>
        <v>7.5295232764699485</v>
      </c>
    </row>
    <row r="111" spans="1:7" x14ac:dyDescent="0.25">
      <c r="A111">
        <v>1000</v>
      </c>
      <c r="B111">
        <v>1862.4018550000001</v>
      </c>
      <c r="C111">
        <v>-7.2160190000000002</v>
      </c>
      <c r="D111" t="s">
        <v>97</v>
      </c>
      <c r="E111">
        <f t="shared" si="2"/>
        <v>378.40185500000007</v>
      </c>
      <c r="F111">
        <v>1090</v>
      </c>
      <c r="G111">
        <f t="shared" si="3"/>
        <v>7.5296222535632547</v>
      </c>
    </row>
    <row r="112" spans="1:7" x14ac:dyDescent="0.25">
      <c r="A112">
        <v>1000</v>
      </c>
      <c r="B112">
        <v>1862.4785159999999</v>
      </c>
      <c r="C112">
        <v>-7.2180960000000001</v>
      </c>
      <c r="D112" t="s">
        <v>98</v>
      </c>
      <c r="E112">
        <f t="shared" si="2"/>
        <v>378.4785159999999</v>
      </c>
      <c r="F112">
        <v>1100</v>
      </c>
      <c r="G112">
        <f t="shared" si="3"/>
        <v>7.5296634151536281</v>
      </c>
    </row>
    <row r="113" spans="1:7" x14ac:dyDescent="0.25">
      <c r="A113">
        <v>1000</v>
      </c>
      <c r="B113">
        <v>1862.3519289999999</v>
      </c>
      <c r="C113">
        <v>-7.2307309999999996</v>
      </c>
      <c r="D113" t="s">
        <v>99</v>
      </c>
      <c r="E113">
        <f t="shared" si="2"/>
        <v>378.35192899999993</v>
      </c>
      <c r="F113">
        <v>1110</v>
      </c>
      <c r="G113">
        <f t="shared" si="3"/>
        <v>7.5295954458852723</v>
      </c>
    </row>
    <row r="114" spans="1:7" x14ac:dyDescent="0.25">
      <c r="A114">
        <v>1000</v>
      </c>
      <c r="B114">
        <v>1863.650269</v>
      </c>
      <c r="C114">
        <v>-7.2515499999999999</v>
      </c>
      <c r="D114" t="s">
        <v>158</v>
      </c>
      <c r="E114">
        <f t="shared" si="2"/>
        <v>379.65026899999998</v>
      </c>
      <c r="F114">
        <v>1120</v>
      </c>
      <c r="G114">
        <f t="shared" si="3"/>
        <v>7.5302923537149269</v>
      </c>
    </row>
    <row r="115" spans="1:7" x14ac:dyDescent="0.25">
      <c r="A115">
        <v>1000</v>
      </c>
      <c r="B115">
        <v>1862.8764650000001</v>
      </c>
      <c r="C115">
        <v>-7.2311550000000002</v>
      </c>
      <c r="D115" t="s">
        <v>159</v>
      </c>
      <c r="E115">
        <f t="shared" si="2"/>
        <v>378.87646500000005</v>
      </c>
      <c r="F115">
        <v>1130</v>
      </c>
      <c r="G115">
        <f t="shared" si="3"/>
        <v>7.5298770586874895</v>
      </c>
    </row>
    <row r="116" spans="1:7" x14ac:dyDescent="0.25">
      <c r="A116">
        <v>1000</v>
      </c>
      <c r="B116">
        <v>1863.291626</v>
      </c>
      <c r="C116">
        <v>-7.2144890000000004</v>
      </c>
      <c r="D116" t="s">
        <v>160</v>
      </c>
      <c r="E116">
        <f t="shared" si="2"/>
        <v>379.29162599999995</v>
      </c>
      <c r="F116">
        <v>1140</v>
      </c>
      <c r="G116">
        <f t="shared" si="3"/>
        <v>7.5300998940462707</v>
      </c>
    </row>
    <row r="117" spans="1:7" x14ac:dyDescent="0.25">
      <c r="A117">
        <v>1000</v>
      </c>
      <c r="B117">
        <v>1864.0601810000001</v>
      </c>
      <c r="C117">
        <v>-7.2109379999999996</v>
      </c>
      <c r="D117" t="s">
        <v>161</v>
      </c>
      <c r="E117">
        <f t="shared" si="2"/>
        <v>380.06018100000006</v>
      </c>
      <c r="F117">
        <v>1150</v>
      </c>
      <c r="G117">
        <f t="shared" si="3"/>
        <v>7.5305122806685629</v>
      </c>
    </row>
    <row r="118" spans="1:7" x14ac:dyDescent="0.25">
      <c r="A118">
        <v>1000</v>
      </c>
      <c r="B118">
        <v>1863.896851</v>
      </c>
      <c r="C118">
        <v>-7.1999139999999997</v>
      </c>
      <c r="D118" t="s">
        <v>162</v>
      </c>
      <c r="E118">
        <f t="shared" si="2"/>
        <v>379.89685099999997</v>
      </c>
      <c r="F118">
        <v>1160</v>
      </c>
      <c r="G118">
        <f t="shared" si="3"/>
        <v>7.5304246562680115</v>
      </c>
    </row>
    <row r="119" spans="1:7" x14ac:dyDescent="0.25">
      <c r="A119">
        <v>1000</v>
      </c>
      <c r="B119">
        <v>1864.5893550000001</v>
      </c>
      <c r="C119">
        <v>-7.2363460000000002</v>
      </c>
      <c r="D119" t="s">
        <v>105</v>
      </c>
      <c r="E119">
        <f t="shared" si="2"/>
        <v>380.58935500000007</v>
      </c>
      <c r="F119">
        <v>1170</v>
      </c>
      <c r="G119">
        <f t="shared" si="3"/>
        <v>7.5307961228470477</v>
      </c>
    </row>
    <row r="120" spans="1:7" x14ac:dyDescent="0.25">
      <c r="A120">
        <v>1000</v>
      </c>
      <c r="B120">
        <v>1864.4133300000001</v>
      </c>
      <c r="C120">
        <v>-7.2205680000000001</v>
      </c>
      <c r="D120" t="s">
        <v>106</v>
      </c>
      <c r="E120">
        <f t="shared" si="2"/>
        <v>380.41333000000009</v>
      </c>
      <c r="F120">
        <v>1180</v>
      </c>
      <c r="G120">
        <f t="shared" si="3"/>
        <v>7.5307017142262982</v>
      </c>
    </row>
    <row r="121" spans="1:7" x14ac:dyDescent="0.25">
      <c r="A121">
        <v>1000</v>
      </c>
      <c r="B121">
        <v>1864.7910159999999</v>
      </c>
      <c r="C121">
        <v>-7.1813079999999996</v>
      </c>
      <c r="D121" t="s">
        <v>107</v>
      </c>
      <c r="E121">
        <f t="shared" si="2"/>
        <v>380.7910159999999</v>
      </c>
      <c r="F121">
        <v>1190</v>
      </c>
      <c r="G121">
        <f t="shared" si="3"/>
        <v>7.5309042700351245</v>
      </c>
    </row>
    <row r="122" spans="1:7" x14ac:dyDescent="0.25">
      <c r="A122">
        <v>1000</v>
      </c>
      <c r="B122">
        <v>1865.0523679999999</v>
      </c>
      <c r="C122">
        <v>-7.1615419999999999</v>
      </c>
      <c r="D122" t="s">
        <v>108</v>
      </c>
      <c r="E122">
        <f t="shared" si="2"/>
        <v>381.05236799999989</v>
      </c>
      <c r="F122">
        <v>1200</v>
      </c>
      <c r="G122">
        <f t="shared" si="3"/>
        <v>7.5310444110402663</v>
      </c>
    </row>
    <row r="123" spans="1:7" x14ac:dyDescent="0.25">
      <c r="A123">
        <v>1000</v>
      </c>
      <c r="B123">
        <v>1864.9404300000001</v>
      </c>
      <c r="C123">
        <v>-7.1605169999999996</v>
      </c>
      <c r="D123" t="s">
        <v>163</v>
      </c>
      <c r="E123">
        <f t="shared" si="2"/>
        <v>380.94043000000011</v>
      </c>
      <c r="F123">
        <v>1210</v>
      </c>
      <c r="G123">
        <f t="shared" si="3"/>
        <v>7.5309843905490244</v>
      </c>
    </row>
    <row r="124" spans="1:7" x14ac:dyDescent="0.25">
      <c r="A124">
        <v>1000</v>
      </c>
      <c r="B124">
        <v>1865.3226320000001</v>
      </c>
      <c r="C124">
        <v>-7.1462279999999998</v>
      </c>
      <c r="D124" t="s">
        <v>110</v>
      </c>
      <c r="E124">
        <f t="shared" si="2"/>
        <v>381.32263200000011</v>
      </c>
      <c r="F124">
        <v>1220</v>
      </c>
      <c r="G124">
        <f t="shared" si="3"/>
        <v>7.5311893101458383</v>
      </c>
    </row>
    <row r="125" spans="1:7" x14ac:dyDescent="0.25">
      <c r="A125">
        <v>1000</v>
      </c>
      <c r="B125">
        <v>1865.909302</v>
      </c>
      <c r="C125">
        <v>-7.1214209999999998</v>
      </c>
      <c r="D125" t="s">
        <v>164</v>
      </c>
      <c r="E125">
        <f t="shared" si="2"/>
        <v>381.90930200000003</v>
      </c>
      <c r="F125">
        <v>1230</v>
      </c>
      <c r="G125">
        <f t="shared" si="3"/>
        <v>7.531503774652581</v>
      </c>
    </row>
    <row r="126" spans="1:7" x14ac:dyDescent="0.25">
      <c r="A126">
        <v>1000</v>
      </c>
      <c r="B126">
        <v>1865.496948</v>
      </c>
      <c r="C126">
        <v>-7.1186069999999999</v>
      </c>
      <c r="D126" t="s">
        <v>165</v>
      </c>
      <c r="E126">
        <f t="shared" si="2"/>
        <v>381.49694799999997</v>
      </c>
      <c r="F126">
        <v>1240</v>
      </c>
      <c r="G126">
        <f t="shared" ref="G126:G135" si="4">LN(B126)</f>
        <v>7.5312827566373599</v>
      </c>
    </row>
    <row r="127" spans="1:7" x14ac:dyDescent="0.25">
      <c r="A127">
        <v>1000</v>
      </c>
      <c r="B127">
        <v>1867.6408690000001</v>
      </c>
      <c r="C127">
        <v>-7.2392690000000002</v>
      </c>
      <c r="D127" t="s">
        <v>113</v>
      </c>
      <c r="E127">
        <f t="shared" si="2"/>
        <v>383.64086900000007</v>
      </c>
      <c r="F127">
        <v>1250</v>
      </c>
      <c r="G127">
        <f t="shared" si="4"/>
        <v>7.5324313460229089</v>
      </c>
    </row>
    <row r="128" spans="1:7" x14ac:dyDescent="0.25">
      <c r="A128">
        <v>1000</v>
      </c>
      <c r="B128">
        <v>1868.1953129999999</v>
      </c>
      <c r="C128">
        <v>-7.3203849999999999</v>
      </c>
      <c r="D128" t="s">
        <v>114</v>
      </c>
      <c r="E128">
        <f t="shared" si="2"/>
        <v>384.19531299999994</v>
      </c>
      <c r="F128">
        <v>1260</v>
      </c>
      <c r="G128">
        <f t="shared" si="4"/>
        <v>7.53272817060357</v>
      </c>
    </row>
    <row r="129" spans="1:7" x14ac:dyDescent="0.25">
      <c r="A129">
        <v>1000</v>
      </c>
      <c r="B129">
        <v>1868.9277340000001</v>
      </c>
      <c r="C129">
        <v>-7.3521450000000002</v>
      </c>
      <c r="D129" t="s">
        <v>115</v>
      </c>
      <c r="E129">
        <f t="shared" si="2"/>
        <v>384.9277340000001</v>
      </c>
      <c r="F129">
        <v>1270</v>
      </c>
      <c r="G129">
        <f t="shared" si="4"/>
        <v>7.5331201411114534</v>
      </c>
    </row>
    <row r="130" spans="1:7" x14ac:dyDescent="0.25">
      <c r="A130">
        <v>1000</v>
      </c>
      <c r="B130">
        <v>1870.1595460000001</v>
      </c>
      <c r="C130">
        <v>-7.3773070000000001</v>
      </c>
      <c r="D130" t="s">
        <v>166</v>
      </c>
      <c r="E130">
        <f t="shared" si="2"/>
        <v>386.15954600000009</v>
      </c>
      <c r="F130">
        <v>1280</v>
      </c>
      <c r="G130">
        <f t="shared" si="4"/>
        <v>7.5337790249257752</v>
      </c>
    </row>
    <row r="131" spans="1:7" x14ac:dyDescent="0.25">
      <c r="A131">
        <v>1000</v>
      </c>
      <c r="B131">
        <v>1870.601807</v>
      </c>
      <c r="C131">
        <v>-7.5106869999999999</v>
      </c>
      <c r="D131" t="s">
        <v>117</v>
      </c>
      <c r="E131">
        <f t="shared" ref="E131:E135" si="5">B131-N$3</f>
        <v>386.60180700000001</v>
      </c>
      <c r="F131">
        <v>1290</v>
      </c>
      <c r="G131">
        <f t="shared" si="4"/>
        <v>7.5340154800001979</v>
      </c>
    </row>
    <row r="132" spans="1:7" x14ac:dyDescent="0.25">
      <c r="A132">
        <v>1000</v>
      </c>
      <c r="B132">
        <v>1873.750366</v>
      </c>
      <c r="C132">
        <v>-7.7633219999999996</v>
      </c>
      <c r="D132" t="s">
        <v>167</v>
      </c>
      <c r="E132">
        <f t="shared" si="5"/>
        <v>389.75036599999999</v>
      </c>
      <c r="F132">
        <v>1300</v>
      </c>
      <c r="G132">
        <f t="shared" si="4"/>
        <v>7.5356972447470083</v>
      </c>
    </row>
    <row r="133" spans="1:7" x14ac:dyDescent="0.25">
      <c r="A133">
        <v>1000</v>
      </c>
      <c r="B133">
        <v>1883.63147</v>
      </c>
      <c r="C133">
        <v>-8.4985920000000004</v>
      </c>
      <c r="D133" t="s">
        <v>119</v>
      </c>
      <c r="E133">
        <f t="shared" si="5"/>
        <v>399.63147000000004</v>
      </c>
      <c r="F133">
        <v>1310</v>
      </c>
      <c r="G133">
        <f t="shared" si="4"/>
        <v>7.540956825598701</v>
      </c>
    </row>
    <row r="134" spans="1:7" x14ac:dyDescent="0.25">
      <c r="A134">
        <v>1000</v>
      </c>
      <c r="B134">
        <v>1878.121216</v>
      </c>
      <c r="C134">
        <v>-8.0747520000000002</v>
      </c>
      <c r="D134" t="s">
        <v>120</v>
      </c>
      <c r="E134">
        <f t="shared" si="5"/>
        <v>394.121216</v>
      </c>
      <c r="F134">
        <v>1320</v>
      </c>
      <c r="G134">
        <f t="shared" si="4"/>
        <v>7.5380272029461688</v>
      </c>
    </row>
    <row r="135" spans="1:7" x14ac:dyDescent="0.25">
      <c r="A135">
        <v>1000</v>
      </c>
      <c r="B135">
        <v>1876.817749</v>
      </c>
      <c r="C135">
        <v>-7.8738619999999999</v>
      </c>
      <c r="D135" t="s">
        <v>121</v>
      </c>
      <c r="E135">
        <f t="shared" si="5"/>
        <v>392.81774900000005</v>
      </c>
      <c r="F135">
        <v>1330</v>
      </c>
      <c r="G135">
        <f t="shared" si="4"/>
        <v>7.5373329349090543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"/>
  <sheetViews>
    <sheetView zoomScaleNormal="100" workbookViewId="0">
      <selection activeCell="F1" sqref="F1:F1048576"/>
    </sheetView>
  </sheetViews>
  <sheetFormatPr baseColWidth="10" defaultRowHeight="15" x14ac:dyDescent="0.25"/>
  <cols>
    <col min="4" max="4" width="23" bestFit="1" customWidth="1"/>
    <col min="5" max="5" width="23" customWidth="1"/>
    <col min="12" max="12" width="13.28515625" bestFit="1" customWidth="1"/>
    <col min="13" max="13" width="12.7109375" bestFit="1" customWidth="1"/>
    <col min="14" max="14" width="13.140625" bestFit="1" customWidth="1"/>
    <col min="15" max="15" width="16.7109375" bestFit="1" customWidth="1"/>
  </cols>
  <sheetData>
    <row r="1" spans="1:14" x14ac:dyDescent="0.25">
      <c r="A1" t="s">
        <v>469</v>
      </c>
      <c r="B1" t="s">
        <v>470</v>
      </c>
      <c r="C1" t="s">
        <v>471</v>
      </c>
      <c r="D1" t="s">
        <v>472</v>
      </c>
      <c r="E1" t="s">
        <v>475</v>
      </c>
      <c r="F1" t="s">
        <v>473</v>
      </c>
      <c r="G1" t="s">
        <v>474</v>
      </c>
    </row>
    <row r="2" spans="1:14" x14ac:dyDescent="0.25">
      <c r="A2">
        <v>1000</v>
      </c>
      <c r="B2">
        <v>2608.6145019999999</v>
      </c>
      <c r="C2">
        <v>-23.994989</v>
      </c>
      <c r="D2" t="s">
        <v>171</v>
      </c>
      <c r="E2">
        <f>B2-N$3</f>
        <v>1130.6145019999999</v>
      </c>
      <c r="F2">
        <v>0</v>
      </c>
      <c r="G2">
        <f t="shared" ref="G2:G33" si="0">LN(B2)</f>
        <v>7.8665745172245707</v>
      </c>
      <c r="J2" s="1" t="s">
        <v>0</v>
      </c>
      <c r="K2" s="1" t="s">
        <v>432</v>
      </c>
      <c r="N2" t="s">
        <v>468</v>
      </c>
    </row>
    <row r="3" spans="1:14" x14ac:dyDescent="0.25">
      <c r="A3">
        <v>1000</v>
      </c>
      <c r="B3">
        <v>2592.8752439999998</v>
      </c>
      <c r="C3">
        <v>-23.742996000000002</v>
      </c>
      <c r="D3" t="s">
        <v>172</v>
      </c>
      <c r="E3">
        <f t="shared" ref="E3:E66" si="1">B3-N$3</f>
        <v>1114.8752439999998</v>
      </c>
      <c r="F3">
        <v>10</v>
      </c>
      <c r="G3">
        <f t="shared" si="0"/>
        <v>7.8605226717703403</v>
      </c>
      <c r="I3" t="s">
        <v>1</v>
      </c>
      <c r="J3">
        <f>1/(0.00007)</f>
        <v>14285.714285714286</v>
      </c>
      <c r="K3">
        <f>1/(0.0001)</f>
        <v>10000</v>
      </c>
      <c r="L3" s="3" t="s">
        <v>3</v>
      </c>
      <c r="N3">
        <v>1478</v>
      </c>
    </row>
    <row r="4" spans="1:14" x14ac:dyDescent="0.25">
      <c r="A4">
        <v>1000</v>
      </c>
      <c r="B4">
        <v>2564.638672</v>
      </c>
      <c r="C4">
        <v>-23.625914000000002</v>
      </c>
      <c r="D4" t="s">
        <v>363</v>
      </c>
      <c r="E4">
        <f t="shared" si="1"/>
        <v>1086.638672</v>
      </c>
      <c r="F4">
        <v>20</v>
      </c>
      <c r="G4">
        <f t="shared" si="0"/>
        <v>7.8495728790659705</v>
      </c>
      <c r="J4">
        <f>J3/60</f>
        <v>238.0952380952381</v>
      </c>
      <c r="K4">
        <f>K3/60</f>
        <v>166.66666666666666</v>
      </c>
      <c r="L4" s="3" t="s">
        <v>4</v>
      </c>
    </row>
    <row r="5" spans="1:14" x14ac:dyDescent="0.25">
      <c r="A5">
        <v>1000</v>
      </c>
      <c r="B5">
        <v>2537.5285640000002</v>
      </c>
      <c r="C5">
        <v>-23.420542000000001</v>
      </c>
      <c r="D5" t="s">
        <v>174</v>
      </c>
      <c r="E5">
        <f t="shared" si="1"/>
        <v>1059.5285640000002</v>
      </c>
      <c r="F5">
        <v>30</v>
      </c>
      <c r="G5">
        <f t="shared" si="0"/>
        <v>7.838945880035455</v>
      </c>
      <c r="J5">
        <f>J4/60</f>
        <v>3.9682539682539684</v>
      </c>
      <c r="K5">
        <f>K4/60</f>
        <v>2.7777777777777777</v>
      </c>
      <c r="L5" s="3" t="s">
        <v>5</v>
      </c>
    </row>
    <row r="6" spans="1:14" x14ac:dyDescent="0.25">
      <c r="A6">
        <v>1000</v>
      </c>
      <c r="B6">
        <v>2516.8996579999998</v>
      </c>
      <c r="C6">
        <v>-23.277052000000001</v>
      </c>
      <c r="D6" t="s">
        <v>175</v>
      </c>
      <c r="E6">
        <f t="shared" si="1"/>
        <v>1038.8996579999998</v>
      </c>
      <c r="F6">
        <v>40</v>
      </c>
      <c r="G6">
        <f t="shared" si="0"/>
        <v>7.8307831286275063</v>
      </c>
    </row>
    <row r="7" spans="1:14" x14ac:dyDescent="0.25">
      <c r="A7">
        <v>1000</v>
      </c>
      <c r="B7">
        <v>2499.1010740000002</v>
      </c>
      <c r="C7">
        <v>-23.074155999999999</v>
      </c>
      <c r="D7" t="s">
        <v>176</v>
      </c>
      <c r="E7">
        <f t="shared" si="1"/>
        <v>1021.1010740000002</v>
      </c>
      <c r="F7">
        <v>50</v>
      </c>
      <c r="G7">
        <f t="shared" si="0"/>
        <v>7.8236863757953552</v>
      </c>
    </row>
    <row r="8" spans="1:14" x14ac:dyDescent="0.25">
      <c r="A8">
        <v>1000</v>
      </c>
      <c r="B8">
        <v>2473.5122070000002</v>
      </c>
      <c r="C8">
        <v>-22.678222999999999</v>
      </c>
      <c r="D8" t="s">
        <v>177</v>
      </c>
      <c r="E8">
        <f t="shared" si="1"/>
        <v>995.51220700000022</v>
      </c>
      <c r="F8">
        <v>60</v>
      </c>
      <c r="G8">
        <f t="shared" si="0"/>
        <v>7.8133943657677749</v>
      </c>
    </row>
    <row r="9" spans="1:14" x14ac:dyDescent="0.25">
      <c r="A9">
        <v>1000</v>
      </c>
      <c r="B9">
        <v>2457.6508789999998</v>
      </c>
      <c r="C9">
        <v>-22.446774999999999</v>
      </c>
      <c r="D9" t="s">
        <v>178</v>
      </c>
      <c r="E9">
        <f t="shared" si="1"/>
        <v>979.6508789999998</v>
      </c>
      <c r="F9">
        <v>70</v>
      </c>
      <c r="G9">
        <f t="shared" si="0"/>
        <v>7.8069612454571535</v>
      </c>
    </row>
    <row r="10" spans="1:14" x14ac:dyDescent="0.25">
      <c r="A10">
        <v>1000</v>
      </c>
      <c r="B10">
        <v>2446.845703</v>
      </c>
      <c r="C10">
        <v>-22.264122</v>
      </c>
      <c r="D10" t="s">
        <v>179</v>
      </c>
      <c r="E10">
        <f t="shared" si="1"/>
        <v>968.84570299999996</v>
      </c>
      <c r="F10">
        <v>80</v>
      </c>
      <c r="G10">
        <f t="shared" si="0"/>
        <v>7.802555005876326</v>
      </c>
    </row>
    <row r="11" spans="1:14" x14ac:dyDescent="0.25">
      <c r="A11">
        <v>1000</v>
      </c>
      <c r="B11">
        <v>2432.2939449999999</v>
      </c>
      <c r="C11">
        <v>-21.985873999999999</v>
      </c>
      <c r="D11" t="s">
        <v>180</v>
      </c>
      <c r="E11">
        <f t="shared" si="1"/>
        <v>954.29394499999989</v>
      </c>
      <c r="F11">
        <v>90</v>
      </c>
      <c r="G11">
        <f t="shared" si="0"/>
        <v>7.7965901013251697</v>
      </c>
    </row>
    <row r="12" spans="1:14" x14ac:dyDescent="0.25">
      <c r="A12">
        <v>1000</v>
      </c>
      <c r="B12">
        <v>2419.186768</v>
      </c>
      <c r="C12">
        <v>-21.754276000000001</v>
      </c>
      <c r="D12" t="s">
        <v>364</v>
      </c>
      <c r="E12">
        <f t="shared" si="1"/>
        <v>941.18676800000003</v>
      </c>
      <c r="F12">
        <v>100</v>
      </c>
      <c r="G12">
        <f t="shared" si="0"/>
        <v>7.7911867163935362</v>
      </c>
    </row>
    <row r="13" spans="1:14" x14ac:dyDescent="0.25">
      <c r="A13">
        <v>1000</v>
      </c>
      <c r="B13">
        <v>2409.640625</v>
      </c>
      <c r="C13">
        <v>-21.574546999999999</v>
      </c>
      <c r="D13" t="s">
        <v>365</v>
      </c>
      <c r="E13">
        <f t="shared" si="1"/>
        <v>931.640625</v>
      </c>
      <c r="F13">
        <v>110</v>
      </c>
      <c r="G13">
        <f t="shared" si="0"/>
        <v>7.7872328971082068</v>
      </c>
    </row>
    <row r="14" spans="1:14" x14ac:dyDescent="0.25">
      <c r="A14">
        <v>1000</v>
      </c>
      <c r="B14">
        <v>2399.5720209999999</v>
      </c>
      <c r="C14">
        <v>-21.420034000000001</v>
      </c>
      <c r="D14" t="s">
        <v>366</v>
      </c>
      <c r="E14">
        <f t="shared" si="1"/>
        <v>921.57202099999995</v>
      </c>
      <c r="F14">
        <v>120</v>
      </c>
      <c r="G14">
        <f t="shared" si="0"/>
        <v>7.7830456758509845</v>
      </c>
    </row>
    <row r="15" spans="1:14" x14ac:dyDescent="0.25">
      <c r="A15">
        <v>1000</v>
      </c>
      <c r="B15">
        <v>2392.4997560000002</v>
      </c>
      <c r="C15">
        <v>-21.326568999999999</v>
      </c>
      <c r="D15" t="s">
        <v>367</v>
      </c>
      <c r="E15">
        <f t="shared" si="1"/>
        <v>914.49975600000016</v>
      </c>
      <c r="F15">
        <v>130</v>
      </c>
      <c r="G15">
        <f t="shared" si="0"/>
        <v>7.7800940213417329</v>
      </c>
    </row>
    <row r="16" spans="1:14" x14ac:dyDescent="0.25">
      <c r="A16">
        <v>1000</v>
      </c>
      <c r="B16">
        <v>2385.5932619999999</v>
      </c>
      <c r="C16">
        <v>-21.228816999999999</v>
      </c>
      <c r="D16" t="s">
        <v>185</v>
      </c>
      <c r="E16">
        <f t="shared" si="1"/>
        <v>907.59326199999987</v>
      </c>
      <c r="F16">
        <v>140</v>
      </c>
      <c r="G16">
        <f t="shared" si="0"/>
        <v>7.7772031195598048</v>
      </c>
    </row>
    <row r="17" spans="1:7" x14ac:dyDescent="0.25">
      <c r="A17">
        <v>1000</v>
      </c>
      <c r="B17">
        <v>2375.9584960000002</v>
      </c>
      <c r="C17">
        <v>-21.048349000000002</v>
      </c>
      <c r="D17" t="s">
        <v>186</v>
      </c>
      <c r="E17">
        <f t="shared" si="1"/>
        <v>897.9584960000002</v>
      </c>
      <c r="F17">
        <v>150</v>
      </c>
      <c r="G17">
        <f t="shared" si="0"/>
        <v>7.7731562123164997</v>
      </c>
    </row>
    <row r="18" spans="1:7" x14ac:dyDescent="0.25">
      <c r="A18">
        <v>1000</v>
      </c>
      <c r="B18">
        <v>2367.5598140000002</v>
      </c>
      <c r="C18">
        <v>-20.887032999999999</v>
      </c>
      <c r="D18" t="s">
        <v>187</v>
      </c>
      <c r="E18">
        <f t="shared" si="1"/>
        <v>889.55981400000019</v>
      </c>
      <c r="F18">
        <v>160</v>
      </c>
      <c r="G18">
        <f t="shared" si="0"/>
        <v>7.7696150893662201</v>
      </c>
    </row>
    <row r="19" spans="1:7" x14ac:dyDescent="0.25">
      <c r="A19">
        <v>1000</v>
      </c>
      <c r="B19">
        <v>2360.7231449999999</v>
      </c>
      <c r="C19">
        <v>-20.765196</v>
      </c>
      <c r="D19" t="s">
        <v>188</v>
      </c>
      <c r="E19">
        <f t="shared" si="1"/>
        <v>882.72314499999993</v>
      </c>
      <c r="F19">
        <v>170</v>
      </c>
      <c r="G19">
        <f t="shared" si="0"/>
        <v>7.7667232684563219</v>
      </c>
    </row>
    <row r="20" spans="1:7" x14ac:dyDescent="0.25">
      <c r="A20">
        <v>1000</v>
      </c>
      <c r="B20">
        <v>2351.7460940000001</v>
      </c>
      <c r="C20">
        <v>-20.590084000000001</v>
      </c>
      <c r="D20" t="s">
        <v>189</v>
      </c>
      <c r="E20">
        <f t="shared" si="1"/>
        <v>873.74609400000008</v>
      </c>
      <c r="F20">
        <v>180</v>
      </c>
      <c r="G20">
        <f t="shared" si="0"/>
        <v>7.7629133499598559</v>
      </c>
    </row>
    <row r="21" spans="1:7" x14ac:dyDescent="0.25">
      <c r="A21">
        <v>1000</v>
      </c>
      <c r="B21">
        <v>2346.5798340000001</v>
      </c>
      <c r="C21">
        <v>-20.513736999999999</v>
      </c>
      <c r="D21" t="s">
        <v>368</v>
      </c>
      <c r="E21">
        <f t="shared" si="1"/>
        <v>868.57983400000012</v>
      </c>
      <c r="F21">
        <v>190</v>
      </c>
      <c r="G21">
        <f t="shared" si="0"/>
        <v>7.7607141572425489</v>
      </c>
    </row>
    <row r="22" spans="1:7" x14ac:dyDescent="0.25">
      <c r="A22">
        <v>1000</v>
      </c>
      <c r="B22">
        <v>2339.8793949999999</v>
      </c>
      <c r="C22">
        <v>-20.404657</v>
      </c>
      <c r="D22" t="s">
        <v>369</v>
      </c>
      <c r="E22">
        <f t="shared" si="1"/>
        <v>861.87939499999993</v>
      </c>
      <c r="F22">
        <v>200</v>
      </c>
      <c r="G22">
        <f t="shared" si="0"/>
        <v>7.7578546664251942</v>
      </c>
    </row>
    <row r="23" spans="1:7" x14ac:dyDescent="0.25">
      <c r="A23">
        <v>1000</v>
      </c>
      <c r="B23">
        <v>2334.0598140000002</v>
      </c>
      <c r="C23">
        <v>-20.329184000000001</v>
      </c>
      <c r="D23" t="s">
        <v>370</v>
      </c>
      <c r="E23">
        <f t="shared" si="1"/>
        <v>856.05981400000019</v>
      </c>
      <c r="F23">
        <v>210</v>
      </c>
      <c r="G23">
        <f t="shared" si="0"/>
        <v>7.7553644397674866</v>
      </c>
    </row>
    <row r="24" spans="1:7" x14ac:dyDescent="0.25">
      <c r="A24">
        <v>1000</v>
      </c>
      <c r="B24">
        <v>2326.5783689999998</v>
      </c>
      <c r="C24">
        <v>-20.174837</v>
      </c>
      <c r="D24" t="s">
        <v>193</v>
      </c>
      <c r="E24">
        <f t="shared" si="1"/>
        <v>848.57836899999984</v>
      </c>
      <c r="F24">
        <v>220</v>
      </c>
      <c r="G24">
        <f t="shared" si="0"/>
        <v>7.7521539560816448</v>
      </c>
    </row>
    <row r="25" spans="1:7" x14ac:dyDescent="0.25">
      <c r="A25">
        <v>1000</v>
      </c>
      <c r="B25">
        <v>2321.4562989999999</v>
      </c>
      <c r="C25">
        <v>-20.121068999999999</v>
      </c>
      <c r="D25" t="s">
        <v>371</v>
      </c>
      <c r="E25">
        <f t="shared" si="1"/>
        <v>843.45629899999994</v>
      </c>
      <c r="F25">
        <v>230</v>
      </c>
      <c r="G25">
        <f t="shared" si="0"/>
        <v>7.7499499828158545</v>
      </c>
    </row>
    <row r="26" spans="1:7" x14ac:dyDescent="0.25">
      <c r="A26">
        <v>1000</v>
      </c>
      <c r="B26">
        <v>2317.1291500000002</v>
      </c>
      <c r="C26">
        <v>-20.077328000000001</v>
      </c>
      <c r="D26" t="s">
        <v>195</v>
      </c>
      <c r="E26">
        <f t="shared" si="1"/>
        <v>839.12915000000021</v>
      </c>
      <c r="F26">
        <v>240</v>
      </c>
      <c r="G26">
        <f t="shared" si="0"/>
        <v>7.7480842630602194</v>
      </c>
    </row>
    <row r="27" spans="1:7" x14ac:dyDescent="0.25">
      <c r="A27">
        <v>1000</v>
      </c>
      <c r="B27">
        <v>2315.3547359999998</v>
      </c>
      <c r="C27">
        <v>-20.079172</v>
      </c>
      <c r="D27" t="s">
        <v>196</v>
      </c>
      <c r="E27">
        <f t="shared" si="1"/>
        <v>837.35473599999978</v>
      </c>
      <c r="F27">
        <v>250</v>
      </c>
      <c r="G27">
        <f t="shared" si="0"/>
        <v>7.7473181884745559</v>
      </c>
    </row>
    <row r="28" spans="1:7" x14ac:dyDescent="0.25">
      <c r="A28">
        <v>1000</v>
      </c>
      <c r="B28">
        <v>2311.851807</v>
      </c>
      <c r="C28">
        <v>-20.059228999999998</v>
      </c>
      <c r="D28" t="s">
        <v>197</v>
      </c>
      <c r="E28">
        <f t="shared" si="1"/>
        <v>833.85180700000001</v>
      </c>
      <c r="F28">
        <v>260</v>
      </c>
      <c r="G28">
        <f t="shared" si="0"/>
        <v>7.7458041304196081</v>
      </c>
    </row>
    <row r="29" spans="1:7" x14ac:dyDescent="0.25">
      <c r="A29">
        <v>1000</v>
      </c>
      <c r="B29">
        <v>2308.8156739999999</v>
      </c>
      <c r="C29">
        <v>-20.037085000000001</v>
      </c>
      <c r="D29" t="s">
        <v>372</v>
      </c>
      <c r="E29">
        <f t="shared" si="1"/>
        <v>830.81567399999994</v>
      </c>
      <c r="F29">
        <v>270</v>
      </c>
      <c r="G29">
        <f t="shared" si="0"/>
        <v>7.7444899768046014</v>
      </c>
    </row>
    <row r="30" spans="1:7" x14ac:dyDescent="0.25">
      <c r="A30">
        <v>1000</v>
      </c>
      <c r="B30">
        <v>2306.7854000000002</v>
      </c>
      <c r="C30">
        <v>-20.041716000000001</v>
      </c>
      <c r="D30" t="s">
        <v>373</v>
      </c>
      <c r="E30">
        <f t="shared" si="1"/>
        <v>828.78540000000021</v>
      </c>
      <c r="F30">
        <v>280</v>
      </c>
      <c r="G30">
        <f t="shared" si="0"/>
        <v>7.7436102326073044</v>
      </c>
    </row>
    <row r="31" spans="1:7" x14ac:dyDescent="0.25">
      <c r="A31">
        <v>1000</v>
      </c>
      <c r="B31">
        <v>2304.2807619999999</v>
      </c>
      <c r="C31">
        <v>-20.064011000000001</v>
      </c>
      <c r="D31" t="s">
        <v>200</v>
      </c>
      <c r="E31">
        <f t="shared" si="1"/>
        <v>826.28076199999987</v>
      </c>
      <c r="F31">
        <v>290</v>
      </c>
      <c r="G31">
        <f t="shared" si="0"/>
        <v>7.7425238728985812</v>
      </c>
    </row>
    <row r="32" spans="1:7" x14ac:dyDescent="0.25">
      <c r="A32">
        <v>1000</v>
      </c>
      <c r="B32">
        <v>2299.091797</v>
      </c>
      <c r="C32">
        <v>-20.018877</v>
      </c>
      <c r="D32" t="s">
        <v>374</v>
      </c>
      <c r="E32">
        <f t="shared" si="1"/>
        <v>821.09179700000004</v>
      </c>
      <c r="F32">
        <v>300</v>
      </c>
      <c r="G32">
        <f t="shared" si="0"/>
        <v>7.7402694530656451</v>
      </c>
    </row>
    <row r="33" spans="1:7" x14ac:dyDescent="0.25">
      <c r="A33">
        <v>1000</v>
      </c>
      <c r="B33">
        <v>2296.4670409999999</v>
      </c>
      <c r="C33">
        <v>-20.015733999999998</v>
      </c>
      <c r="D33" t="s">
        <v>202</v>
      </c>
      <c r="E33">
        <f t="shared" si="1"/>
        <v>818.46704099999988</v>
      </c>
      <c r="F33">
        <v>310</v>
      </c>
      <c r="G33">
        <f t="shared" si="0"/>
        <v>7.7391271518231033</v>
      </c>
    </row>
    <row r="34" spans="1:7" x14ac:dyDescent="0.25">
      <c r="A34">
        <v>1000</v>
      </c>
      <c r="B34">
        <v>2294.4545899999998</v>
      </c>
      <c r="C34">
        <v>-20.023273</v>
      </c>
      <c r="D34" t="s">
        <v>203</v>
      </c>
      <c r="E34">
        <f t="shared" si="1"/>
        <v>816.45458999999983</v>
      </c>
      <c r="F34">
        <v>320</v>
      </c>
      <c r="G34">
        <f t="shared" ref="G34:G65" si="2">LN(B34)</f>
        <v>7.7382504428349508</v>
      </c>
    </row>
    <row r="35" spans="1:7" x14ac:dyDescent="0.25">
      <c r="A35">
        <v>1000</v>
      </c>
      <c r="B35">
        <v>2292.7248540000001</v>
      </c>
      <c r="C35">
        <v>-20.027864000000001</v>
      </c>
      <c r="D35" t="s">
        <v>204</v>
      </c>
      <c r="E35">
        <f t="shared" si="1"/>
        <v>814.72485400000005</v>
      </c>
      <c r="F35">
        <v>330</v>
      </c>
      <c r="G35">
        <f t="shared" si="2"/>
        <v>7.7374962817636002</v>
      </c>
    </row>
    <row r="36" spans="1:7" x14ac:dyDescent="0.25">
      <c r="A36">
        <v>1000</v>
      </c>
      <c r="B36">
        <v>2291.3066410000001</v>
      </c>
      <c r="C36">
        <v>-20.067917000000001</v>
      </c>
      <c r="D36" t="s">
        <v>205</v>
      </c>
      <c r="E36">
        <f t="shared" si="1"/>
        <v>813.30664100000013</v>
      </c>
      <c r="F36">
        <v>340</v>
      </c>
      <c r="G36">
        <f t="shared" si="2"/>
        <v>7.7368775194157422</v>
      </c>
    </row>
    <row r="37" spans="1:7" x14ac:dyDescent="0.25">
      <c r="A37">
        <v>1000</v>
      </c>
      <c r="B37">
        <v>2291.3278810000002</v>
      </c>
      <c r="C37">
        <v>-20.128937000000001</v>
      </c>
      <c r="D37" t="s">
        <v>206</v>
      </c>
      <c r="E37">
        <f t="shared" si="1"/>
        <v>813.32788100000016</v>
      </c>
      <c r="F37">
        <v>350</v>
      </c>
      <c r="G37">
        <f t="shared" si="2"/>
        <v>7.7368867891927229</v>
      </c>
    </row>
    <row r="38" spans="1:7" x14ac:dyDescent="0.25">
      <c r="A38">
        <v>1000</v>
      </c>
      <c r="B38">
        <v>2284.733154</v>
      </c>
      <c r="C38">
        <v>-19.879936000000001</v>
      </c>
      <c r="D38" t="s">
        <v>207</v>
      </c>
      <c r="E38">
        <f t="shared" si="1"/>
        <v>806.73315400000001</v>
      </c>
      <c r="F38">
        <v>360</v>
      </c>
      <c r="G38">
        <f t="shared" si="2"/>
        <v>7.7340045148895449</v>
      </c>
    </row>
    <row r="39" spans="1:7" x14ac:dyDescent="0.25">
      <c r="A39">
        <v>1000</v>
      </c>
      <c r="B39">
        <v>2279.8107909999999</v>
      </c>
      <c r="C39">
        <v>-19.759125000000001</v>
      </c>
      <c r="D39" t="s">
        <v>208</v>
      </c>
      <c r="E39">
        <f t="shared" si="1"/>
        <v>801.81079099999988</v>
      </c>
      <c r="F39">
        <v>370</v>
      </c>
      <c r="G39">
        <f t="shared" si="2"/>
        <v>7.7318477321014152</v>
      </c>
    </row>
    <row r="40" spans="1:7" x14ac:dyDescent="0.25">
      <c r="A40">
        <v>1000</v>
      </c>
      <c r="B40">
        <v>2279.530029</v>
      </c>
      <c r="C40">
        <v>-19.839473999999999</v>
      </c>
      <c r="D40" t="s">
        <v>209</v>
      </c>
      <c r="E40">
        <f t="shared" si="1"/>
        <v>801.53002900000001</v>
      </c>
      <c r="F40">
        <v>380</v>
      </c>
      <c r="G40">
        <f t="shared" si="2"/>
        <v>7.7317245730696875</v>
      </c>
    </row>
    <row r="41" spans="1:7" x14ac:dyDescent="0.25">
      <c r="A41">
        <v>1000</v>
      </c>
      <c r="B41">
        <v>2278.3393550000001</v>
      </c>
      <c r="C41">
        <v>-19.82386</v>
      </c>
      <c r="D41" t="s">
        <v>210</v>
      </c>
      <c r="E41">
        <f t="shared" si="1"/>
        <v>800.33935500000007</v>
      </c>
      <c r="F41">
        <v>390</v>
      </c>
      <c r="G41">
        <f t="shared" si="2"/>
        <v>7.7312021035003466</v>
      </c>
    </row>
    <row r="42" spans="1:7" x14ac:dyDescent="0.25">
      <c r="A42">
        <v>1000</v>
      </c>
      <c r="B42">
        <v>2273.4458009999998</v>
      </c>
      <c r="C42">
        <v>-19.697255999999999</v>
      </c>
      <c r="D42" t="s">
        <v>211</v>
      </c>
      <c r="E42">
        <f t="shared" si="1"/>
        <v>795.44580099999985</v>
      </c>
      <c r="F42">
        <v>400</v>
      </c>
      <c r="G42">
        <f t="shared" si="2"/>
        <v>7.729051933526315</v>
      </c>
    </row>
    <row r="43" spans="1:7" x14ac:dyDescent="0.25">
      <c r="A43">
        <v>1000</v>
      </c>
      <c r="B43">
        <v>2265.2851559999999</v>
      </c>
      <c r="C43">
        <v>-19.422041</v>
      </c>
      <c r="D43" t="s">
        <v>212</v>
      </c>
      <c r="E43">
        <f t="shared" si="1"/>
        <v>787.28515599999992</v>
      </c>
      <c r="F43">
        <v>410</v>
      </c>
      <c r="G43">
        <f t="shared" si="2"/>
        <v>7.725455926681553</v>
      </c>
    </row>
    <row r="44" spans="1:7" x14ac:dyDescent="0.25">
      <c r="A44">
        <v>1000</v>
      </c>
      <c r="B44">
        <v>2256.8811040000001</v>
      </c>
      <c r="C44">
        <v>-19.154816</v>
      </c>
      <c r="D44" t="s">
        <v>213</v>
      </c>
      <c r="E44">
        <f t="shared" si="1"/>
        <v>778.88110400000005</v>
      </c>
      <c r="F44">
        <v>420</v>
      </c>
      <c r="G44">
        <f t="shared" si="2"/>
        <v>7.7217390966528221</v>
      </c>
    </row>
    <row r="45" spans="1:7" x14ac:dyDescent="0.25">
      <c r="A45">
        <v>1000</v>
      </c>
      <c r="B45">
        <v>2244.5085450000001</v>
      </c>
      <c r="C45">
        <v>-18.609860999999999</v>
      </c>
      <c r="D45" t="s">
        <v>214</v>
      </c>
      <c r="E45">
        <f t="shared" si="1"/>
        <v>766.50854500000014</v>
      </c>
      <c r="F45">
        <v>430</v>
      </c>
      <c r="G45">
        <f t="shared" si="2"/>
        <v>7.7162418652987226</v>
      </c>
    </row>
    <row r="46" spans="1:7" x14ac:dyDescent="0.25">
      <c r="A46">
        <v>1000</v>
      </c>
      <c r="B46">
        <v>2238.297607</v>
      </c>
      <c r="C46">
        <v>-18.396227</v>
      </c>
      <c r="D46" t="s">
        <v>215</v>
      </c>
      <c r="E46">
        <f t="shared" si="1"/>
        <v>760.29760699999997</v>
      </c>
      <c r="F46">
        <v>440</v>
      </c>
      <c r="G46">
        <f t="shared" si="2"/>
        <v>7.7134708590300534</v>
      </c>
    </row>
    <row r="47" spans="1:7" x14ac:dyDescent="0.25">
      <c r="A47">
        <v>1000</v>
      </c>
      <c r="B47">
        <v>2232.3305660000001</v>
      </c>
      <c r="C47">
        <v>-18.245702999999999</v>
      </c>
      <c r="D47" t="s">
        <v>375</v>
      </c>
      <c r="E47">
        <f t="shared" si="1"/>
        <v>754.33056600000009</v>
      </c>
      <c r="F47">
        <v>450</v>
      </c>
      <c r="G47">
        <f t="shared" si="2"/>
        <v>7.7108014155816234</v>
      </c>
    </row>
    <row r="48" spans="1:7" x14ac:dyDescent="0.25">
      <c r="A48">
        <v>1000</v>
      </c>
      <c r="B48">
        <v>2233.2609859999998</v>
      </c>
      <c r="C48">
        <v>-18.241126999999999</v>
      </c>
      <c r="D48" t="s">
        <v>376</v>
      </c>
      <c r="E48">
        <f t="shared" si="1"/>
        <v>755.26098599999978</v>
      </c>
      <c r="F48">
        <v>460</v>
      </c>
      <c r="G48">
        <f t="shared" si="2"/>
        <v>7.7112181218578817</v>
      </c>
    </row>
    <row r="49" spans="1:7" x14ac:dyDescent="0.25">
      <c r="A49">
        <v>1000</v>
      </c>
      <c r="B49">
        <v>2229.445557</v>
      </c>
      <c r="C49">
        <v>-18.131052</v>
      </c>
      <c r="D49" t="s">
        <v>218</v>
      </c>
      <c r="E49">
        <f t="shared" si="1"/>
        <v>751.44555700000001</v>
      </c>
      <c r="F49">
        <v>470</v>
      </c>
      <c r="G49">
        <f t="shared" si="2"/>
        <v>7.709508204392832</v>
      </c>
    </row>
    <row r="50" spans="1:7" x14ac:dyDescent="0.25">
      <c r="A50">
        <v>1000</v>
      </c>
      <c r="B50">
        <v>2226.9096679999998</v>
      </c>
      <c r="C50">
        <v>-18.051438999999998</v>
      </c>
      <c r="D50" t="s">
        <v>219</v>
      </c>
      <c r="E50">
        <f t="shared" si="1"/>
        <v>748.90966799999978</v>
      </c>
      <c r="F50">
        <v>480</v>
      </c>
      <c r="G50">
        <f t="shared" si="2"/>
        <v>7.7083701042434107</v>
      </c>
    </row>
    <row r="51" spans="1:7" x14ac:dyDescent="0.25">
      <c r="A51">
        <v>1000</v>
      </c>
      <c r="B51">
        <v>2223.7302249999998</v>
      </c>
      <c r="C51">
        <v>-17.942046999999999</v>
      </c>
      <c r="D51" t="s">
        <v>220</v>
      </c>
      <c r="E51">
        <f t="shared" si="1"/>
        <v>745.73022499999979</v>
      </c>
      <c r="F51">
        <v>490</v>
      </c>
      <c r="G51">
        <f t="shared" si="2"/>
        <v>7.7069413463041929</v>
      </c>
    </row>
    <row r="52" spans="1:7" x14ac:dyDescent="0.25">
      <c r="A52">
        <v>1000</v>
      </c>
      <c r="B52">
        <v>2223.2780760000001</v>
      </c>
      <c r="C52">
        <v>-17.89395</v>
      </c>
      <c r="D52" t="s">
        <v>377</v>
      </c>
      <c r="E52">
        <f t="shared" si="1"/>
        <v>745.27807600000006</v>
      </c>
      <c r="F52">
        <v>500</v>
      </c>
      <c r="G52">
        <f t="shared" si="2"/>
        <v>7.7067379965593963</v>
      </c>
    </row>
    <row r="53" spans="1:7" x14ac:dyDescent="0.25">
      <c r="A53">
        <v>1000</v>
      </c>
      <c r="B53">
        <v>2220.678711</v>
      </c>
      <c r="C53">
        <v>-17.821646000000001</v>
      </c>
      <c r="D53" t="s">
        <v>378</v>
      </c>
      <c r="E53">
        <f t="shared" si="1"/>
        <v>742.67871100000002</v>
      </c>
      <c r="F53">
        <v>510</v>
      </c>
      <c r="G53">
        <f t="shared" si="2"/>
        <v>7.7055681538174294</v>
      </c>
    </row>
    <row r="54" spans="1:7" x14ac:dyDescent="0.25">
      <c r="A54">
        <v>1000</v>
      </c>
      <c r="B54">
        <v>2216.5173340000001</v>
      </c>
      <c r="C54">
        <v>-17.691133000000001</v>
      </c>
      <c r="D54" t="s">
        <v>223</v>
      </c>
      <c r="E54">
        <f t="shared" si="1"/>
        <v>738.51733400000012</v>
      </c>
      <c r="F54">
        <v>520</v>
      </c>
      <c r="G54">
        <f t="shared" si="2"/>
        <v>7.703692474592156</v>
      </c>
    </row>
    <row r="55" spans="1:7" x14ac:dyDescent="0.25">
      <c r="A55">
        <v>1000</v>
      </c>
      <c r="B55">
        <v>2215.388672</v>
      </c>
      <c r="C55">
        <v>-17.657350999999998</v>
      </c>
      <c r="D55" t="s">
        <v>379</v>
      </c>
      <c r="E55">
        <f t="shared" si="1"/>
        <v>737.38867200000004</v>
      </c>
      <c r="F55">
        <v>530</v>
      </c>
      <c r="G55">
        <f t="shared" si="2"/>
        <v>7.7031831397719355</v>
      </c>
    </row>
    <row r="56" spans="1:7" x14ac:dyDescent="0.25">
      <c r="A56">
        <v>1000</v>
      </c>
      <c r="B56">
        <v>2213.5415039999998</v>
      </c>
      <c r="C56">
        <v>-17.610946999999999</v>
      </c>
      <c r="D56" t="s">
        <v>225</v>
      </c>
      <c r="E56">
        <f t="shared" si="1"/>
        <v>735.5415039999998</v>
      </c>
      <c r="F56">
        <v>540</v>
      </c>
      <c r="G56">
        <f t="shared" si="2"/>
        <v>7.7023490023917107</v>
      </c>
    </row>
    <row r="57" spans="1:7" x14ac:dyDescent="0.25">
      <c r="A57">
        <v>1000</v>
      </c>
      <c r="B57">
        <v>2211.7983399999998</v>
      </c>
      <c r="C57">
        <v>-17.541183</v>
      </c>
      <c r="D57" t="s">
        <v>380</v>
      </c>
      <c r="E57">
        <f t="shared" si="1"/>
        <v>733.79833999999983</v>
      </c>
      <c r="F57">
        <v>550</v>
      </c>
      <c r="G57">
        <f t="shared" si="2"/>
        <v>7.701561192121039</v>
      </c>
    </row>
    <row r="58" spans="1:7" x14ac:dyDescent="0.25">
      <c r="A58">
        <v>1000</v>
      </c>
      <c r="B58">
        <v>2210.1694339999999</v>
      </c>
      <c r="C58">
        <v>-17.533562</v>
      </c>
      <c r="D58" t="s">
        <v>227</v>
      </c>
      <c r="E58">
        <f t="shared" si="1"/>
        <v>732.16943399999991</v>
      </c>
      <c r="F58">
        <v>560</v>
      </c>
      <c r="G58">
        <f t="shared" si="2"/>
        <v>7.7008244585413621</v>
      </c>
    </row>
    <row r="59" spans="1:7" x14ac:dyDescent="0.25">
      <c r="A59">
        <v>1000</v>
      </c>
      <c r="B59">
        <v>2209.1899410000001</v>
      </c>
      <c r="C59">
        <v>-17.483809999999998</v>
      </c>
      <c r="D59" t="s">
        <v>228</v>
      </c>
      <c r="E59">
        <f t="shared" si="1"/>
        <v>731.18994100000009</v>
      </c>
      <c r="F59">
        <v>570</v>
      </c>
      <c r="G59">
        <f t="shared" si="2"/>
        <v>7.7003811847847272</v>
      </c>
    </row>
    <row r="60" spans="1:7" x14ac:dyDescent="0.25">
      <c r="A60">
        <v>1000</v>
      </c>
      <c r="B60">
        <v>2207.7348630000001</v>
      </c>
      <c r="C60">
        <v>-17.431121999999998</v>
      </c>
      <c r="D60" t="s">
        <v>381</v>
      </c>
      <c r="E60">
        <f t="shared" si="1"/>
        <v>729.73486300000013</v>
      </c>
      <c r="F60">
        <v>580</v>
      </c>
      <c r="G60">
        <f t="shared" si="2"/>
        <v>7.6997223200237421</v>
      </c>
    </row>
    <row r="61" spans="1:7" x14ac:dyDescent="0.25">
      <c r="A61">
        <v>1000</v>
      </c>
      <c r="B61">
        <v>2205.2739259999998</v>
      </c>
      <c r="C61">
        <v>-17.377614999999999</v>
      </c>
      <c r="D61" t="s">
        <v>382</v>
      </c>
      <c r="E61">
        <f t="shared" si="1"/>
        <v>727.27392599999985</v>
      </c>
      <c r="F61">
        <v>590</v>
      </c>
      <c r="G61">
        <f t="shared" si="2"/>
        <v>7.6986070096435615</v>
      </c>
    </row>
    <row r="62" spans="1:7" x14ac:dyDescent="0.25">
      <c r="A62">
        <v>1000</v>
      </c>
      <c r="B62">
        <v>2204.1611330000001</v>
      </c>
      <c r="C62">
        <v>-17.323656</v>
      </c>
      <c r="D62" t="s">
        <v>383</v>
      </c>
      <c r="E62">
        <f t="shared" si="1"/>
        <v>726.16113300000006</v>
      </c>
      <c r="F62">
        <v>600</v>
      </c>
      <c r="G62">
        <f t="shared" si="2"/>
        <v>7.6981022769470897</v>
      </c>
    </row>
    <row r="63" spans="1:7" x14ac:dyDescent="0.25">
      <c r="A63">
        <v>1000</v>
      </c>
      <c r="B63">
        <v>2201.0124510000001</v>
      </c>
      <c r="C63">
        <v>-17.228676</v>
      </c>
      <c r="D63" t="s">
        <v>384</v>
      </c>
      <c r="E63">
        <f t="shared" si="1"/>
        <v>723.01245100000006</v>
      </c>
      <c r="F63">
        <v>610</v>
      </c>
      <c r="G63">
        <f t="shared" si="2"/>
        <v>7.6966727384845637</v>
      </c>
    </row>
    <row r="64" spans="1:7" x14ac:dyDescent="0.25">
      <c r="A64">
        <v>1000</v>
      </c>
      <c r="B64">
        <v>2200.4340820000002</v>
      </c>
      <c r="C64">
        <v>-17.260884999999998</v>
      </c>
      <c r="D64" t="s">
        <v>233</v>
      </c>
      <c r="E64">
        <f t="shared" si="1"/>
        <v>722.43408200000022</v>
      </c>
      <c r="F64">
        <v>620</v>
      </c>
      <c r="G64">
        <f t="shared" si="2"/>
        <v>7.696409929883349</v>
      </c>
    </row>
    <row r="65" spans="1:7" x14ac:dyDescent="0.25">
      <c r="A65">
        <v>1000</v>
      </c>
      <c r="B65">
        <v>2198.3378910000001</v>
      </c>
      <c r="C65">
        <v>-17.175426000000002</v>
      </c>
      <c r="D65" t="s">
        <v>234</v>
      </c>
      <c r="E65">
        <f t="shared" si="1"/>
        <v>720.33789100000013</v>
      </c>
      <c r="F65">
        <v>630</v>
      </c>
      <c r="G65">
        <f t="shared" si="2"/>
        <v>7.6954568497184574</v>
      </c>
    </row>
    <row r="66" spans="1:7" x14ac:dyDescent="0.25">
      <c r="A66">
        <v>1000</v>
      </c>
      <c r="B66">
        <v>2198.0590820000002</v>
      </c>
      <c r="C66">
        <v>-17.177654</v>
      </c>
      <c r="D66" t="s">
        <v>235</v>
      </c>
      <c r="E66">
        <f t="shared" si="1"/>
        <v>720.05908200000022</v>
      </c>
      <c r="F66">
        <v>640</v>
      </c>
      <c r="G66">
        <f t="shared" ref="G66:G97" si="3">LN(B66)</f>
        <v>7.6953300144931189</v>
      </c>
    </row>
    <row r="67" spans="1:7" x14ac:dyDescent="0.25">
      <c r="A67">
        <v>1000</v>
      </c>
      <c r="B67">
        <v>2196.5676269999999</v>
      </c>
      <c r="C67">
        <v>-17.147997</v>
      </c>
      <c r="D67" t="s">
        <v>385</v>
      </c>
      <c r="E67">
        <f t="shared" ref="E67:E130" si="4">B67-N$3</f>
        <v>718.5676269999999</v>
      </c>
      <c r="F67">
        <v>650</v>
      </c>
      <c r="G67">
        <f t="shared" si="3"/>
        <v>7.6946512514690797</v>
      </c>
    </row>
    <row r="68" spans="1:7" x14ac:dyDescent="0.25">
      <c r="A68">
        <v>1000</v>
      </c>
      <c r="B68">
        <v>2194.3071289999998</v>
      </c>
      <c r="C68">
        <v>-17.061458999999999</v>
      </c>
      <c r="D68" t="s">
        <v>237</v>
      </c>
      <c r="E68">
        <f t="shared" si="4"/>
        <v>716.3071289999998</v>
      </c>
      <c r="F68">
        <v>660</v>
      </c>
      <c r="G68">
        <f t="shared" si="3"/>
        <v>7.693621616908624</v>
      </c>
    </row>
    <row r="69" spans="1:7" x14ac:dyDescent="0.25">
      <c r="A69">
        <v>1000</v>
      </c>
      <c r="B69">
        <v>2192.9978030000002</v>
      </c>
      <c r="C69">
        <v>-17.001749</v>
      </c>
      <c r="D69" t="s">
        <v>386</v>
      </c>
      <c r="E69">
        <f t="shared" si="4"/>
        <v>714.9978030000002</v>
      </c>
      <c r="F69">
        <v>670</v>
      </c>
      <c r="G69">
        <f t="shared" si="3"/>
        <v>7.6930247465934007</v>
      </c>
    </row>
    <row r="70" spans="1:7" x14ac:dyDescent="0.25">
      <c r="A70">
        <v>1000</v>
      </c>
      <c r="B70">
        <v>2191.4289549999999</v>
      </c>
      <c r="C70">
        <v>-16.976994999999999</v>
      </c>
      <c r="D70" t="s">
        <v>239</v>
      </c>
      <c r="E70">
        <f t="shared" si="4"/>
        <v>713.42895499999986</v>
      </c>
      <c r="F70">
        <v>680</v>
      </c>
      <c r="G70">
        <f t="shared" si="3"/>
        <v>7.6923091008985134</v>
      </c>
    </row>
    <row r="71" spans="1:7" x14ac:dyDescent="0.25">
      <c r="A71">
        <v>1000</v>
      </c>
      <c r="B71">
        <v>2189.1274410000001</v>
      </c>
      <c r="C71">
        <v>-16.892178999999999</v>
      </c>
      <c r="D71" t="s">
        <v>240</v>
      </c>
      <c r="E71">
        <f t="shared" si="4"/>
        <v>711.12744100000009</v>
      </c>
      <c r="F71">
        <v>690</v>
      </c>
      <c r="G71">
        <f t="shared" si="3"/>
        <v>7.691258314649593</v>
      </c>
    </row>
    <row r="72" spans="1:7" x14ac:dyDescent="0.25">
      <c r="A72">
        <v>1000</v>
      </c>
      <c r="B72">
        <v>2189.3710940000001</v>
      </c>
      <c r="C72">
        <v>-16.862808000000001</v>
      </c>
      <c r="D72" t="s">
        <v>387</v>
      </c>
      <c r="E72">
        <f t="shared" si="4"/>
        <v>711.37109400000008</v>
      </c>
      <c r="F72">
        <v>700</v>
      </c>
      <c r="G72">
        <f t="shared" si="3"/>
        <v>7.6913696098793638</v>
      </c>
    </row>
    <row r="73" spans="1:7" x14ac:dyDescent="0.25">
      <c r="A73">
        <v>1000</v>
      </c>
      <c r="B73">
        <v>2187.8771969999998</v>
      </c>
      <c r="C73">
        <v>-16.829654999999999</v>
      </c>
      <c r="D73" t="s">
        <v>242</v>
      </c>
      <c r="E73">
        <f t="shared" si="4"/>
        <v>709.8771969999998</v>
      </c>
      <c r="F73">
        <v>710</v>
      </c>
      <c r="G73">
        <f t="shared" si="3"/>
        <v>7.6906870362812088</v>
      </c>
    </row>
    <row r="74" spans="1:7" x14ac:dyDescent="0.25">
      <c r="A74">
        <v>1000</v>
      </c>
      <c r="B74">
        <v>2185.7385250000002</v>
      </c>
      <c r="C74">
        <v>-16.752132</v>
      </c>
      <c r="D74" t="s">
        <v>388</v>
      </c>
      <c r="E74">
        <f t="shared" si="4"/>
        <v>707.73852500000021</v>
      </c>
      <c r="F74">
        <v>720</v>
      </c>
      <c r="G74">
        <f t="shared" si="3"/>
        <v>7.6897090481330022</v>
      </c>
    </row>
    <row r="75" spans="1:7" x14ac:dyDescent="0.25">
      <c r="A75">
        <v>1000</v>
      </c>
      <c r="B75">
        <v>2184.28125</v>
      </c>
      <c r="C75">
        <v>-16.715755000000001</v>
      </c>
      <c r="D75" t="s">
        <v>244</v>
      </c>
      <c r="E75">
        <f t="shared" si="4"/>
        <v>706.28125</v>
      </c>
      <c r="F75">
        <v>730</v>
      </c>
      <c r="G75">
        <f t="shared" si="3"/>
        <v>7.689042106046216</v>
      </c>
    </row>
    <row r="76" spans="1:7" x14ac:dyDescent="0.25">
      <c r="A76">
        <v>1000</v>
      </c>
      <c r="B76">
        <v>2183.1933589999999</v>
      </c>
      <c r="C76">
        <v>-16.681357999999999</v>
      </c>
      <c r="D76" t="s">
        <v>389</v>
      </c>
      <c r="E76">
        <f t="shared" si="4"/>
        <v>705.19335899999987</v>
      </c>
      <c r="F76">
        <v>740</v>
      </c>
      <c r="G76">
        <f t="shared" si="3"/>
        <v>7.6885439275243499</v>
      </c>
    </row>
    <row r="77" spans="1:7" x14ac:dyDescent="0.25">
      <c r="A77">
        <v>1000</v>
      </c>
      <c r="B77">
        <v>2182.6313479999999</v>
      </c>
      <c r="C77">
        <v>-16.631128</v>
      </c>
      <c r="D77" t="s">
        <v>390</v>
      </c>
      <c r="E77">
        <f t="shared" si="4"/>
        <v>704.63134799999989</v>
      </c>
      <c r="F77">
        <v>750</v>
      </c>
      <c r="G77">
        <f t="shared" si="3"/>
        <v>7.6882864682625511</v>
      </c>
    </row>
    <row r="78" spans="1:7" x14ac:dyDescent="0.25">
      <c r="A78">
        <v>1000</v>
      </c>
      <c r="B78">
        <v>2180.6108399999998</v>
      </c>
      <c r="C78">
        <v>-16.586786</v>
      </c>
      <c r="D78" t="s">
        <v>247</v>
      </c>
      <c r="E78">
        <f t="shared" si="4"/>
        <v>702.61083999999983</v>
      </c>
      <c r="F78">
        <v>760</v>
      </c>
      <c r="G78">
        <f t="shared" si="3"/>
        <v>7.6873603183687944</v>
      </c>
    </row>
    <row r="79" spans="1:7" x14ac:dyDescent="0.25">
      <c r="A79">
        <v>1000</v>
      </c>
      <c r="B79">
        <v>2181.3078609999998</v>
      </c>
      <c r="C79">
        <v>-16.640212999999999</v>
      </c>
      <c r="D79" t="s">
        <v>248</v>
      </c>
      <c r="E79">
        <f t="shared" si="4"/>
        <v>703.30786099999978</v>
      </c>
      <c r="F79">
        <v>770</v>
      </c>
      <c r="G79">
        <f t="shared" si="3"/>
        <v>7.6876799121318662</v>
      </c>
    </row>
    <row r="80" spans="1:7" x14ac:dyDescent="0.25">
      <c r="A80">
        <v>1000</v>
      </c>
      <c r="B80">
        <v>2180.6010740000002</v>
      </c>
      <c r="C80">
        <v>-16.607112999999998</v>
      </c>
      <c r="D80" t="s">
        <v>249</v>
      </c>
      <c r="E80">
        <f t="shared" si="4"/>
        <v>702.60107400000015</v>
      </c>
      <c r="F80">
        <v>780</v>
      </c>
      <c r="G80">
        <f t="shared" si="3"/>
        <v>7.6873558397971529</v>
      </c>
    </row>
    <row r="81" spans="1:7" x14ac:dyDescent="0.25">
      <c r="A81">
        <v>1000</v>
      </c>
      <c r="B81">
        <v>2181.0676269999999</v>
      </c>
      <c r="C81">
        <v>-16.610828000000001</v>
      </c>
      <c r="D81" t="s">
        <v>250</v>
      </c>
      <c r="E81">
        <f t="shared" si="4"/>
        <v>703.0676269999999</v>
      </c>
      <c r="F81">
        <v>790</v>
      </c>
      <c r="G81">
        <f t="shared" si="3"/>
        <v>7.6875697730569961</v>
      </c>
    </row>
    <row r="82" spans="1:7" x14ac:dyDescent="0.25">
      <c r="A82">
        <v>1000</v>
      </c>
      <c r="B82">
        <v>2179.548096</v>
      </c>
      <c r="C82">
        <v>-16.608685000000001</v>
      </c>
      <c r="D82" t="s">
        <v>251</v>
      </c>
      <c r="E82">
        <f t="shared" si="4"/>
        <v>701.54809599999999</v>
      </c>
      <c r="F82">
        <v>800</v>
      </c>
      <c r="G82">
        <f t="shared" si="3"/>
        <v>7.6868728388816265</v>
      </c>
    </row>
    <row r="83" spans="1:7" x14ac:dyDescent="0.25">
      <c r="A83">
        <v>1000</v>
      </c>
      <c r="B83">
        <v>2180.2624510000001</v>
      </c>
      <c r="C83">
        <v>-16.595133000000001</v>
      </c>
      <c r="D83" t="s">
        <v>252</v>
      </c>
      <c r="E83">
        <f t="shared" si="4"/>
        <v>702.26245100000006</v>
      </c>
      <c r="F83">
        <v>810</v>
      </c>
      <c r="G83">
        <f t="shared" si="3"/>
        <v>7.6872005389037685</v>
      </c>
    </row>
    <row r="84" spans="1:7" x14ac:dyDescent="0.25">
      <c r="A84">
        <v>1000</v>
      </c>
      <c r="B84">
        <v>2179.8610840000001</v>
      </c>
      <c r="C84">
        <v>-16.607388</v>
      </c>
      <c r="D84" t="s">
        <v>253</v>
      </c>
      <c r="E84">
        <f t="shared" si="4"/>
        <v>701.86108400000012</v>
      </c>
      <c r="F84">
        <v>820</v>
      </c>
      <c r="G84">
        <f t="shared" si="3"/>
        <v>7.6870164308169624</v>
      </c>
    </row>
    <row r="85" spans="1:7" x14ac:dyDescent="0.25">
      <c r="A85">
        <v>1000</v>
      </c>
      <c r="B85">
        <v>2179.7785640000002</v>
      </c>
      <c r="C85">
        <v>-16.627248999999999</v>
      </c>
      <c r="D85" t="s">
        <v>254</v>
      </c>
      <c r="E85">
        <f t="shared" si="4"/>
        <v>701.77856400000019</v>
      </c>
      <c r="F85">
        <v>830</v>
      </c>
      <c r="G85">
        <f t="shared" si="3"/>
        <v>7.6869785744771395</v>
      </c>
    </row>
    <row r="86" spans="1:7" x14ac:dyDescent="0.25">
      <c r="A86">
        <v>1000</v>
      </c>
      <c r="B86">
        <v>2178.9257809999999</v>
      </c>
      <c r="C86">
        <v>-16.616551999999999</v>
      </c>
      <c r="D86" t="s">
        <v>255</v>
      </c>
      <c r="E86">
        <f t="shared" si="4"/>
        <v>700.92578099999992</v>
      </c>
      <c r="F86">
        <v>840</v>
      </c>
      <c r="G86">
        <f t="shared" si="3"/>
        <v>7.6865872733273566</v>
      </c>
    </row>
    <row r="87" spans="1:7" x14ac:dyDescent="0.25">
      <c r="A87">
        <v>1000</v>
      </c>
      <c r="B87">
        <v>2179.709961</v>
      </c>
      <c r="C87">
        <v>-16.680783999999999</v>
      </c>
      <c r="D87" t="s">
        <v>256</v>
      </c>
      <c r="E87">
        <f t="shared" si="4"/>
        <v>701.70996100000002</v>
      </c>
      <c r="F87">
        <v>850</v>
      </c>
      <c r="G87">
        <f t="shared" si="3"/>
        <v>7.6869471015189648</v>
      </c>
    </row>
    <row r="88" spans="1:7" x14ac:dyDescent="0.25">
      <c r="A88">
        <v>1000</v>
      </c>
      <c r="B88">
        <v>2179.4011230000001</v>
      </c>
      <c r="C88">
        <v>-16.64658</v>
      </c>
      <c r="D88" t="s">
        <v>391</v>
      </c>
      <c r="E88">
        <f t="shared" si="4"/>
        <v>701.4011230000001</v>
      </c>
      <c r="F88">
        <v>860</v>
      </c>
      <c r="G88">
        <f t="shared" si="3"/>
        <v>7.6868054038220874</v>
      </c>
    </row>
    <row r="89" spans="1:7" x14ac:dyDescent="0.25">
      <c r="A89">
        <v>1000</v>
      </c>
      <c r="B89">
        <v>2179.4697270000001</v>
      </c>
      <c r="C89">
        <v>-16.678297000000001</v>
      </c>
      <c r="D89" t="s">
        <v>392</v>
      </c>
      <c r="E89">
        <f t="shared" si="4"/>
        <v>701.46972700000015</v>
      </c>
      <c r="F89">
        <v>870</v>
      </c>
      <c r="G89">
        <f t="shared" si="3"/>
        <v>7.6868368816989809</v>
      </c>
    </row>
    <row r="90" spans="1:7" x14ac:dyDescent="0.25">
      <c r="A90">
        <v>1000</v>
      </c>
      <c r="B90">
        <v>2176.88501</v>
      </c>
      <c r="C90">
        <v>-16.578835999999999</v>
      </c>
      <c r="D90" t="s">
        <v>259</v>
      </c>
      <c r="E90">
        <f t="shared" si="4"/>
        <v>698.88500999999997</v>
      </c>
      <c r="F90">
        <v>880</v>
      </c>
      <c r="G90">
        <f t="shared" si="3"/>
        <v>7.6856502394444624</v>
      </c>
    </row>
    <row r="91" spans="1:7" x14ac:dyDescent="0.25">
      <c r="A91">
        <v>1000</v>
      </c>
      <c r="B91">
        <v>2174.5046390000002</v>
      </c>
      <c r="C91">
        <v>-16.490427</v>
      </c>
      <c r="D91" t="s">
        <v>260</v>
      </c>
      <c r="E91">
        <f t="shared" si="4"/>
        <v>696.50463900000022</v>
      </c>
      <c r="F91">
        <v>890</v>
      </c>
      <c r="G91">
        <f t="shared" si="3"/>
        <v>7.6845561653994094</v>
      </c>
    </row>
    <row r="92" spans="1:7" x14ac:dyDescent="0.25">
      <c r="A92">
        <v>1000</v>
      </c>
      <c r="B92">
        <v>2175.5893550000001</v>
      </c>
      <c r="C92">
        <v>-16.502638000000001</v>
      </c>
      <c r="D92" t="s">
        <v>261</v>
      </c>
      <c r="E92">
        <f t="shared" si="4"/>
        <v>697.58935500000007</v>
      </c>
      <c r="F92">
        <v>900</v>
      </c>
      <c r="G92">
        <f t="shared" si="3"/>
        <v>7.6850548746337282</v>
      </c>
    </row>
    <row r="93" spans="1:7" x14ac:dyDescent="0.25">
      <c r="A93">
        <v>1000</v>
      </c>
      <c r="B93">
        <v>2174.2810060000002</v>
      </c>
      <c r="C93">
        <v>-16.490220999999998</v>
      </c>
      <c r="D93" t="s">
        <v>262</v>
      </c>
      <c r="E93">
        <f t="shared" si="4"/>
        <v>696.28100600000016</v>
      </c>
      <c r="F93">
        <v>910</v>
      </c>
      <c r="G93">
        <f t="shared" si="3"/>
        <v>7.6844533169178089</v>
      </c>
    </row>
    <row r="94" spans="1:7" x14ac:dyDescent="0.25">
      <c r="A94">
        <v>1000</v>
      </c>
      <c r="B94">
        <v>2173.7248540000001</v>
      </c>
      <c r="C94">
        <v>-16.459935999999999</v>
      </c>
      <c r="D94" t="s">
        <v>263</v>
      </c>
      <c r="E94">
        <f t="shared" si="4"/>
        <v>695.72485400000005</v>
      </c>
      <c r="F94">
        <v>920</v>
      </c>
      <c r="G94">
        <f t="shared" si="3"/>
        <v>7.6841974975739804</v>
      </c>
    </row>
    <row r="95" spans="1:7" x14ac:dyDescent="0.25">
      <c r="A95">
        <v>1000</v>
      </c>
      <c r="B95">
        <v>2172.8178710000002</v>
      </c>
      <c r="C95">
        <v>-16.431031999999998</v>
      </c>
      <c r="D95" t="s">
        <v>393</v>
      </c>
      <c r="E95">
        <f t="shared" si="4"/>
        <v>694.8178710000002</v>
      </c>
      <c r="F95">
        <v>930</v>
      </c>
      <c r="G95">
        <f t="shared" si="3"/>
        <v>7.6837801622016872</v>
      </c>
    </row>
    <row r="96" spans="1:7" x14ac:dyDescent="0.25">
      <c r="A96">
        <v>1000</v>
      </c>
      <c r="B96">
        <v>2172.999268</v>
      </c>
      <c r="C96">
        <v>-16.454568999999999</v>
      </c>
      <c r="D96" t="s">
        <v>265</v>
      </c>
      <c r="E96">
        <f t="shared" si="4"/>
        <v>694.99926800000003</v>
      </c>
      <c r="F96">
        <v>940</v>
      </c>
      <c r="G96">
        <f t="shared" si="3"/>
        <v>7.6838636433948908</v>
      </c>
    </row>
    <row r="97" spans="1:7" x14ac:dyDescent="0.25">
      <c r="A97">
        <v>1000</v>
      </c>
      <c r="B97">
        <v>2170.7250979999999</v>
      </c>
      <c r="C97">
        <v>-16.35549</v>
      </c>
      <c r="D97" t="s">
        <v>266</v>
      </c>
      <c r="E97">
        <f t="shared" si="4"/>
        <v>692.72509799999989</v>
      </c>
      <c r="F97">
        <v>950</v>
      </c>
      <c r="G97">
        <f t="shared" si="3"/>
        <v>7.6828165372637605</v>
      </c>
    </row>
    <row r="98" spans="1:7" x14ac:dyDescent="0.25">
      <c r="A98">
        <v>1000</v>
      </c>
      <c r="B98">
        <v>2169.7143550000001</v>
      </c>
      <c r="C98">
        <v>-16.323471000000001</v>
      </c>
      <c r="D98" t="s">
        <v>267</v>
      </c>
      <c r="E98">
        <f t="shared" si="4"/>
        <v>691.71435500000007</v>
      </c>
      <c r="F98">
        <v>960</v>
      </c>
      <c r="G98">
        <f t="shared" ref="G98:G129" si="5">LN(B98)</f>
        <v>7.6823508042294844</v>
      </c>
    </row>
    <row r="99" spans="1:7" x14ac:dyDescent="0.25">
      <c r="A99">
        <v>1000</v>
      </c>
      <c r="B99">
        <v>2169.6125489999999</v>
      </c>
      <c r="C99">
        <v>-16.325068000000002</v>
      </c>
      <c r="D99" t="s">
        <v>268</v>
      </c>
      <c r="E99">
        <f t="shared" si="4"/>
        <v>691.61254899999994</v>
      </c>
      <c r="F99">
        <v>970</v>
      </c>
      <c r="G99">
        <f t="shared" si="5"/>
        <v>7.6823038817448355</v>
      </c>
    </row>
    <row r="100" spans="1:7" x14ac:dyDescent="0.25">
      <c r="A100">
        <v>1000</v>
      </c>
      <c r="B100">
        <v>2169.993164</v>
      </c>
      <c r="C100">
        <v>-16.325271999999998</v>
      </c>
      <c r="D100" t="s">
        <v>269</v>
      </c>
      <c r="E100">
        <f t="shared" si="4"/>
        <v>691.99316399999998</v>
      </c>
      <c r="F100">
        <v>980</v>
      </c>
      <c r="G100">
        <f t="shared" si="5"/>
        <v>7.6824792962991282</v>
      </c>
    </row>
    <row r="101" spans="1:7" x14ac:dyDescent="0.25">
      <c r="A101">
        <v>1000</v>
      </c>
      <c r="B101">
        <v>2170.226318</v>
      </c>
      <c r="C101">
        <v>-16.374027000000002</v>
      </c>
      <c r="D101" t="s">
        <v>270</v>
      </c>
      <c r="E101">
        <f t="shared" si="4"/>
        <v>692.22631799999999</v>
      </c>
      <c r="F101">
        <v>990</v>
      </c>
      <c r="G101">
        <f t="shared" si="5"/>
        <v>7.6825867351054802</v>
      </c>
    </row>
    <row r="102" spans="1:7" x14ac:dyDescent="0.25">
      <c r="A102">
        <v>1000</v>
      </c>
      <c r="B102">
        <v>2171.6696780000002</v>
      </c>
      <c r="C102">
        <v>-16.445688000000001</v>
      </c>
      <c r="D102" t="s">
        <v>394</v>
      </c>
      <c r="E102">
        <f t="shared" si="4"/>
        <v>693.6696780000002</v>
      </c>
      <c r="F102">
        <v>1000</v>
      </c>
      <c r="G102">
        <f t="shared" si="5"/>
        <v>7.6832515875360752</v>
      </c>
    </row>
    <row r="103" spans="1:7" x14ac:dyDescent="0.25">
      <c r="A103">
        <v>1000</v>
      </c>
      <c r="B103">
        <v>2171.4887699999999</v>
      </c>
      <c r="C103">
        <v>-16.457053999999999</v>
      </c>
      <c r="D103" t="s">
        <v>395</v>
      </c>
      <c r="E103">
        <f t="shared" si="4"/>
        <v>693.48876999999993</v>
      </c>
      <c r="F103">
        <v>1010</v>
      </c>
      <c r="G103">
        <f t="shared" si="5"/>
        <v>7.6831682804210946</v>
      </c>
    </row>
    <row r="104" spans="1:7" x14ac:dyDescent="0.25">
      <c r="A104">
        <v>1000</v>
      </c>
      <c r="B104">
        <v>2170.2785640000002</v>
      </c>
      <c r="C104">
        <v>-16.386786000000001</v>
      </c>
      <c r="D104" t="s">
        <v>273</v>
      </c>
      <c r="E104">
        <f t="shared" si="4"/>
        <v>692.27856400000019</v>
      </c>
      <c r="F104">
        <v>1020</v>
      </c>
      <c r="G104">
        <f t="shared" si="5"/>
        <v>7.6826108088026297</v>
      </c>
    </row>
    <row r="105" spans="1:7" x14ac:dyDescent="0.25">
      <c r="A105">
        <v>1000</v>
      </c>
      <c r="B105">
        <v>2168.1179200000001</v>
      </c>
      <c r="C105">
        <v>-16.27421</v>
      </c>
      <c r="D105" t="s">
        <v>274</v>
      </c>
      <c r="E105">
        <f t="shared" si="4"/>
        <v>690.11792000000014</v>
      </c>
      <c r="F105">
        <v>1030</v>
      </c>
      <c r="G105">
        <f t="shared" si="5"/>
        <v>7.6816147522243039</v>
      </c>
    </row>
    <row r="106" spans="1:7" x14ac:dyDescent="0.25">
      <c r="A106">
        <v>1000</v>
      </c>
      <c r="B106">
        <v>2165.7209469999998</v>
      </c>
      <c r="C106">
        <v>-16.166087999999998</v>
      </c>
      <c r="D106" t="s">
        <v>275</v>
      </c>
      <c r="E106">
        <f t="shared" si="4"/>
        <v>687.7209469999998</v>
      </c>
      <c r="F106">
        <v>1040</v>
      </c>
      <c r="G106">
        <f t="shared" si="5"/>
        <v>7.6805085859278757</v>
      </c>
    </row>
    <row r="107" spans="1:7" x14ac:dyDescent="0.25">
      <c r="A107">
        <v>1000</v>
      </c>
      <c r="B107">
        <v>2163.326172</v>
      </c>
      <c r="C107">
        <v>-16.042448</v>
      </c>
      <c r="D107" t="s">
        <v>276</v>
      </c>
      <c r="E107">
        <f t="shared" si="4"/>
        <v>685.32617200000004</v>
      </c>
      <c r="F107">
        <v>1050</v>
      </c>
      <c r="G107">
        <f t="shared" si="5"/>
        <v>7.6794022107009718</v>
      </c>
    </row>
    <row r="108" spans="1:7" x14ac:dyDescent="0.25">
      <c r="A108">
        <v>1000</v>
      </c>
      <c r="B108">
        <v>2161.876953</v>
      </c>
      <c r="C108">
        <v>-15.999022</v>
      </c>
      <c r="D108" t="s">
        <v>277</v>
      </c>
      <c r="E108">
        <f t="shared" si="4"/>
        <v>683.87695299999996</v>
      </c>
      <c r="F108">
        <v>1060</v>
      </c>
      <c r="G108">
        <f t="shared" si="5"/>
        <v>7.6787320830735055</v>
      </c>
    </row>
    <row r="109" spans="1:7" x14ac:dyDescent="0.25">
      <c r="A109">
        <v>1000</v>
      </c>
      <c r="B109">
        <v>2161.4033199999999</v>
      </c>
      <c r="C109">
        <v>-15.968655999999999</v>
      </c>
      <c r="D109" t="s">
        <v>396</v>
      </c>
      <c r="E109">
        <f t="shared" si="4"/>
        <v>683.40331999999989</v>
      </c>
      <c r="F109">
        <v>1070</v>
      </c>
      <c r="G109">
        <f t="shared" si="5"/>
        <v>7.6785129749093404</v>
      </c>
    </row>
    <row r="110" spans="1:7" x14ac:dyDescent="0.25">
      <c r="A110">
        <v>1000</v>
      </c>
      <c r="B110">
        <v>2160.546875</v>
      </c>
      <c r="C110">
        <v>-15.90381</v>
      </c>
      <c r="D110" t="s">
        <v>279</v>
      </c>
      <c r="E110">
        <f t="shared" si="4"/>
        <v>682.546875</v>
      </c>
      <c r="F110">
        <v>1080</v>
      </c>
      <c r="G110">
        <f t="shared" si="5"/>
        <v>7.6781166515032071</v>
      </c>
    </row>
    <row r="111" spans="1:7" x14ac:dyDescent="0.25">
      <c r="A111">
        <v>1000</v>
      </c>
      <c r="B111">
        <v>2157.7163089999999</v>
      </c>
      <c r="C111">
        <v>-15.816520000000001</v>
      </c>
      <c r="D111" t="s">
        <v>397</v>
      </c>
      <c r="E111">
        <f t="shared" si="4"/>
        <v>679.71630899999991</v>
      </c>
      <c r="F111">
        <v>1090</v>
      </c>
      <c r="G111">
        <f t="shared" si="5"/>
        <v>7.6768056770281516</v>
      </c>
    </row>
    <row r="112" spans="1:7" x14ac:dyDescent="0.25">
      <c r="A112">
        <v>1000</v>
      </c>
      <c r="B112">
        <v>2157.4729000000002</v>
      </c>
      <c r="C112">
        <v>-15.768516999999999</v>
      </c>
      <c r="D112" t="s">
        <v>281</v>
      </c>
      <c r="E112">
        <f t="shared" si="4"/>
        <v>679.47290000000021</v>
      </c>
      <c r="F112">
        <v>1100</v>
      </c>
      <c r="G112">
        <f t="shared" si="5"/>
        <v>7.6766928620443959</v>
      </c>
    </row>
    <row r="113" spans="1:7" x14ac:dyDescent="0.25">
      <c r="A113">
        <v>1000</v>
      </c>
      <c r="B113">
        <v>2158.0407709999999</v>
      </c>
      <c r="C113">
        <v>-15.789498999999999</v>
      </c>
      <c r="D113" t="s">
        <v>282</v>
      </c>
      <c r="E113">
        <f t="shared" si="4"/>
        <v>680.04077099999995</v>
      </c>
      <c r="F113">
        <v>1110</v>
      </c>
      <c r="G113">
        <f t="shared" si="5"/>
        <v>7.6769560385960514</v>
      </c>
    </row>
    <row r="114" spans="1:7" x14ac:dyDescent="0.25">
      <c r="A114">
        <v>1000</v>
      </c>
      <c r="B114">
        <v>2156.5014649999998</v>
      </c>
      <c r="C114">
        <v>-15.733452</v>
      </c>
      <c r="D114" t="s">
        <v>398</v>
      </c>
      <c r="E114">
        <f t="shared" si="4"/>
        <v>678.50146499999983</v>
      </c>
      <c r="F114">
        <v>1120</v>
      </c>
      <c r="G114">
        <f t="shared" si="5"/>
        <v>7.676242495429193</v>
      </c>
    </row>
    <row r="115" spans="1:7" x14ac:dyDescent="0.25">
      <c r="A115">
        <v>1000</v>
      </c>
      <c r="B115">
        <v>2157.4174800000001</v>
      </c>
      <c r="C115">
        <v>-15.757752</v>
      </c>
      <c r="D115" t="s">
        <v>399</v>
      </c>
      <c r="E115">
        <f t="shared" si="4"/>
        <v>679.41748000000007</v>
      </c>
      <c r="F115">
        <v>1130</v>
      </c>
      <c r="G115">
        <f t="shared" si="5"/>
        <v>7.6766671742539208</v>
      </c>
    </row>
    <row r="116" spans="1:7" x14ac:dyDescent="0.25">
      <c r="A116">
        <v>1000</v>
      </c>
      <c r="B116">
        <v>2154.921875</v>
      </c>
      <c r="C116">
        <v>-15.674657</v>
      </c>
      <c r="D116" t="s">
        <v>285</v>
      </c>
      <c r="E116">
        <f t="shared" si="4"/>
        <v>676.921875</v>
      </c>
      <c r="F116">
        <v>1140</v>
      </c>
      <c r="G116">
        <f t="shared" si="5"/>
        <v>7.6755097489804642</v>
      </c>
    </row>
    <row r="117" spans="1:7" x14ac:dyDescent="0.25">
      <c r="A117">
        <v>1000</v>
      </c>
      <c r="B117">
        <v>2155.2661130000001</v>
      </c>
      <c r="C117">
        <v>-15.683016</v>
      </c>
      <c r="D117" t="s">
        <v>400</v>
      </c>
      <c r="E117">
        <f t="shared" si="4"/>
        <v>677.26611300000013</v>
      </c>
      <c r="F117">
        <v>1150</v>
      </c>
      <c r="G117">
        <f t="shared" si="5"/>
        <v>7.6756694812249462</v>
      </c>
    </row>
    <row r="118" spans="1:7" x14ac:dyDescent="0.25">
      <c r="A118">
        <v>1000</v>
      </c>
      <c r="B118">
        <v>2154.6359859999998</v>
      </c>
      <c r="C118">
        <v>-15.662402999999999</v>
      </c>
      <c r="D118" t="s">
        <v>401</v>
      </c>
      <c r="E118">
        <f t="shared" si="4"/>
        <v>676.63598599999978</v>
      </c>
      <c r="F118">
        <v>1160</v>
      </c>
      <c r="G118">
        <f t="shared" si="5"/>
        <v>7.6753770722606518</v>
      </c>
    </row>
    <row r="119" spans="1:7" x14ac:dyDescent="0.25">
      <c r="A119">
        <v>1000</v>
      </c>
      <c r="B119">
        <v>2153.8063959999999</v>
      </c>
      <c r="C119">
        <v>-15.633224</v>
      </c>
      <c r="D119" t="s">
        <v>402</v>
      </c>
      <c r="E119">
        <f t="shared" si="4"/>
        <v>675.80639599999995</v>
      </c>
      <c r="F119">
        <v>1170</v>
      </c>
      <c r="G119">
        <f t="shared" si="5"/>
        <v>7.6749919725254347</v>
      </c>
    </row>
    <row r="120" spans="1:7" x14ac:dyDescent="0.25">
      <c r="A120">
        <v>1000</v>
      </c>
      <c r="B120">
        <v>2153.5048830000001</v>
      </c>
      <c r="C120">
        <v>-15.612228</v>
      </c>
      <c r="D120" t="s">
        <v>403</v>
      </c>
      <c r="E120">
        <f t="shared" si="4"/>
        <v>675.50488300000006</v>
      </c>
      <c r="F120">
        <v>1180</v>
      </c>
      <c r="G120">
        <f t="shared" si="5"/>
        <v>7.6748519719631529</v>
      </c>
    </row>
    <row r="121" spans="1:7" x14ac:dyDescent="0.25">
      <c r="A121">
        <v>1000</v>
      </c>
      <c r="B121">
        <v>2151.5410160000001</v>
      </c>
      <c r="C121">
        <v>-15.555839000000001</v>
      </c>
      <c r="D121" t="s">
        <v>290</v>
      </c>
      <c r="E121">
        <f t="shared" si="4"/>
        <v>673.54101600000013</v>
      </c>
      <c r="F121">
        <v>1190</v>
      </c>
      <c r="G121">
        <f t="shared" si="5"/>
        <v>7.6739396160058408</v>
      </c>
    </row>
    <row r="122" spans="1:7" x14ac:dyDescent="0.25">
      <c r="A122">
        <v>1000</v>
      </c>
      <c r="B122">
        <v>2151.9228520000001</v>
      </c>
      <c r="C122">
        <v>-15.546604</v>
      </c>
      <c r="D122" t="s">
        <v>404</v>
      </c>
      <c r="E122">
        <f t="shared" si="4"/>
        <v>673.92285200000015</v>
      </c>
      <c r="F122">
        <v>1200</v>
      </c>
      <c r="G122">
        <f t="shared" si="5"/>
        <v>7.6741170711966893</v>
      </c>
    </row>
    <row r="123" spans="1:7" x14ac:dyDescent="0.25">
      <c r="A123">
        <v>1000</v>
      </c>
      <c r="B123">
        <v>2150.5490719999998</v>
      </c>
      <c r="C123">
        <v>-15.491621</v>
      </c>
      <c r="D123" t="s">
        <v>405</v>
      </c>
      <c r="E123">
        <f t="shared" si="4"/>
        <v>672.5490719999998</v>
      </c>
      <c r="F123">
        <v>1210</v>
      </c>
      <c r="G123">
        <f t="shared" si="5"/>
        <v>7.6734784708427748</v>
      </c>
    </row>
    <row r="124" spans="1:7" x14ac:dyDescent="0.25">
      <c r="A124">
        <v>1000</v>
      </c>
      <c r="B124">
        <v>2149.876221</v>
      </c>
      <c r="C124">
        <v>-15.456799999999999</v>
      </c>
      <c r="D124" t="s">
        <v>293</v>
      </c>
      <c r="E124">
        <f t="shared" si="4"/>
        <v>671.87622099999999</v>
      </c>
      <c r="F124">
        <v>1220</v>
      </c>
      <c r="G124">
        <f t="shared" si="5"/>
        <v>7.6731655478364917</v>
      </c>
    </row>
    <row r="125" spans="1:7" x14ac:dyDescent="0.25">
      <c r="A125">
        <v>1000</v>
      </c>
      <c r="B125">
        <v>2149.4946289999998</v>
      </c>
      <c r="C125">
        <v>-15.452688999999999</v>
      </c>
      <c r="D125" t="s">
        <v>406</v>
      </c>
      <c r="E125">
        <f t="shared" si="4"/>
        <v>671.4946289999998</v>
      </c>
      <c r="F125">
        <v>1230</v>
      </c>
      <c r="G125">
        <f t="shared" si="5"/>
        <v>7.6729880372125816</v>
      </c>
    </row>
    <row r="126" spans="1:7" x14ac:dyDescent="0.25">
      <c r="A126">
        <v>1000</v>
      </c>
      <c r="B126">
        <v>2150.4604490000002</v>
      </c>
      <c r="C126">
        <v>-15.456308999999999</v>
      </c>
      <c r="D126" t="s">
        <v>295</v>
      </c>
      <c r="E126">
        <f t="shared" si="4"/>
        <v>672.46044900000015</v>
      </c>
      <c r="F126">
        <v>1240</v>
      </c>
      <c r="G126">
        <f t="shared" si="5"/>
        <v>7.6734372605178125</v>
      </c>
    </row>
    <row r="127" spans="1:7" x14ac:dyDescent="0.25">
      <c r="A127">
        <v>1000</v>
      </c>
      <c r="B127">
        <v>2149.7951659999999</v>
      </c>
      <c r="C127">
        <v>-15.434943000000001</v>
      </c>
      <c r="D127" t="s">
        <v>407</v>
      </c>
      <c r="E127">
        <f t="shared" si="4"/>
        <v>671.79516599999988</v>
      </c>
      <c r="F127">
        <v>1250</v>
      </c>
      <c r="G127">
        <f t="shared" si="5"/>
        <v>7.6731278449551716</v>
      </c>
    </row>
    <row r="128" spans="1:7" x14ac:dyDescent="0.25">
      <c r="A128">
        <v>1000</v>
      </c>
      <c r="B128">
        <v>2148.6840820000002</v>
      </c>
      <c r="C128">
        <v>-15.374988999999999</v>
      </c>
      <c r="D128" t="s">
        <v>408</v>
      </c>
      <c r="E128">
        <f t="shared" si="4"/>
        <v>670.68408200000022</v>
      </c>
      <c r="F128">
        <v>1260</v>
      </c>
      <c r="G128">
        <f t="shared" si="5"/>
        <v>7.6726108788559344</v>
      </c>
    </row>
    <row r="129" spans="1:7" x14ac:dyDescent="0.25">
      <c r="A129">
        <v>1000</v>
      </c>
      <c r="B129">
        <v>2148.022461</v>
      </c>
      <c r="C129">
        <v>-15.360469</v>
      </c>
      <c r="D129" t="s">
        <v>298</v>
      </c>
      <c r="E129">
        <f t="shared" si="4"/>
        <v>670.02246100000002</v>
      </c>
      <c r="F129">
        <v>1270</v>
      </c>
      <c r="G129">
        <f t="shared" si="5"/>
        <v>7.6723029122779947</v>
      </c>
    </row>
    <row r="130" spans="1:7" x14ac:dyDescent="0.25">
      <c r="A130">
        <v>1000</v>
      </c>
      <c r="B130">
        <v>2148.8410640000002</v>
      </c>
      <c r="C130">
        <v>-15.389687</v>
      </c>
      <c r="D130" t="s">
        <v>409</v>
      </c>
      <c r="E130">
        <f t="shared" si="4"/>
        <v>670.84106400000019</v>
      </c>
      <c r="F130">
        <v>1280</v>
      </c>
      <c r="G130">
        <f t="shared" ref="G130:G161" si="6">LN(B130)</f>
        <v>7.6726839357874184</v>
      </c>
    </row>
    <row r="131" spans="1:7" x14ac:dyDescent="0.25">
      <c r="A131">
        <v>1000</v>
      </c>
      <c r="B131">
        <v>2150.638672</v>
      </c>
      <c r="C131">
        <v>-15.429506999999999</v>
      </c>
      <c r="D131" t="s">
        <v>300</v>
      </c>
      <c r="E131">
        <f t="shared" ref="E131:E194" si="7">B131-N$3</f>
        <v>672.63867200000004</v>
      </c>
      <c r="F131">
        <v>1290</v>
      </c>
      <c r="G131">
        <f t="shared" si="6"/>
        <v>7.6735201337532759</v>
      </c>
    </row>
    <row r="132" spans="1:7" x14ac:dyDescent="0.25">
      <c r="A132">
        <v>1000</v>
      </c>
      <c r="B132">
        <v>2150.9104000000002</v>
      </c>
      <c r="C132">
        <v>-15.476663</v>
      </c>
      <c r="D132" t="s">
        <v>301</v>
      </c>
      <c r="E132">
        <f t="shared" si="7"/>
        <v>672.91040000000021</v>
      </c>
      <c r="F132">
        <v>1300</v>
      </c>
      <c r="G132">
        <f t="shared" si="6"/>
        <v>7.6736464733559693</v>
      </c>
    </row>
    <row r="133" spans="1:7" x14ac:dyDescent="0.25">
      <c r="A133">
        <v>1000</v>
      </c>
      <c r="B133">
        <v>2150.3325199999999</v>
      </c>
      <c r="C133">
        <v>-15.483779999999999</v>
      </c>
      <c r="D133" t="s">
        <v>302</v>
      </c>
      <c r="E133">
        <f t="shared" si="7"/>
        <v>672.33251999999993</v>
      </c>
      <c r="F133">
        <v>1310</v>
      </c>
      <c r="G133">
        <f t="shared" si="6"/>
        <v>7.6733777696281278</v>
      </c>
    </row>
    <row r="134" spans="1:7" x14ac:dyDescent="0.25">
      <c r="A134">
        <v>1000</v>
      </c>
      <c r="B134">
        <v>2150.6965329999998</v>
      </c>
      <c r="C134">
        <v>-15.470734999999999</v>
      </c>
      <c r="D134" t="s">
        <v>303</v>
      </c>
      <c r="E134">
        <f t="shared" si="7"/>
        <v>672.69653299999982</v>
      </c>
      <c r="F134">
        <v>1320</v>
      </c>
      <c r="G134">
        <f t="shared" si="6"/>
        <v>7.6735470374923453</v>
      </c>
    </row>
    <row r="135" spans="1:7" x14ac:dyDescent="0.25">
      <c r="A135">
        <v>1000</v>
      </c>
      <c r="B135">
        <v>2148.671143</v>
      </c>
      <c r="C135">
        <v>-15.409755000000001</v>
      </c>
      <c r="D135" t="s">
        <v>410</v>
      </c>
      <c r="E135">
        <f t="shared" si="7"/>
        <v>670.67114300000003</v>
      </c>
      <c r="F135">
        <v>1330</v>
      </c>
      <c r="G135">
        <f t="shared" si="6"/>
        <v>7.6726048570125807</v>
      </c>
    </row>
    <row r="136" spans="1:7" x14ac:dyDescent="0.25">
      <c r="A136">
        <v>1000</v>
      </c>
      <c r="B136">
        <v>2149.6596679999998</v>
      </c>
      <c r="C136">
        <v>-15.428701</v>
      </c>
      <c r="D136" t="s">
        <v>411</v>
      </c>
      <c r="E136">
        <f t="shared" si="7"/>
        <v>671.65966799999978</v>
      </c>
      <c r="F136">
        <v>1340</v>
      </c>
      <c r="G136">
        <f t="shared" si="6"/>
        <v>7.6730648146384102</v>
      </c>
    </row>
    <row r="137" spans="1:7" x14ac:dyDescent="0.25">
      <c r="A137">
        <v>1000</v>
      </c>
      <c r="B137">
        <v>2149.2714839999999</v>
      </c>
      <c r="C137">
        <v>-15.411079000000001</v>
      </c>
      <c r="D137" t="s">
        <v>412</v>
      </c>
      <c r="E137">
        <f t="shared" si="7"/>
        <v>671.27148399999987</v>
      </c>
      <c r="F137">
        <v>1350</v>
      </c>
      <c r="G137">
        <f t="shared" si="6"/>
        <v>7.6728842190497257</v>
      </c>
    </row>
    <row r="138" spans="1:7" x14ac:dyDescent="0.25">
      <c r="A138">
        <v>1000</v>
      </c>
      <c r="B138">
        <v>2148.0366210000002</v>
      </c>
      <c r="C138">
        <v>-15.355399999999999</v>
      </c>
      <c r="D138" t="s">
        <v>413</v>
      </c>
      <c r="E138">
        <f t="shared" si="7"/>
        <v>670.0366210000002</v>
      </c>
      <c r="F138">
        <v>1360</v>
      </c>
      <c r="G138">
        <f t="shared" si="6"/>
        <v>7.6723095043661065</v>
      </c>
    </row>
    <row r="139" spans="1:7" x14ac:dyDescent="0.25">
      <c r="A139">
        <v>1000</v>
      </c>
      <c r="B139">
        <v>2146.53125</v>
      </c>
      <c r="C139">
        <v>-15.282577</v>
      </c>
      <c r="D139" t="s">
        <v>308</v>
      </c>
      <c r="E139">
        <f t="shared" si="7"/>
        <v>668.53125</v>
      </c>
      <c r="F139">
        <v>1370</v>
      </c>
      <c r="G139">
        <f t="shared" si="6"/>
        <v>7.6716084461423808</v>
      </c>
    </row>
    <row r="140" spans="1:7" x14ac:dyDescent="0.25">
      <c r="A140">
        <v>1000</v>
      </c>
      <c r="B140">
        <v>2146.4309079999998</v>
      </c>
      <c r="C140">
        <v>-15.309091</v>
      </c>
      <c r="D140" t="s">
        <v>309</v>
      </c>
      <c r="E140">
        <f t="shared" si="7"/>
        <v>668.43090799999982</v>
      </c>
      <c r="F140">
        <v>1380</v>
      </c>
      <c r="G140">
        <f t="shared" si="6"/>
        <v>7.6715616989331927</v>
      </c>
    </row>
    <row r="141" spans="1:7" x14ac:dyDescent="0.25">
      <c r="A141">
        <v>1000</v>
      </c>
      <c r="B141">
        <v>2144.4331050000001</v>
      </c>
      <c r="C141">
        <v>-15.219984</v>
      </c>
      <c r="D141" t="s">
        <v>310</v>
      </c>
      <c r="E141">
        <f t="shared" si="7"/>
        <v>666.43310500000007</v>
      </c>
      <c r="F141">
        <v>1390</v>
      </c>
      <c r="G141">
        <f t="shared" si="6"/>
        <v>7.6706305097189427</v>
      </c>
    </row>
    <row r="142" spans="1:7" x14ac:dyDescent="0.25">
      <c r="A142">
        <v>1000</v>
      </c>
      <c r="B142">
        <v>2145.5603030000002</v>
      </c>
      <c r="C142">
        <v>-15.236513</v>
      </c>
      <c r="D142" t="s">
        <v>414</v>
      </c>
      <c r="E142">
        <f t="shared" si="7"/>
        <v>667.5603030000002</v>
      </c>
      <c r="F142">
        <v>1400</v>
      </c>
      <c r="G142">
        <f t="shared" si="6"/>
        <v>7.671156010771619</v>
      </c>
    </row>
    <row r="143" spans="1:7" x14ac:dyDescent="0.25">
      <c r="A143">
        <v>1000</v>
      </c>
      <c r="B143">
        <v>2145.0783689999998</v>
      </c>
      <c r="C143">
        <v>-15.215408</v>
      </c>
      <c r="D143" t="s">
        <v>312</v>
      </c>
      <c r="E143">
        <f t="shared" si="7"/>
        <v>667.07836899999984</v>
      </c>
      <c r="F143">
        <v>1410</v>
      </c>
      <c r="G143">
        <f t="shared" si="6"/>
        <v>7.6709313663590422</v>
      </c>
    </row>
    <row r="144" spans="1:7" x14ac:dyDescent="0.25">
      <c r="A144">
        <v>1000</v>
      </c>
      <c r="B144">
        <v>2144.4802249999998</v>
      </c>
      <c r="C144">
        <v>-15.119211</v>
      </c>
      <c r="D144" t="s">
        <v>415</v>
      </c>
      <c r="E144">
        <f t="shared" si="7"/>
        <v>666.48022499999979</v>
      </c>
      <c r="F144">
        <v>1420</v>
      </c>
      <c r="G144">
        <f t="shared" si="6"/>
        <v>7.6706524826507207</v>
      </c>
    </row>
    <row r="145" spans="1:7" x14ac:dyDescent="0.25">
      <c r="A145">
        <v>1000</v>
      </c>
      <c r="B145">
        <v>2140.0227049999999</v>
      </c>
      <c r="C145">
        <v>-14.983551</v>
      </c>
      <c r="D145" t="s">
        <v>314</v>
      </c>
      <c r="E145">
        <f t="shared" si="7"/>
        <v>662.02270499999986</v>
      </c>
      <c r="F145">
        <v>1430</v>
      </c>
      <c r="G145">
        <f t="shared" si="6"/>
        <v>7.6685717177726973</v>
      </c>
    </row>
    <row r="146" spans="1:7" x14ac:dyDescent="0.25">
      <c r="A146">
        <v>1000</v>
      </c>
      <c r="B146">
        <v>2140.0734859999998</v>
      </c>
      <c r="C146">
        <v>-14.936928</v>
      </c>
      <c r="D146" t="s">
        <v>315</v>
      </c>
      <c r="E146">
        <f t="shared" si="7"/>
        <v>662.07348599999978</v>
      </c>
      <c r="F146">
        <v>1440</v>
      </c>
      <c r="G146">
        <f t="shared" si="6"/>
        <v>7.6685954466786548</v>
      </c>
    </row>
    <row r="147" spans="1:7" x14ac:dyDescent="0.25">
      <c r="A147">
        <v>1000</v>
      </c>
      <c r="B147">
        <v>2140.4750979999999</v>
      </c>
      <c r="C147">
        <v>-14.8748</v>
      </c>
      <c r="D147" t="s">
        <v>316</v>
      </c>
      <c r="E147">
        <f t="shared" si="7"/>
        <v>662.47509799999989</v>
      </c>
      <c r="F147">
        <v>1450</v>
      </c>
      <c r="G147">
        <f t="shared" si="6"/>
        <v>7.6687830917868913</v>
      </c>
    </row>
    <row r="148" spans="1:7" x14ac:dyDescent="0.25">
      <c r="A148">
        <v>1000</v>
      </c>
      <c r="B148">
        <v>2139.005615</v>
      </c>
      <c r="C148">
        <v>-14.789968999999999</v>
      </c>
      <c r="D148" t="s">
        <v>317</v>
      </c>
      <c r="E148">
        <f t="shared" si="7"/>
        <v>661.00561500000003</v>
      </c>
      <c r="F148">
        <v>1460</v>
      </c>
      <c r="G148">
        <f t="shared" si="6"/>
        <v>7.6680963341373989</v>
      </c>
    </row>
    <row r="149" spans="1:7" x14ac:dyDescent="0.25">
      <c r="A149">
        <v>1000</v>
      </c>
      <c r="B149">
        <v>2136.8862300000001</v>
      </c>
      <c r="C149">
        <v>-14.740574000000001</v>
      </c>
      <c r="D149" t="s">
        <v>416</v>
      </c>
      <c r="E149">
        <f t="shared" si="7"/>
        <v>658.88623000000007</v>
      </c>
      <c r="F149">
        <v>1470</v>
      </c>
      <c r="G149">
        <f t="shared" si="6"/>
        <v>7.6671050157175742</v>
      </c>
    </row>
    <row r="150" spans="1:7" x14ac:dyDescent="0.25">
      <c r="A150">
        <v>1000</v>
      </c>
      <c r="B150">
        <v>2134.8215329999998</v>
      </c>
      <c r="C150">
        <v>-14.652601000000001</v>
      </c>
      <c r="D150" t="s">
        <v>417</v>
      </c>
      <c r="E150">
        <f t="shared" si="7"/>
        <v>656.82153299999982</v>
      </c>
      <c r="F150">
        <v>1480</v>
      </c>
      <c r="G150">
        <f t="shared" si="6"/>
        <v>7.6661383310680913</v>
      </c>
    </row>
    <row r="151" spans="1:7" x14ac:dyDescent="0.25">
      <c r="A151">
        <v>1000</v>
      </c>
      <c r="B151">
        <v>2134.5102539999998</v>
      </c>
      <c r="C151">
        <v>-14.595596</v>
      </c>
      <c r="D151" t="s">
        <v>418</v>
      </c>
      <c r="E151">
        <f t="shared" si="7"/>
        <v>656.5102539999998</v>
      </c>
      <c r="F151">
        <v>1490</v>
      </c>
      <c r="G151">
        <f t="shared" si="6"/>
        <v>7.6659925101218258</v>
      </c>
    </row>
    <row r="152" spans="1:7" x14ac:dyDescent="0.25">
      <c r="A152">
        <v>1000</v>
      </c>
      <c r="B152">
        <v>2133.2280270000001</v>
      </c>
      <c r="C152">
        <v>-14.527759</v>
      </c>
      <c r="D152" t="s">
        <v>419</v>
      </c>
      <c r="E152">
        <f t="shared" si="7"/>
        <v>655.22802700000011</v>
      </c>
      <c r="F152">
        <v>1500</v>
      </c>
      <c r="G152">
        <f t="shared" si="6"/>
        <v>7.6653916171175434</v>
      </c>
    </row>
    <row r="153" spans="1:7" x14ac:dyDescent="0.25">
      <c r="A153">
        <v>1000</v>
      </c>
      <c r="B153">
        <v>2133.0473630000001</v>
      </c>
      <c r="C153">
        <v>-14.498949</v>
      </c>
      <c r="D153" t="s">
        <v>322</v>
      </c>
      <c r="E153">
        <f t="shared" si="7"/>
        <v>655.04736300000013</v>
      </c>
      <c r="F153">
        <v>1510</v>
      </c>
      <c r="G153">
        <f t="shared" si="6"/>
        <v>7.6653069231005881</v>
      </c>
    </row>
    <row r="154" spans="1:7" x14ac:dyDescent="0.25">
      <c r="A154">
        <v>1000</v>
      </c>
      <c r="B154">
        <v>2132.5234380000002</v>
      </c>
      <c r="C154">
        <v>-14.468171999999999</v>
      </c>
      <c r="D154" t="s">
        <v>323</v>
      </c>
      <c r="E154">
        <f t="shared" si="7"/>
        <v>654.52343800000017</v>
      </c>
      <c r="F154">
        <v>1520</v>
      </c>
      <c r="G154">
        <f t="shared" si="6"/>
        <v>7.6650612701612379</v>
      </c>
    </row>
    <row r="155" spans="1:7" x14ac:dyDescent="0.25">
      <c r="A155">
        <v>1000</v>
      </c>
      <c r="B155">
        <v>2132.195557</v>
      </c>
      <c r="C155">
        <v>-14.461779</v>
      </c>
      <c r="D155" t="s">
        <v>324</v>
      </c>
      <c r="E155">
        <f t="shared" si="7"/>
        <v>654.19555700000001</v>
      </c>
      <c r="F155">
        <v>1530</v>
      </c>
      <c r="G155">
        <f t="shared" si="6"/>
        <v>7.6649075057509544</v>
      </c>
    </row>
    <row r="156" spans="1:7" x14ac:dyDescent="0.25">
      <c r="A156">
        <v>1000</v>
      </c>
      <c r="B156">
        <v>2133.475586</v>
      </c>
      <c r="C156">
        <v>-14.485056</v>
      </c>
      <c r="D156" t="s">
        <v>325</v>
      </c>
      <c r="E156">
        <f t="shared" si="7"/>
        <v>655.47558600000002</v>
      </c>
      <c r="F156">
        <v>1540</v>
      </c>
      <c r="G156">
        <f t="shared" si="6"/>
        <v>7.6655076593940787</v>
      </c>
    </row>
    <row r="157" spans="1:7" x14ac:dyDescent="0.25">
      <c r="A157">
        <v>1000</v>
      </c>
      <c r="B157">
        <v>2131.6745609999998</v>
      </c>
      <c r="C157">
        <v>-14.408652999999999</v>
      </c>
      <c r="D157" t="s">
        <v>420</v>
      </c>
      <c r="E157">
        <f t="shared" si="7"/>
        <v>653.67456099999981</v>
      </c>
      <c r="F157">
        <v>1550</v>
      </c>
      <c r="G157">
        <f t="shared" si="6"/>
        <v>7.6646631286999778</v>
      </c>
    </row>
    <row r="158" spans="1:7" x14ac:dyDescent="0.25">
      <c r="A158">
        <v>1000</v>
      </c>
      <c r="B158">
        <v>2130.8557129999999</v>
      </c>
      <c r="C158">
        <v>-14.363602</v>
      </c>
      <c r="D158" t="s">
        <v>327</v>
      </c>
      <c r="E158">
        <f t="shared" si="7"/>
        <v>652.85571299999992</v>
      </c>
      <c r="F158">
        <v>1560</v>
      </c>
      <c r="G158">
        <f t="shared" si="6"/>
        <v>7.6642789212187692</v>
      </c>
    </row>
    <row r="159" spans="1:7" x14ac:dyDescent="0.25">
      <c r="A159">
        <v>1000</v>
      </c>
      <c r="B159">
        <v>2130.343018</v>
      </c>
      <c r="C159">
        <v>-14.339997</v>
      </c>
      <c r="D159" t="s">
        <v>421</v>
      </c>
      <c r="E159">
        <f t="shared" si="7"/>
        <v>652.34301800000003</v>
      </c>
      <c r="F159">
        <v>1570</v>
      </c>
      <c r="G159">
        <f t="shared" si="6"/>
        <v>7.6640382870522643</v>
      </c>
    </row>
    <row r="160" spans="1:7" x14ac:dyDescent="0.25">
      <c r="A160">
        <v>1000</v>
      </c>
      <c r="B160">
        <v>2130.5275879999999</v>
      </c>
      <c r="C160">
        <v>-14.321472999999999</v>
      </c>
      <c r="D160" t="s">
        <v>329</v>
      </c>
      <c r="E160">
        <f t="shared" si="7"/>
        <v>652.52758799999992</v>
      </c>
      <c r="F160">
        <v>1580</v>
      </c>
      <c r="G160">
        <f t="shared" si="6"/>
        <v>7.6641249219291154</v>
      </c>
    </row>
    <row r="161" spans="1:7" x14ac:dyDescent="0.25">
      <c r="A161">
        <v>1000</v>
      </c>
      <c r="B161">
        <v>2130.716797</v>
      </c>
      <c r="C161">
        <v>-14.316322</v>
      </c>
      <c r="D161" t="s">
        <v>330</v>
      </c>
      <c r="E161">
        <f t="shared" si="7"/>
        <v>652.71679700000004</v>
      </c>
      <c r="F161">
        <v>1590</v>
      </c>
      <c r="G161">
        <f t="shared" si="6"/>
        <v>7.6642137265049763</v>
      </c>
    </row>
    <row r="162" spans="1:7" x14ac:dyDescent="0.25">
      <c r="A162">
        <v>1000</v>
      </c>
      <c r="B162">
        <v>2130.4467770000001</v>
      </c>
      <c r="C162">
        <v>-14.297254000000001</v>
      </c>
      <c r="D162" t="s">
        <v>331</v>
      </c>
      <c r="E162">
        <f t="shared" si="7"/>
        <v>652.44677700000011</v>
      </c>
      <c r="F162">
        <v>1600</v>
      </c>
      <c r="G162">
        <f t="shared" ref="G162:G194" si="8">LN(B162)</f>
        <v>7.6640869911681735</v>
      </c>
    </row>
    <row r="163" spans="1:7" x14ac:dyDescent="0.25">
      <c r="A163">
        <v>1000</v>
      </c>
      <c r="B163">
        <v>2129.842529</v>
      </c>
      <c r="C163">
        <v>-14.27481</v>
      </c>
      <c r="D163" t="s">
        <v>332</v>
      </c>
      <c r="E163">
        <f t="shared" si="7"/>
        <v>651.84252900000001</v>
      </c>
      <c r="F163">
        <v>1610</v>
      </c>
      <c r="G163">
        <f t="shared" si="8"/>
        <v>7.6638033259235616</v>
      </c>
    </row>
    <row r="164" spans="1:7" x14ac:dyDescent="0.25">
      <c r="A164">
        <v>1000</v>
      </c>
      <c r="B164">
        <v>2130.3164059999999</v>
      </c>
      <c r="C164">
        <v>-14.273566000000001</v>
      </c>
      <c r="D164" t="s">
        <v>333</v>
      </c>
      <c r="E164">
        <f t="shared" si="7"/>
        <v>652.31640599999992</v>
      </c>
      <c r="F164">
        <v>1620</v>
      </c>
      <c r="G164">
        <f t="shared" si="8"/>
        <v>7.6640257950892359</v>
      </c>
    </row>
    <row r="165" spans="1:7" x14ac:dyDescent="0.25">
      <c r="A165">
        <v>1000</v>
      </c>
      <c r="B165">
        <v>2129.0334469999998</v>
      </c>
      <c r="C165">
        <v>-14.253361999999999</v>
      </c>
      <c r="D165" t="s">
        <v>422</v>
      </c>
      <c r="E165">
        <f t="shared" si="7"/>
        <v>651.0334469999998</v>
      </c>
      <c r="F165">
        <v>1630</v>
      </c>
      <c r="G165">
        <f t="shared" si="8"/>
        <v>7.6634233749626546</v>
      </c>
    </row>
    <row r="166" spans="1:7" x14ac:dyDescent="0.25">
      <c r="A166">
        <v>1000</v>
      </c>
      <c r="B166">
        <v>2127.6157229999999</v>
      </c>
      <c r="C166">
        <v>-14.205196000000001</v>
      </c>
      <c r="D166" t="s">
        <v>423</v>
      </c>
      <c r="E166">
        <f t="shared" si="7"/>
        <v>649.61572299999989</v>
      </c>
      <c r="F166">
        <v>1640</v>
      </c>
      <c r="G166">
        <f t="shared" si="8"/>
        <v>7.6627572528577765</v>
      </c>
    </row>
    <row r="167" spans="1:7" x14ac:dyDescent="0.25">
      <c r="A167">
        <v>1000</v>
      </c>
      <c r="B167">
        <v>2128.2941890000002</v>
      </c>
      <c r="C167">
        <v>-14.202928</v>
      </c>
      <c r="D167" t="s">
        <v>336</v>
      </c>
      <c r="E167">
        <f t="shared" si="7"/>
        <v>650.29418900000019</v>
      </c>
      <c r="F167">
        <v>1650</v>
      </c>
      <c r="G167">
        <f t="shared" si="8"/>
        <v>7.663076087616866</v>
      </c>
    </row>
    <row r="168" spans="1:7" x14ac:dyDescent="0.25">
      <c r="A168">
        <v>1000</v>
      </c>
      <c r="B168">
        <v>2128.8234859999998</v>
      </c>
      <c r="C168">
        <v>-14.194978000000001</v>
      </c>
      <c r="D168" t="s">
        <v>337</v>
      </c>
      <c r="E168">
        <f t="shared" si="7"/>
        <v>650.82348599999978</v>
      </c>
      <c r="F168">
        <v>1660</v>
      </c>
      <c r="G168">
        <f t="shared" si="8"/>
        <v>7.6633247521091983</v>
      </c>
    </row>
    <row r="169" spans="1:7" x14ac:dyDescent="0.25">
      <c r="A169">
        <v>1000</v>
      </c>
      <c r="B169">
        <v>2128.3566890000002</v>
      </c>
      <c r="C169">
        <v>-14.173886</v>
      </c>
      <c r="D169" t="s">
        <v>424</v>
      </c>
      <c r="E169">
        <f t="shared" si="7"/>
        <v>650.35668900000019</v>
      </c>
      <c r="F169">
        <v>1670</v>
      </c>
      <c r="G169">
        <f t="shared" si="8"/>
        <v>7.6631054534266516</v>
      </c>
    </row>
    <row r="170" spans="1:7" x14ac:dyDescent="0.25">
      <c r="A170">
        <v>1000</v>
      </c>
      <c r="B170">
        <v>2129.4541020000001</v>
      </c>
      <c r="C170">
        <v>-14.242393</v>
      </c>
      <c r="D170" t="s">
        <v>339</v>
      </c>
      <c r="E170">
        <f t="shared" si="7"/>
        <v>651.45410200000015</v>
      </c>
      <c r="F170">
        <v>1680</v>
      </c>
      <c r="G170">
        <f t="shared" si="8"/>
        <v>7.6636209357146949</v>
      </c>
    </row>
    <row r="171" spans="1:7" x14ac:dyDescent="0.25">
      <c r="A171">
        <v>1000</v>
      </c>
      <c r="B171">
        <v>2129.4602049999999</v>
      </c>
      <c r="C171">
        <v>-14.190238000000001</v>
      </c>
      <c r="D171" t="s">
        <v>340</v>
      </c>
      <c r="E171">
        <f t="shared" si="7"/>
        <v>651.46020499999986</v>
      </c>
      <c r="F171">
        <v>1690</v>
      </c>
      <c r="G171">
        <f t="shared" si="8"/>
        <v>7.6636238017033298</v>
      </c>
    </row>
    <row r="172" spans="1:7" x14ac:dyDescent="0.25">
      <c r="A172">
        <v>1000</v>
      </c>
      <c r="B172">
        <v>2129.4270019999999</v>
      </c>
      <c r="C172">
        <v>-14.198092000000001</v>
      </c>
      <c r="D172" t="s">
        <v>341</v>
      </c>
      <c r="E172">
        <f t="shared" si="7"/>
        <v>651.4270019999999</v>
      </c>
      <c r="F172">
        <v>1700</v>
      </c>
      <c r="G172">
        <f t="shared" si="8"/>
        <v>7.6636082093674043</v>
      </c>
    </row>
    <row r="173" spans="1:7" x14ac:dyDescent="0.25">
      <c r="A173">
        <v>1000</v>
      </c>
      <c r="B173">
        <v>2129.5759280000002</v>
      </c>
      <c r="C173">
        <v>-14.220017</v>
      </c>
      <c r="D173" t="s">
        <v>342</v>
      </c>
      <c r="E173">
        <f t="shared" si="7"/>
        <v>651.5759280000002</v>
      </c>
      <c r="F173">
        <v>1710</v>
      </c>
      <c r="G173">
        <f t="shared" si="8"/>
        <v>7.6636781440457824</v>
      </c>
    </row>
    <row r="174" spans="1:7" x14ac:dyDescent="0.25">
      <c r="A174">
        <v>1000</v>
      </c>
      <c r="B174">
        <v>2130.1528320000002</v>
      </c>
      <c r="C174">
        <v>-14.227926999999999</v>
      </c>
      <c r="D174" t="s">
        <v>343</v>
      </c>
      <c r="E174">
        <f t="shared" si="7"/>
        <v>652.15283200000022</v>
      </c>
      <c r="F174">
        <v>1720</v>
      </c>
      <c r="G174">
        <f t="shared" si="8"/>
        <v>7.6639490082420876</v>
      </c>
    </row>
    <row r="175" spans="1:7" x14ac:dyDescent="0.25">
      <c r="A175">
        <v>1000</v>
      </c>
      <c r="B175">
        <v>2130.9428710000002</v>
      </c>
      <c r="C175">
        <v>-14.277828</v>
      </c>
      <c r="D175" t="s">
        <v>425</v>
      </c>
      <c r="E175">
        <f t="shared" si="7"/>
        <v>652.9428710000002</v>
      </c>
      <c r="F175">
        <v>1730</v>
      </c>
      <c r="G175">
        <f t="shared" si="8"/>
        <v>7.6643198231986709</v>
      </c>
    </row>
    <row r="176" spans="1:7" x14ac:dyDescent="0.25">
      <c r="A176">
        <v>1000</v>
      </c>
      <c r="B176">
        <v>2132.4428710000002</v>
      </c>
      <c r="C176">
        <v>-14.340011000000001</v>
      </c>
      <c r="D176" t="s">
        <v>345</v>
      </c>
      <c r="E176">
        <f t="shared" si="7"/>
        <v>654.4428710000002</v>
      </c>
      <c r="F176">
        <v>1740</v>
      </c>
      <c r="G176">
        <f t="shared" si="8"/>
        <v>7.6650234893235139</v>
      </c>
    </row>
    <row r="177" spans="1:7" x14ac:dyDescent="0.25">
      <c r="A177">
        <v>1000</v>
      </c>
      <c r="B177">
        <v>2132.4396969999998</v>
      </c>
      <c r="C177">
        <v>-14.372590000000001</v>
      </c>
      <c r="D177" t="s">
        <v>346</v>
      </c>
      <c r="E177">
        <f t="shared" si="7"/>
        <v>654.4396969999998</v>
      </c>
      <c r="F177">
        <v>1750</v>
      </c>
      <c r="G177">
        <f t="shared" si="8"/>
        <v>7.6650220008886274</v>
      </c>
    </row>
    <row r="178" spans="1:7" x14ac:dyDescent="0.25">
      <c r="A178">
        <v>1000</v>
      </c>
      <c r="B178">
        <v>2133.2014159999999</v>
      </c>
      <c r="C178">
        <v>-14.394584</v>
      </c>
      <c r="D178" t="s">
        <v>347</v>
      </c>
      <c r="E178">
        <f t="shared" si="7"/>
        <v>655.20141599999988</v>
      </c>
      <c r="F178">
        <v>1760</v>
      </c>
      <c r="G178">
        <f t="shared" si="8"/>
        <v>7.6653791425177138</v>
      </c>
    </row>
    <row r="179" spans="1:7" x14ac:dyDescent="0.25">
      <c r="A179">
        <v>1000</v>
      </c>
      <c r="B179">
        <v>2134.7236330000001</v>
      </c>
      <c r="C179">
        <v>-14.450631</v>
      </c>
      <c r="D179" t="s">
        <v>426</v>
      </c>
      <c r="E179">
        <f t="shared" si="7"/>
        <v>656.72363300000006</v>
      </c>
      <c r="F179">
        <v>1770</v>
      </c>
      <c r="G179">
        <f t="shared" si="8"/>
        <v>7.6660924713822416</v>
      </c>
    </row>
    <row r="180" spans="1:7" x14ac:dyDescent="0.25">
      <c r="A180">
        <v>1000</v>
      </c>
      <c r="B180">
        <v>2136.4401859999998</v>
      </c>
      <c r="C180">
        <v>-14.522021000000001</v>
      </c>
      <c r="D180" t="s">
        <v>349</v>
      </c>
      <c r="E180">
        <f t="shared" si="7"/>
        <v>658.44018599999981</v>
      </c>
      <c r="F180">
        <v>1780</v>
      </c>
      <c r="G180">
        <f t="shared" si="8"/>
        <v>7.6668962584366191</v>
      </c>
    </row>
    <row r="181" spans="1:7" x14ac:dyDescent="0.25">
      <c r="A181">
        <v>1000</v>
      </c>
      <c r="B181">
        <v>2136.0009770000001</v>
      </c>
      <c r="C181">
        <v>-14.551049000000001</v>
      </c>
      <c r="D181" t="s">
        <v>350</v>
      </c>
      <c r="E181">
        <f t="shared" si="7"/>
        <v>658.00097700000015</v>
      </c>
      <c r="F181">
        <v>1790</v>
      </c>
      <c r="G181">
        <f t="shared" si="8"/>
        <v>7.6666906574769849</v>
      </c>
    </row>
    <row r="182" spans="1:7" x14ac:dyDescent="0.25">
      <c r="A182">
        <v>1000</v>
      </c>
      <c r="B182">
        <v>2137.053711</v>
      </c>
      <c r="C182">
        <v>-14.582727</v>
      </c>
      <c r="D182" t="s">
        <v>427</v>
      </c>
      <c r="E182">
        <f t="shared" si="7"/>
        <v>659.05371100000002</v>
      </c>
      <c r="F182">
        <v>1800</v>
      </c>
      <c r="G182">
        <f t="shared" si="8"/>
        <v>7.6671833888357739</v>
      </c>
    </row>
    <row r="183" spans="1:7" x14ac:dyDescent="0.25">
      <c r="A183">
        <v>1000</v>
      </c>
      <c r="B183">
        <v>2138.7856449999999</v>
      </c>
      <c r="C183">
        <v>-14.680864</v>
      </c>
      <c r="D183" t="s">
        <v>352</v>
      </c>
      <c r="E183">
        <f t="shared" si="7"/>
        <v>660.78564499999993</v>
      </c>
      <c r="F183">
        <v>1810</v>
      </c>
      <c r="G183">
        <f t="shared" si="8"/>
        <v>7.6679934913445535</v>
      </c>
    </row>
    <row r="184" spans="1:7" x14ac:dyDescent="0.25">
      <c r="A184">
        <v>1000</v>
      </c>
      <c r="B184">
        <v>2138.8801269999999</v>
      </c>
      <c r="C184">
        <v>-14.679607000000001</v>
      </c>
      <c r="D184" t="s">
        <v>353</v>
      </c>
      <c r="E184">
        <f t="shared" si="7"/>
        <v>660.8801269999999</v>
      </c>
      <c r="F184">
        <v>1820</v>
      </c>
      <c r="G184">
        <f t="shared" si="8"/>
        <v>7.6680376659037881</v>
      </c>
    </row>
    <row r="185" spans="1:7" x14ac:dyDescent="0.25">
      <c r="A185">
        <v>1000</v>
      </c>
      <c r="B185">
        <v>2139.7478030000002</v>
      </c>
      <c r="C185">
        <v>-14.713717000000001</v>
      </c>
      <c r="D185" t="s">
        <v>354</v>
      </c>
      <c r="E185">
        <f t="shared" si="7"/>
        <v>661.7478030000002</v>
      </c>
      <c r="F185">
        <v>1830</v>
      </c>
      <c r="G185">
        <f t="shared" si="8"/>
        <v>7.66844325200573</v>
      </c>
    </row>
    <row r="186" spans="1:7" x14ac:dyDescent="0.25">
      <c r="A186">
        <v>1000</v>
      </c>
      <c r="B186">
        <v>2139.2807619999999</v>
      </c>
      <c r="C186">
        <v>-14.697202000000001</v>
      </c>
      <c r="D186" t="s">
        <v>428</v>
      </c>
      <c r="E186">
        <f t="shared" si="7"/>
        <v>661.28076199999987</v>
      </c>
      <c r="F186">
        <v>1840</v>
      </c>
      <c r="G186">
        <f t="shared" si="8"/>
        <v>7.6682249590007823</v>
      </c>
    </row>
    <row r="187" spans="1:7" x14ac:dyDescent="0.25">
      <c r="A187">
        <v>1000</v>
      </c>
      <c r="B187">
        <v>2138.7685550000001</v>
      </c>
      <c r="C187">
        <v>-14.602372000000001</v>
      </c>
      <c r="D187" t="s">
        <v>356</v>
      </c>
      <c r="E187">
        <f t="shared" si="7"/>
        <v>660.76855500000011</v>
      </c>
      <c r="F187">
        <v>1850</v>
      </c>
      <c r="G187">
        <f t="shared" si="8"/>
        <v>7.6679855007970579</v>
      </c>
    </row>
    <row r="188" spans="1:7" x14ac:dyDescent="0.25">
      <c r="A188">
        <v>1000</v>
      </c>
      <c r="B188">
        <v>2135.5095209999999</v>
      </c>
      <c r="C188">
        <v>-14.4482</v>
      </c>
      <c r="D188" t="s">
        <v>357</v>
      </c>
      <c r="E188">
        <f t="shared" si="7"/>
        <v>657.50952099999995</v>
      </c>
      <c r="F188">
        <v>1860</v>
      </c>
      <c r="G188">
        <f t="shared" si="8"/>
        <v>7.6664605487122284</v>
      </c>
    </row>
    <row r="189" spans="1:7" x14ac:dyDescent="0.25">
      <c r="A189">
        <v>1000</v>
      </c>
      <c r="B189">
        <v>2132.6098630000001</v>
      </c>
      <c r="C189">
        <v>-14.264824000000001</v>
      </c>
      <c r="D189" t="s">
        <v>429</v>
      </c>
      <c r="E189">
        <f t="shared" si="7"/>
        <v>654.60986300000013</v>
      </c>
      <c r="F189">
        <v>1870</v>
      </c>
      <c r="G189">
        <f t="shared" si="8"/>
        <v>7.6651017964444339</v>
      </c>
    </row>
    <row r="190" spans="1:7" x14ac:dyDescent="0.25">
      <c r="A190">
        <v>1000</v>
      </c>
      <c r="B190">
        <v>2131.155518</v>
      </c>
      <c r="C190">
        <v>-14.205196000000001</v>
      </c>
      <c r="D190" t="s">
        <v>359</v>
      </c>
      <c r="E190">
        <f t="shared" si="7"/>
        <v>653.15551800000003</v>
      </c>
      <c r="F190">
        <v>1880</v>
      </c>
      <c r="G190">
        <f t="shared" si="8"/>
        <v>7.6644196083189415</v>
      </c>
    </row>
    <row r="191" spans="1:7" x14ac:dyDescent="0.25">
      <c r="A191">
        <v>1000</v>
      </c>
      <c r="B191">
        <v>2130.835693</v>
      </c>
      <c r="C191">
        <v>-14.157097</v>
      </c>
      <c r="D191" t="s">
        <v>430</v>
      </c>
      <c r="E191">
        <f t="shared" si="7"/>
        <v>652.83569299999999</v>
      </c>
      <c r="F191">
        <v>1890</v>
      </c>
      <c r="G191">
        <f t="shared" si="8"/>
        <v>7.6642695258880931</v>
      </c>
    </row>
    <row r="192" spans="1:7" x14ac:dyDescent="0.25">
      <c r="A192">
        <v>1000</v>
      </c>
      <c r="B192">
        <v>2130.2026369999999</v>
      </c>
      <c r="C192">
        <v>-14.126117000000001</v>
      </c>
      <c r="D192" t="s">
        <v>361</v>
      </c>
      <c r="E192">
        <f t="shared" si="7"/>
        <v>652.20263699999987</v>
      </c>
      <c r="F192">
        <v>1900</v>
      </c>
      <c r="G192">
        <f t="shared" si="8"/>
        <v>7.6639723889202322</v>
      </c>
    </row>
    <row r="193" spans="1:7" x14ac:dyDescent="0.25">
      <c r="A193">
        <v>1000</v>
      </c>
      <c r="B193">
        <v>2131.3100589999999</v>
      </c>
      <c r="C193">
        <v>-14.126075999999999</v>
      </c>
      <c r="D193" t="s">
        <v>362</v>
      </c>
      <c r="E193">
        <f t="shared" si="7"/>
        <v>653.31005899999991</v>
      </c>
      <c r="F193">
        <v>1910</v>
      </c>
      <c r="G193">
        <f t="shared" si="8"/>
        <v>7.664492120810726</v>
      </c>
    </row>
    <row r="194" spans="1:7" x14ac:dyDescent="0.25">
      <c r="A194">
        <v>1000</v>
      </c>
      <c r="B194">
        <v>2132.5500489999999</v>
      </c>
      <c r="C194">
        <v>-14.1898</v>
      </c>
      <c r="D194" t="s">
        <v>431</v>
      </c>
      <c r="E194">
        <f t="shared" si="7"/>
        <v>654.55004899999994</v>
      </c>
      <c r="F194">
        <v>1920</v>
      </c>
      <c r="G194">
        <f t="shared" si="8"/>
        <v>7.6650737487270035</v>
      </c>
    </row>
  </sheetData>
  <sortState ref="A1:I193">
    <sortCondition ref="G1:G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zoomScale="85" zoomScaleNormal="85" workbookViewId="0">
      <selection activeCell="F1" sqref="F1:F1048576"/>
    </sheetView>
  </sheetViews>
  <sheetFormatPr baseColWidth="10" defaultRowHeight="15" x14ac:dyDescent="0.25"/>
  <cols>
    <col min="4" max="4" width="23" bestFit="1" customWidth="1"/>
    <col min="5" max="5" width="23" customWidth="1"/>
    <col min="10" max="10" width="9.5703125" bestFit="1" customWidth="1"/>
    <col min="11" max="11" width="9.140625" customWidth="1"/>
    <col min="12" max="12" width="11.5703125" bestFit="1" customWidth="1"/>
    <col min="13" max="13" width="11.7109375" bestFit="1" customWidth="1"/>
    <col min="14" max="14" width="13.85546875" bestFit="1" customWidth="1"/>
  </cols>
  <sheetData>
    <row r="1" spans="1:14" x14ac:dyDescent="0.25">
      <c r="A1" t="s">
        <v>469</v>
      </c>
      <c r="B1" t="s">
        <v>470</v>
      </c>
      <c r="C1" t="s">
        <v>471</v>
      </c>
      <c r="D1" t="s">
        <v>472</v>
      </c>
      <c r="E1" t="s">
        <v>475</v>
      </c>
      <c r="F1" t="s">
        <v>473</v>
      </c>
      <c r="G1" t="s">
        <v>474</v>
      </c>
    </row>
    <row r="2" spans="1:14" x14ac:dyDescent="0.25">
      <c r="A2">
        <v>1000</v>
      </c>
      <c r="B2">
        <v>2156.9960940000001</v>
      </c>
      <c r="C2">
        <v>-13.418514</v>
      </c>
      <c r="D2" t="s">
        <v>168</v>
      </c>
      <c r="E2">
        <f>B2-N$3</f>
        <v>672.99609400000008</v>
      </c>
      <c r="F2">
        <v>0</v>
      </c>
      <c r="G2">
        <f>LN(B2)</f>
        <v>7.6764718355391164</v>
      </c>
      <c r="J2" s="1" t="s">
        <v>0</v>
      </c>
      <c r="K2" s="1" t="s">
        <v>432</v>
      </c>
      <c r="M2" s="2"/>
      <c r="N2" t="s">
        <v>468</v>
      </c>
    </row>
    <row r="3" spans="1:14" x14ac:dyDescent="0.25">
      <c r="A3">
        <v>1000</v>
      </c>
      <c r="B3">
        <v>2115.6564939999998</v>
      </c>
      <c r="C3">
        <v>-13.306115999999999</v>
      </c>
      <c r="D3" t="s">
        <v>169</v>
      </c>
      <c r="E3">
        <f t="shared" ref="E3:E66" si="0">B3-N$3</f>
        <v>631.65649399999984</v>
      </c>
      <c r="F3">
        <v>10</v>
      </c>
      <c r="G3">
        <f t="shared" ref="G3:G66" si="1">LN(B3)</f>
        <v>7.6571204423709318</v>
      </c>
      <c r="I3" t="s">
        <v>1</v>
      </c>
      <c r="J3">
        <f>1/(0.000005)</f>
        <v>199999.99999999997</v>
      </c>
      <c r="K3">
        <f>1/(0.00003)</f>
        <v>33333.333333333336</v>
      </c>
      <c r="L3" s="3" t="s">
        <v>3</v>
      </c>
      <c r="M3" s="2"/>
      <c r="N3">
        <v>1484</v>
      </c>
    </row>
    <row r="4" spans="1:14" x14ac:dyDescent="0.25">
      <c r="A4">
        <v>1000</v>
      </c>
      <c r="B4">
        <v>2103.998047</v>
      </c>
      <c r="C4">
        <v>-13.143859000000001</v>
      </c>
      <c r="D4" t="s">
        <v>170</v>
      </c>
      <c r="E4">
        <f t="shared" si="0"/>
        <v>619.99804700000004</v>
      </c>
      <c r="F4">
        <v>20</v>
      </c>
      <c r="G4">
        <f t="shared" si="1"/>
        <v>7.6515946456252308</v>
      </c>
      <c r="J4">
        <f>J3/60</f>
        <v>3333.333333333333</v>
      </c>
      <c r="K4">
        <f>K3/60</f>
        <v>555.55555555555554</v>
      </c>
      <c r="L4" s="3" t="s">
        <v>4</v>
      </c>
    </row>
    <row r="5" spans="1:14" x14ac:dyDescent="0.25">
      <c r="A5">
        <v>1000</v>
      </c>
      <c r="B5">
        <v>2086.5622560000002</v>
      </c>
      <c r="C5">
        <v>-12.864981999999999</v>
      </c>
      <c r="D5" t="s">
        <v>171</v>
      </c>
      <c r="E5">
        <f t="shared" si="0"/>
        <v>602.56225600000016</v>
      </c>
      <c r="F5">
        <v>30</v>
      </c>
      <c r="G5">
        <f t="shared" si="1"/>
        <v>7.6432731371134359</v>
      </c>
      <c r="J5">
        <f>J4/60</f>
        <v>55.55555555555555</v>
      </c>
      <c r="K5">
        <f>K4/60</f>
        <v>9.2592592592592595</v>
      </c>
      <c r="L5" s="3" t="s">
        <v>5</v>
      </c>
    </row>
    <row r="6" spans="1:14" x14ac:dyDescent="0.25">
      <c r="A6">
        <v>1000</v>
      </c>
      <c r="B6">
        <v>2076.5998540000001</v>
      </c>
      <c r="C6">
        <v>-12.661346</v>
      </c>
      <c r="D6" t="s">
        <v>172</v>
      </c>
      <c r="E6">
        <f t="shared" si="0"/>
        <v>592.59985400000005</v>
      </c>
      <c r="F6">
        <v>40</v>
      </c>
      <c r="G6">
        <f t="shared" si="1"/>
        <v>7.6384871495621178</v>
      </c>
    </row>
    <row r="7" spans="1:14" x14ac:dyDescent="0.25">
      <c r="A7">
        <v>1000</v>
      </c>
      <c r="B7">
        <v>2068.8491210000002</v>
      </c>
      <c r="C7">
        <v>-12.498638</v>
      </c>
      <c r="D7" t="s">
        <v>173</v>
      </c>
      <c r="E7">
        <f t="shared" si="0"/>
        <v>584.8491210000002</v>
      </c>
      <c r="F7">
        <v>50</v>
      </c>
      <c r="G7">
        <f t="shared" si="1"/>
        <v>7.6347477514518793</v>
      </c>
    </row>
    <row r="8" spans="1:14" x14ac:dyDescent="0.25">
      <c r="A8">
        <v>1000</v>
      </c>
      <c r="B8">
        <v>2062.7602539999998</v>
      </c>
      <c r="C8">
        <v>-12.349589</v>
      </c>
      <c r="D8" t="s">
        <v>174</v>
      </c>
      <c r="E8">
        <f t="shared" si="0"/>
        <v>578.7602539999998</v>
      </c>
      <c r="F8">
        <v>60</v>
      </c>
      <c r="G8">
        <f t="shared" si="1"/>
        <v>7.6318002940059113</v>
      </c>
    </row>
    <row r="9" spans="1:14" x14ac:dyDescent="0.25">
      <c r="A9">
        <v>1000</v>
      </c>
      <c r="B9">
        <v>2057.7885740000002</v>
      </c>
      <c r="C9">
        <v>-12.235238000000001</v>
      </c>
      <c r="D9" t="s">
        <v>175</v>
      </c>
      <c r="E9">
        <f t="shared" si="0"/>
        <v>573.78857400000015</v>
      </c>
      <c r="F9">
        <v>70</v>
      </c>
      <c r="G9">
        <f t="shared" si="1"/>
        <v>7.6293871773944648</v>
      </c>
    </row>
    <row r="10" spans="1:14" x14ac:dyDescent="0.25">
      <c r="A10">
        <v>1000</v>
      </c>
      <c r="B10">
        <v>1984.862061</v>
      </c>
      <c r="C10">
        <v>-10.556323000000001</v>
      </c>
      <c r="D10" t="s">
        <v>176</v>
      </c>
      <c r="E10">
        <f t="shared" si="0"/>
        <v>500.86206100000004</v>
      </c>
      <c r="F10">
        <v>80</v>
      </c>
      <c r="G10">
        <f t="shared" si="1"/>
        <v>7.593304700026601</v>
      </c>
    </row>
    <row r="11" spans="1:14" x14ac:dyDescent="0.25">
      <c r="A11">
        <v>1000</v>
      </c>
      <c r="B11">
        <v>2011.423096</v>
      </c>
      <c r="C11">
        <v>-11.500159</v>
      </c>
      <c r="D11" t="s">
        <v>177</v>
      </c>
      <c r="E11">
        <f t="shared" si="0"/>
        <v>527.42309599999999</v>
      </c>
      <c r="F11">
        <v>90</v>
      </c>
      <c r="G11">
        <f t="shared" si="1"/>
        <v>7.6065977584939244</v>
      </c>
    </row>
    <row r="12" spans="1:14" x14ac:dyDescent="0.25">
      <c r="A12">
        <v>1000</v>
      </c>
      <c r="B12">
        <v>2011.2188719999999</v>
      </c>
      <c r="C12">
        <v>-11.500802</v>
      </c>
      <c r="D12" t="s">
        <v>178</v>
      </c>
      <c r="E12">
        <f t="shared" si="0"/>
        <v>527.21887199999992</v>
      </c>
      <c r="F12">
        <v>100</v>
      </c>
      <c r="G12">
        <f t="shared" si="1"/>
        <v>7.6064962212446234</v>
      </c>
    </row>
    <row r="13" spans="1:14" x14ac:dyDescent="0.25">
      <c r="A13">
        <v>1000</v>
      </c>
      <c r="B13">
        <v>2009.3416749999999</v>
      </c>
      <c r="C13">
        <v>-11.483739999999999</v>
      </c>
      <c r="D13" t="s">
        <v>179</v>
      </c>
      <c r="E13">
        <f t="shared" si="0"/>
        <v>525.3416749999999</v>
      </c>
      <c r="F13">
        <v>110</v>
      </c>
      <c r="G13">
        <f t="shared" si="1"/>
        <v>7.6055624225295126</v>
      </c>
    </row>
    <row r="14" spans="1:14" x14ac:dyDescent="0.25">
      <c r="A14">
        <v>1000</v>
      </c>
      <c r="B14">
        <v>2008.108154</v>
      </c>
      <c r="C14">
        <v>-11.436926</v>
      </c>
      <c r="D14" t="s">
        <v>180</v>
      </c>
      <c r="E14">
        <f t="shared" si="0"/>
        <v>524.10815400000001</v>
      </c>
      <c r="F14">
        <v>120</v>
      </c>
      <c r="G14">
        <f t="shared" si="1"/>
        <v>7.6049483409149232</v>
      </c>
    </row>
    <row r="15" spans="1:14" x14ac:dyDescent="0.25">
      <c r="A15">
        <v>1000</v>
      </c>
      <c r="B15">
        <v>2007.707764</v>
      </c>
      <c r="C15">
        <v>-11.422173000000001</v>
      </c>
      <c r="D15" t="s">
        <v>181</v>
      </c>
      <c r="E15">
        <f t="shared" si="0"/>
        <v>523.707764</v>
      </c>
      <c r="F15">
        <v>130</v>
      </c>
      <c r="G15">
        <f t="shared" si="1"/>
        <v>7.604748934363676</v>
      </c>
    </row>
    <row r="16" spans="1:14" x14ac:dyDescent="0.25">
      <c r="A16">
        <v>1000</v>
      </c>
      <c r="B16">
        <v>2006.6929929999999</v>
      </c>
      <c r="C16">
        <v>-11.391259</v>
      </c>
      <c r="D16" t="s">
        <v>182</v>
      </c>
      <c r="E16">
        <f t="shared" si="0"/>
        <v>522.69299299999989</v>
      </c>
      <c r="F16">
        <v>140</v>
      </c>
      <c r="G16">
        <f t="shared" si="1"/>
        <v>7.604243368983914</v>
      </c>
    </row>
    <row r="17" spans="1:7" x14ac:dyDescent="0.25">
      <c r="A17">
        <v>1000</v>
      </c>
      <c r="B17">
        <v>2005.5006100000001</v>
      </c>
      <c r="C17">
        <v>-11.336316999999999</v>
      </c>
      <c r="D17" t="s">
        <v>183</v>
      </c>
      <c r="E17">
        <f t="shared" si="0"/>
        <v>521.50061000000005</v>
      </c>
      <c r="F17">
        <v>150</v>
      </c>
      <c r="G17">
        <f t="shared" si="1"/>
        <v>7.6036489893736112</v>
      </c>
    </row>
    <row r="18" spans="1:7" x14ac:dyDescent="0.25">
      <c r="A18">
        <v>1000</v>
      </c>
      <c r="B18">
        <v>2002.9698490000001</v>
      </c>
      <c r="C18">
        <v>-11.308422</v>
      </c>
      <c r="D18" t="s">
        <v>184</v>
      </c>
      <c r="E18">
        <f t="shared" si="0"/>
        <v>518.96984900000007</v>
      </c>
      <c r="F18">
        <v>160</v>
      </c>
      <c r="G18">
        <f t="shared" si="1"/>
        <v>7.6023862826319029</v>
      </c>
    </row>
    <row r="19" spans="1:7" x14ac:dyDescent="0.25">
      <c r="A19">
        <v>1000</v>
      </c>
      <c r="B19">
        <v>2003.4580080000001</v>
      </c>
      <c r="C19">
        <v>-11.282413</v>
      </c>
      <c r="D19" t="s">
        <v>185</v>
      </c>
      <c r="E19">
        <f t="shared" si="0"/>
        <v>519.45800800000006</v>
      </c>
      <c r="F19">
        <v>170</v>
      </c>
      <c r="G19">
        <f t="shared" si="1"/>
        <v>7.6026299705353617</v>
      </c>
    </row>
    <row r="20" spans="1:7" x14ac:dyDescent="0.25">
      <c r="A20">
        <v>1000</v>
      </c>
      <c r="B20">
        <v>2003.2761230000001</v>
      </c>
      <c r="C20">
        <v>-11.282890999999999</v>
      </c>
      <c r="D20" t="s">
        <v>186</v>
      </c>
      <c r="E20">
        <f t="shared" si="0"/>
        <v>519.2761230000001</v>
      </c>
      <c r="F20">
        <v>180</v>
      </c>
      <c r="G20">
        <f t="shared" si="1"/>
        <v>7.602539180882653</v>
      </c>
    </row>
    <row r="21" spans="1:7" x14ac:dyDescent="0.25">
      <c r="A21">
        <v>1000</v>
      </c>
      <c r="B21">
        <v>2002.080933</v>
      </c>
      <c r="C21">
        <v>-11.239191999999999</v>
      </c>
      <c r="D21" t="s">
        <v>187</v>
      </c>
      <c r="E21">
        <f t="shared" si="0"/>
        <v>518.08093299999996</v>
      </c>
      <c r="F21">
        <v>190</v>
      </c>
      <c r="G21">
        <f t="shared" si="1"/>
        <v>7.6019423851319798</v>
      </c>
    </row>
    <row r="22" spans="1:7" x14ac:dyDescent="0.25">
      <c r="A22">
        <v>1000</v>
      </c>
      <c r="B22">
        <v>2001.4167480000001</v>
      </c>
      <c r="C22">
        <v>-11.21448</v>
      </c>
      <c r="D22" t="s">
        <v>188</v>
      </c>
      <c r="E22">
        <f t="shared" si="0"/>
        <v>517.4167480000001</v>
      </c>
      <c r="F22">
        <v>200</v>
      </c>
      <c r="G22">
        <f t="shared" si="1"/>
        <v>7.6016105827636435</v>
      </c>
    </row>
    <row r="23" spans="1:7" x14ac:dyDescent="0.25">
      <c r="A23">
        <v>1000</v>
      </c>
      <c r="B23">
        <v>2000.0927730000001</v>
      </c>
      <c r="C23">
        <v>-11.179702000000001</v>
      </c>
      <c r="D23" t="s">
        <v>189</v>
      </c>
      <c r="E23">
        <f t="shared" si="0"/>
        <v>516.09277300000008</v>
      </c>
      <c r="F23">
        <v>210</v>
      </c>
      <c r="G23">
        <f t="shared" si="1"/>
        <v>7.6009488449662621</v>
      </c>
    </row>
    <row r="24" spans="1:7" x14ac:dyDescent="0.25">
      <c r="A24">
        <v>1000</v>
      </c>
      <c r="B24">
        <v>1999.2951660000001</v>
      </c>
      <c r="C24">
        <v>-11.136111</v>
      </c>
      <c r="D24" t="s">
        <v>190</v>
      </c>
      <c r="E24">
        <f t="shared" si="0"/>
        <v>515.29516600000011</v>
      </c>
      <c r="F24">
        <v>220</v>
      </c>
      <c r="G24">
        <f t="shared" si="1"/>
        <v>7.6005499804286174</v>
      </c>
    </row>
    <row r="25" spans="1:7" x14ac:dyDescent="0.25">
      <c r="A25">
        <v>1000</v>
      </c>
      <c r="B25">
        <v>1999.020264</v>
      </c>
      <c r="C25">
        <v>-11.108886</v>
      </c>
      <c r="D25" t="s">
        <v>191</v>
      </c>
      <c r="E25">
        <f t="shared" si="0"/>
        <v>515.020264</v>
      </c>
      <c r="F25">
        <v>230</v>
      </c>
      <c r="G25">
        <f t="shared" si="1"/>
        <v>7.6004124715175543</v>
      </c>
    </row>
    <row r="26" spans="1:7" x14ac:dyDescent="0.25">
      <c r="A26">
        <v>1000</v>
      </c>
      <c r="B26">
        <v>1998.136841</v>
      </c>
      <c r="C26">
        <v>-11.080171999999999</v>
      </c>
      <c r="D26" t="s">
        <v>192</v>
      </c>
      <c r="E26">
        <f t="shared" si="0"/>
        <v>514.136841</v>
      </c>
      <c r="F26">
        <v>240</v>
      </c>
      <c r="G26">
        <f t="shared" si="1"/>
        <v>7.5999704458522244</v>
      </c>
    </row>
    <row r="27" spans="1:7" x14ac:dyDescent="0.25">
      <c r="A27">
        <v>1000</v>
      </c>
      <c r="B27">
        <v>1997.0318600000001</v>
      </c>
      <c r="C27">
        <v>-11.046676</v>
      </c>
      <c r="D27" t="s">
        <v>193</v>
      </c>
      <c r="E27">
        <f t="shared" si="0"/>
        <v>513.03186000000005</v>
      </c>
      <c r="F27">
        <v>250</v>
      </c>
      <c r="G27">
        <f t="shared" si="1"/>
        <v>7.599417287219449</v>
      </c>
    </row>
    <row r="28" spans="1:7" x14ac:dyDescent="0.25">
      <c r="A28">
        <v>1000</v>
      </c>
      <c r="B28">
        <v>1996.8549800000001</v>
      </c>
      <c r="C28">
        <v>-11.021813999999999</v>
      </c>
      <c r="D28" t="s">
        <v>194</v>
      </c>
      <c r="E28">
        <f t="shared" si="0"/>
        <v>512.85498000000007</v>
      </c>
      <c r="F28">
        <v>260</v>
      </c>
      <c r="G28">
        <f t="shared" si="1"/>
        <v>7.599328711850541</v>
      </c>
    </row>
    <row r="29" spans="1:7" x14ac:dyDescent="0.25">
      <c r="A29">
        <v>1000</v>
      </c>
      <c r="B29">
        <v>1995.924438</v>
      </c>
      <c r="C29">
        <v>-10.984481000000001</v>
      </c>
      <c r="D29" t="s">
        <v>195</v>
      </c>
      <c r="E29">
        <f t="shared" si="0"/>
        <v>511.92443800000001</v>
      </c>
      <c r="F29">
        <v>270</v>
      </c>
      <c r="G29">
        <f t="shared" si="1"/>
        <v>7.5988625994413992</v>
      </c>
    </row>
    <row r="30" spans="1:7" x14ac:dyDescent="0.25">
      <c r="A30">
        <v>1000</v>
      </c>
      <c r="B30">
        <v>1995.2645259999999</v>
      </c>
      <c r="C30">
        <v>-10.959631999999999</v>
      </c>
      <c r="D30" t="s">
        <v>196</v>
      </c>
      <c r="E30">
        <f t="shared" si="0"/>
        <v>511.26452599999993</v>
      </c>
      <c r="F30">
        <v>280</v>
      </c>
      <c r="G30">
        <f t="shared" si="1"/>
        <v>7.598531915020307</v>
      </c>
    </row>
    <row r="31" spans="1:7" x14ac:dyDescent="0.25">
      <c r="A31">
        <v>1000</v>
      </c>
      <c r="B31">
        <v>1994.2517089999999</v>
      </c>
      <c r="C31">
        <v>-10.911998000000001</v>
      </c>
      <c r="D31" t="s">
        <v>197</v>
      </c>
      <c r="E31">
        <f t="shared" si="0"/>
        <v>510.25170899999989</v>
      </c>
      <c r="F31">
        <v>290</v>
      </c>
      <c r="G31">
        <f t="shared" si="1"/>
        <v>7.5980241757546425</v>
      </c>
    </row>
    <row r="32" spans="1:7" x14ac:dyDescent="0.25">
      <c r="A32">
        <v>1000</v>
      </c>
      <c r="B32">
        <v>1994.6866460000001</v>
      </c>
      <c r="C32">
        <v>-10.903352</v>
      </c>
      <c r="D32" t="s">
        <v>198</v>
      </c>
      <c r="E32">
        <f t="shared" si="0"/>
        <v>510.68664600000011</v>
      </c>
      <c r="F32">
        <v>300</v>
      </c>
      <c r="G32">
        <f t="shared" si="1"/>
        <v>7.5982422473130455</v>
      </c>
    </row>
    <row r="33" spans="1:7" x14ac:dyDescent="0.25">
      <c r="A33">
        <v>1000</v>
      </c>
      <c r="B33">
        <v>1994.6389160000001</v>
      </c>
      <c r="C33">
        <v>-10.894746</v>
      </c>
      <c r="D33" t="s">
        <v>199</v>
      </c>
      <c r="E33">
        <f t="shared" si="0"/>
        <v>510.63891600000011</v>
      </c>
      <c r="F33">
        <v>310</v>
      </c>
      <c r="G33">
        <f t="shared" si="1"/>
        <v>7.5982183184562695</v>
      </c>
    </row>
    <row r="34" spans="1:7" x14ac:dyDescent="0.25">
      <c r="A34">
        <v>1000</v>
      </c>
      <c r="B34">
        <v>1993.6669919999999</v>
      </c>
      <c r="C34">
        <v>-10.878325</v>
      </c>
      <c r="D34" t="s">
        <v>200</v>
      </c>
      <c r="E34">
        <f t="shared" si="0"/>
        <v>509.66699199999994</v>
      </c>
      <c r="F34">
        <v>320</v>
      </c>
      <c r="G34">
        <f t="shared" si="1"/>
        <v>7.5977309315598482</v>
      </c>
    </row>
    <row r="35" spans="1:7" x14ac:dyDescent="0.25">
      <c r="A35">
        <v>1000</v>
      </c>
      <c r="B35">
        <v>1993.2338870000001</v>
      </c>
      <c r="C35">
        <v>-10.846973999999999</v>
      </c>
      <c r="D35" t="s">
        <v>201</v>
      </c>
      <c r="E35">
        <f t="shared" si="0"/>
        <v>509.2338870000001</v>
      </c>
      <c r="F35">
        <v>330</v>
      </c>
      <c r="G35">
        <f t="shared" si="1"/>
        <v>7.5975136675671644</v>
      </c>
    </row>
    <row r="36" spans="1:7" x14ac:dyDescent="0.25">
      <c r="A36">
        <v>1000</v>
      </c>
      <c r="B36">
        <v>1993.8426509999999</v>
      </c>
      <c r="C36">
        <v>-10.834543999999999</v>
      </c>
      <c r="D36" t="s">
        <v>202</v>
      </c>
      <c r="E36">
        <f t="shared" si="0"/>
        <v>509.84265099999993</v>
      </c>
      <c r="F36">
        <v>340</v>
      </c>
      <c r="G36">
        <f t="shared" si="1"/>
        <v>7.5978190361744273</v>
      </c>
    </row>
    <row r="37" spans="1:7" x14ac:dyDescent="0.25">
      <c r="A37">
        <v>1000</v>
      </c>
      <c r="B37">
        <v>1993.489746</v>
      </c>
      <c r="C37">
        <v>-10.810829999999999</v>
      </c>
      <c r="D37" t="s">
        <v>203</v>
      </c>
      <c r="E37">
        <f t="shared" si="0"/>
        <v>509.48974599999997</v>
      </c>
      <c r="F37">
        <v>350</v>
      </c>
      <c r="G37">
        <f t="shared" si="1"/>
        <v>7.5976420230911001</v>
      </c>
    </row>
    <row r="38" spans="1:7" x14ac:dyDescent="0.25">
      <c r="A38">
        <v>1000</v>
      </c>
      <c r="B38">
        <v>1993.5736079999999</v>
      </c>
      <c r="C38">
        <v>-10.793303</v>
      </c>
      <c r="D38" t="s">
        <v>204</v>
      </c>
      <c r="E38">
        <f t="shared" si="0"/>
        <v>509.57360799999992</v>
      </c>
      <c r="F38">
        <v>360</v>
      </c>
      <c r="G38">
        <f t="shared" si="1"/>
        <v>7.5976840901427449</v>
      </c>
    </row>
    <row r="39" spans="1:7" x14ac:dyDescent="0.25">
      <c r="A39">
        <v>1000</v>
      </c>
      <c r="B39">
        <v>1992.390991</v>
      </c>
      <c r="C39">
        <v>-10.749426</v>
      </c>
      <c r="D39" t="s">
        <v>205</v>
      </c>
      <c r="E39">
        <f t="shared" si="0"/>
        <v>508.39099099999999</v>
      </c>
      <c r="F39">
        <v>370</v>
      </c>
      <c r="G39">
        <f t="shared" si="1"/>
        <v>7.5970906995065119</v>
      </c>
    </row>
    <row r="40" spans="1:7" x14ac:dyDescent="0.25">
      <c r="A40">
        <v>1000</v>
      </c>
      <c r="B40">
        <v>1992.521851</v>
      </c>
      <c r="C40">
        <v>-10.739549999999999</v>
      </c>
      <c r="D40" t="s">
        <v>206</v>
      </c>
      <c r="E40">
        <f t="shared" si="0"/>
        <v>508.52185099999997</v>
      </c>
      <c r="F40">
        <v>380</v>
      </c>
      <c r="G40">
        <f t="shared" si="1"/>
        <v>7.59715637722908</v>
      </c>
    </row>
    <row r="41" spans="1:7" x14ac:dyDescent="0.25">
      <c r="A41">
        <v>1000</v>
      </c>
      <c r="B41">
        <v>1992.1241460000001</v>
      </c>
      <c r="C41">
        <v>-10.722023999999999</v>
      </c>
      <c r="D41" t="s">
        <v>207</v>
      </c>
      <c r="E41">
        <f t="shared" si="0"/>
        <v>508.12414600000011</v>
      </c>
      <c r="F41">
        <v>390</v>
      </c>
      <c r="G41">
        <f t="shared" si="1"/>
        <v>7.5969567584917472</v>
      </c>
    </row>
    <row r="42" spans="1:7" x14ac:dyDescent="0.25">
      <c r="A42">
        <v>1000</v>
      </c>
      <c r="B42">
        <v>1991.989624</v>
      </c>
      <c r="C42">
        <v>-10.714483</v>
      </c>
      <c r="D42" t="s">
        <v>208</v>
      </c>
      <c r="E42">
        <f t="shared" si="0"/>
        <v>507.98962400000005</v>
      </c>
      <c r="F42">
        <v>400</v>
      </c>
      <c r="G42">
        <f t="shared" si="1"/>
        <v>7.5968892292956358</v>
      </c>
    </row>
    <row r="43" spans="1:7" x14ac:dyDescent="0.25">
      <c r="A43">
        <v>1000</v>
      </c>
      <c r="B43">
        <v>1991.946655</v>
      </c>
      <c r="C43">
        <v>-10.68066</v>
      </c>
      <c r="D43" t="s">
        <v>209</v>
      </c>
      <c r="E43">
        <f t="shared" si="0"/>
        <v>507.94665499999996</v>
      </c>
      <c r="F43">
        <v>410</v>
      </c>
      <c r="G43">
        <f t="shared" si="1"/>
        <v>7.596867658167489</v>
      </c>
    </row>
    <row r="44" spans="1:7" x14ac:dyDescent="0.25">
      <c r="A44">
        <v>1000</v>
      </c>
      <c r="B44">
        <v>1991.1142580000001</v>
      </c>
      <c r="C44">
        <v>-10.656919</v>
      </c>
      <c r="D44" t="s">
        <v>210</v>
      </c>
      <c r="E44">
        <f t="shared" si="0"/>
        <v>507.11425800000006</v>
      </c>
      <c r="F44">
        <v>420</v>
      </c>
      <c r="G44">
        <f t="shared" si="1"/>
        <v>7.5964496896602034</v>
      </c>
    </row>
    <row r="45" spans="1:7" x14ac:dyDescent="0.25">
      <c r="A45">
        <v>1000</v>
      </c>
      <c r="B45">
        <v>1991.0686040000001</v>
      </c>
      <c r="C45">
        <v>-10.634392999999999</v>
      </c>
      <c r="D45" t="s">
        <v>211</v>
      </c>
      <c r="E45">
        <f t="shared" si="0"/>
        <v>507.06860400000005</v>
      </c>
      <c r="F45">
        <v>430</v>
      </c>
      <c r="G45">
        <f t="shared" si="1"/>
        <v>7.5964267605273212</v>
      </c>
    </row>
    <row r="46" spans="1:7" x14ac:dyDescent="0.25">
      <c r="A46">
        <v>1000</v>
      </c>
      <c r="B46">
        <v>1991.6397710000001</v>
      </c>
      <c r="C46">
        <v>-10.604476</v>
      </c>
      <c r="D46" t="s">
        <v>212</v>
      </c>
      <c r="E46">
        <f t="shared" si="0"/>
        <v>507.63977100000011</v>
      </c>
      <c r="F46">
        <v>440</v>
      </c>
      <c r="G46">
        <f t="shared" si="1"/>
        <v>7.5967135839400024</v>
      </c>
    </row>
    <row r="47" spans="1:7" x14ac:dyDescent="0.25">
      <c r="A47">
        <v>1000</v>
      </c>
      <c r="B47">
        <v>1990.5850829999999</v>
      </c>
      <c r="C47">
        <v>-10.603096000000001</v>
      </c>
      <c r="D47" t="s">
        <v>213</v>
      </c>
      <c r="E47">
        <f t="shared" si="0"/>
        <v>506.58508299999994</v>
      </c>
      <c r="F47">
        <v>450</v>
      </c>
      <c r="G47">
        <f t="shared" si="1"/>
        <v>7.5961838860633986</v>
      </c>
    </row>
    <row r="48" spans="1:7" x14ac:dyDescent="0.25">
      <c r="A48">
        <v>1000</v>
      </c>
      <c r="B48">
        <v>1990.847534</v>
      </c>
      <c r="C48">
        <v>-10.584327999999999</v>
      </c>
      <c r="D48" t="s">
        <v>214</v>
      </c>
      <c r="E48">
        <f t="shared" si="0"/>
        <v>506.847534</v>
      </c>
      <c r="F48">
        <v>460</v>
      </c>
      <c r="G48">
        <f t="shared" si="1"/>
        <v>7.5963157235327863</v>
      </c>
    </row>
    <row r="49" spans="1:7" x14ac:dyDescent="0.25">
      <c r="A49">
        <v>1000</v>
      </c>
      <c r="B49">
        <v>1989.974487</v>
      </c>
      <c r="C49">
        <v>-10.555477</v>
      </c>
      <c r="D49" t="s">
        <v>215</v>
      </c>
      <c r="E49">
        <f t="shared" si="0"/>
        <v>505.97448699999995</v>
      </c>
      <c r="F49">
        <v>470</v>
      </c>
      <c r="G49">
        <f t="shared" si="1"/>
        <v>7.5958770970333385</v>
      </c>
    </row>
    <row r="50" spans="1:7" x14ac:dyDescent="0.25">
      <c r="A50">
        <v>1000</v>
      </c>
      <c r="B50">
        <v>1989.892212</v>
      </c>
      <c r="C50">
        <v>-10.519057</v>
      </c>
      <c r="D50" t="s">
        <v>216</v>
      </c>
      <c r="E50">
        <f t="shared" si="0"/>
        <v>505.89221199999997</v>
      </c>
      <c r="F50">
        <v>480</v>
      </c>
      <c r="G50">
        <f t="shared" si="1"/>
        <v>7.5958357514274502</v>
      </c>
    </row>
    <row r="51" spans="1:7" x14ac:dyDescent="0.25">
      <c r="A51">
        <v>1000</v>
      </c>
      <c r="B51">
        <v>1989.453857</v>
      </c>
      <c r="C51">
        <v>-10.492815999999999</v>
      </c>
      <c r="D51" t="s">
        <v>217</v>
      </c>
      <c r="E51">
        <f t="shared" si="0"/>
        <v>505.45385699999997</v>
      </c>
      <c r="F51">
        <v>490</v>
      </c>
      <c r="G51">
        <f t="shared" si="1"/>
        <v>7.5956154363333761</v>
      </c>
    </row>
    <row r="52" spans="1:7" x14ac:dyDescent="0.25">
      <c r="A52">
        <v>1000</v>
      </c>
      <c r="B52">
        <v>1989.8000489999999</v>
      </c>
      <c r="C52">
        <v>-10.500247999999999</v>
      </c>
      <c r="D52" t="s">
        <v>218</v>
      </c>
      <c r="E52">
        <f t="shared" si="0"/>
        <v>505.80004899999994</v>
      </c>
      <c r="F52">
        <v>500</v>
      </c>
      <c r="G52">
        <f t="shared" si="1"/>
        <v>7.5957894347808494</v>
      </c>
    </row>
    <row r="53" spans="1:7" x14ac:dyDescent="0.25">
      <c r="A53">
        <v>1000</v>
      </c>
      <c r="B53">
        <v>1989.8889160000001</v>
      </c>
      <c r="C53">
        <v>-10.485234</v>
      </c>
      <c r="D53" t="s">
        <v>219</v>
      </c>
      <c r="E53">
        <f t="shared" si="0"/>
        <v>505.88891600000011</v>
      </c>
      <c r="F53">
        <v>510</v>
      </c>
      <c r="G53">
        <f t="shared" si="1"/>
        <v>7.595834095054955</v>
      </c>
    </row>
    <row r="54" spans="1:7" x14ac:dyDescent="0.25">
      <c r="A54">
        <v>1000</v>
      </c>
      <c r="B54">
        <v>1989.625732</v>
      </c>
      <c r="C54">
        <v>-10.472709</v>
      </c>
      <c r="D54" t="s">
        <v>220</v>
      </c>
      <c r="E54">
        <f t="shared" si="0"/>
        <v>505.62573199999997</v>
      </c>
      <c r="F54">
        <v>520</v>
      </c>
      <c r="G54">
        <f t="shared" si="1"/>
        <v>7.5957018256584758</v>
      </c>
    </row>
    <row r="55" spans="1:7" x14ac:dyDescent="0.25">
      <c r="A55">
        <v>1000</v>
      </c>
      <c r="B55">
        <v>1989.497437</v>
      </c>
      <c r="C55">
        <v>-10.438898999999999</v>
      </c>
      <c r="D55" t="s">
        <v>221</v>
      </c>
      <c r="E55">
        <f t="shared" si="0"/>
        <v>505.49743699999999</v>
      </c>
      <c r="F55">
        <v>530</v>
      </c>
      <c r="G55">
        <f t="shared" si="1"/>
        <v>7.5956373416027709</v>
      </c>
    </row>
    <row r="56" spans="1:7" x14ac:dyDescent="0.25">
      <c r="A56">
        <v>1000</v>
      </c>
      <c r="B56">
        <v>1988.626587</v>
      </c>
      <c r="C56">
        <v>-10.410021</v>
      </c>
      <c r="D56" t="s">
        <v>222</v>
      </c>
      <c r="E56">
        <f t="shared" si="0"/>
        <v>504.62658699999997</v>
      </c>
      <c r="F56">
        <v>540</v>
      </c>
      <c r="G56">
        <f t="shared" si="1"/>
        <v>7.5951995221639317</v>
      </c>
    </row>
    <row r="57" spans="1:7" x14ac:dyDescent="0.25">
      <c r="A57">
        <v>1000</v>
      </c>
      <c r="B57">
        <v>1988.4967039999999</v>
      </c>
      <c r="C57">
        <v>-10.391183</v>
      </c>
      <c r="D57" t="s">
        <v>223</v>
      </c>
      <c r="E57">
        <f t="shared" si="0"/>
        <v>504.49670399999991</v>
      </c>
      <c r="F57">
        <v>550</v>
      </c>
      <c r="G57">
        <f t="shared" si="1"/>
        <v>7.5951342071155699</v>
      </c>
    </row>
    <row r="58" spans="1:7" x14ac:dyDescent="0.25">
      <c r="A58">
        <v>1000</v>
      </c>
      <c r="B58">
        <v>1988.2797849999999</v>
      </c>
      <c r="C58">
        <v>-10.372387</v>
      </c>
      <c r="D58" t="s">
        <v>224</v>
      </c>
      <c r="E58">
        <f t="shared" si="0"/>
        <v>504.27978499999995</v>
      </c>
      <c r="F58">
        <v>560</v>
      </c>
      <c r="G58">
        <f t="shared" si="1"/>
        <v>7.5950251142355372</v>
      </c>
    </row>
    <row r="59" spans="1:7" x14ac:dyDescent="0.25">
      <c r="A59">
        <v>1000</v>
      </c>
      <c r="B59">
        <v>1987.8900149999999</v>
      </c>
      <c r="C59">
        <v>-10.343508</v>
      </c>
      <c r="D59" t="s">
        <v>225</v>
      </c>
      <c r="E59">
        <f t="shared" si="0"/>
        <v>503.89001499999995</v>
      </c>
      <c r="F59">
        <v>570</v>
      </c>
      <c r="G59">
        <f t="shared" si="1"/>
        <v>7.5948290612393858</v>
      </c>
    </row>
    <row r="60" spans="1:7" x14ac:dyDescent="0.25">
      <c r="A60">
        <v>1000</v>
      </c>
      <c r="B60">
        <v>1988.7613530000001</v>
      </c>
      <c r="C60">
        <v>-10.341077</v>
      </c>
      <c r="D60" t="s">
        <v>226</v>
      </c>
      <c r="E60">
        <f t="shared" si="0"/>
        <v>504.7613530000001</v>
      </c>
      <c r="F60">
        <v>580</v>
      </c>
      <c r="G60">
        <f t="shared" si="1"/>
        <v>7.5952672882466388</v>
      </c>
    </row>
    <row r="61" spans="1:7" x14ac:dyDescent="0.25">
      <c r="A61">
        <v>1000</v>
      </c>
      <c r="B61">
        <v>1988.3714600000001</v>
      </c>
      <c r="C61">
        <v>-10.312184999999999</v>
      </c>
      <c r="D61" t="s">
        <v>227</v>
      </c>
      <c r="E61">
        <f t="shared" si="0"/>
        <v>504.37146000000007</v>
      </c>
      <c r="F61">
        <v>590</v>
      </c>
      <c r="G61">
        <f t="shared" si="1"/>
        <v>7.5950712208686655</v>
      </c>
    </row>
    <row r="62" spans="1:7" x14ac:dyDescent="0.25">
      <c r="A62">
        <v>1000</v>
      </c>
      <c r="B62">
        <v>1988.155518</v>
      </c>
      <c r="C62">
        <v>-10.293388</v>
      </c>
      <c r="D62" t="s">
        <v>228</v>
      </c>
      <c r="E62">
        <f t="shared" si="0"/>
        <v>504.15551800000003</v>
      </c>
      <c r="F62">
        <v>600</v>
      </c>
      <c r="G62">
        <f t="shared" si="1"/>
        <v>7.5949626125270617</v>
      </c>
    </row>
    <row r="63" spans="1:7" x14ac:dyDescent="0.25">
      <c r="A63">
        <v>1000</v>
      </c>
      <c r="B63">
        <v>1988.154419</v>
      </c>
      <c r="C63">
        <v>-10.290903</v>
      </c>
      <c r="D63" t="s">
        <v>229</v>
      </c>
      <c r="E63">
        <f t="shared" si="0"/>
        <v>504.15441899999996</v>
      </c>
      <c r="F63">
        <v>610</v>
      </c>
      <c r="G63">
        <f t="shared" si="1"/>
        <v>7.5949620597532492</v>
      </c>
    </row>
    <row r="64" spans="1:7" x14ac:dyDescent="0.25">
      <c r="A64">
        <v>1000</v>
      </c>
      <c r="B64">
        <v>1988.025024</v>
      </c>
      <c r="C64">
        <v>-10.272064</v>
      </c>
      <c r="D64" t="s">
        <v>230</v>
      </c>
      <c r="E64">
        <f t="shared" si="0"/>
        <v>504.02502400000003</v>
      </c>
      <c r="F64">
        <v>620</v>
      </c>
      <c r="G64">
        <f t="shared" si="1"/>
        <v>7.594896974662448</v>
      </c>
    </row>
    <row r="65" spans="1:7" x14ac:dyDescent="0.25">
      <c r="A65">
        <v>1000</v>
      </c>
      <c r="B65">
        <v>1988.8125</v>
      </c>
      <c r="C65">
        <v>-10.258336</v>
      </c>
      <c r="D65" t="s">
        <v>231</v>
      </c>
      <c r="E65">
        <f t="shared" si="0"/>
        <v>504.8125</v>
      </c>
      <c r="F65">
        <v>630</v>
      </c>
      <c r="G65">
        <f t="shared" si="1"/>
        <v>7.5952930059337991</v>
      </c>
    </row>
    <row r="66" spans="1:7" x14ac:dyDescent="0.25">
      <c r="A66">
        <v>1000</v>
      </c>
      <c r="B66">
        <v>1987.765991</v>
      </c>
      <c r="C66">
        <v>-10.234387999999999</v>
      </c>
      <c r="D66" t="s">
        <v>232</v>
      </c>
      <c r="E66">
        <f t="shared" si="0"/>
        <v>503.76599099999999</v>
      </c>
      <c r="F66">
        <v>640</v>
      </c>
      <c r="G66">
        <f t="shared" si="1"/>
        <v>7.5947666695234757</v>
      </c>
    </row>
    <row r="67" spans="1:7" x14ac:dyDescent="0.25">
      <c r="A67">
        <v>1000</v>
      </c>
      <c r="B67">
        <v>1988.5078129999999</v>
      </c>
      <c r="C67">
        <v>-10.226957000000001</v>
      </c>
      <c r="D67" t="s">
        <v>233</v>
      </c>
      <c r="E67">
        <f t="shared" ref="E67:E130" si="2">B67-N$3</f>
        <v>504.50781299999994</v>
      </c>
      <c r="F67">
        <v>650</v>
      </c>
      <c r="G67">
        <f t="shared" ref="G67:G130" si="3">LN(B67)</f>
        <v>7.5951397937323071</v>
      </c>
    </row>
    <row r="68" spans="1:7" x14ac:dyDescent="0.25">
      <c r="A68">
        <v>1000</v>
      </c>
      <c r="B68">
        <v>1987.5535890000001</v>
      </c>
      <c r="C68">
        <v>-10.195608</v>
      </c>
      <c r="D68" t="s">
        <v>234</v>
      </c>
      <c r="E68">
        <f t="shared" si="2"/>
        <v>503.5535890000001</v>
      </c>
      <c r="F68">
        <v>660</v>
      </c>
      <c r="G68">
        <f t="shared" si="3"/>
        <v>7.5946598091838595</v>
      </c>
    </row>
    <row r="69" spans="1:7" x14ac:dyDescent="0.25">
      <c r="A69">
        <v>1000</v>
      </c>
      <c r="B69">
        <v>1988.038086</v>
      </c>
      <c r="C69">
        <v>-10.169243</v>
      </c>
      <c r="D69" t="s">
        <v>235</v>
      </c>
      <c r="E69">
        <f t="shared" si="2"/>
        <v>504.03808600000002</v>
      </c>
      <c r="F69">
        <v>670</v>
      </c>
      <c r="G69">
        <f t="shared" si="3"/>
        <v>7.5949035449806948</v>
      </c>
    </row>
    <row r="70" spans="1:7" x14ac:dyDescent="0.25">
      <c r="A70">
        <v>1000</v>
      </c>
      <c r="B70">
        <v>1986.512817</v>
      </c>
      <c r="C70">
        <v>-10.156634</v>
      </c>
      <c r="D70" t="s">
        <v>236</v>
      </c>
      <c r="E70">
        <f t="shared" si="2"/>
        <v>502.51281700000004</v>
      </c>
      <c r="F70">
        <v>680</v>
      </c>
      <c r="G70">
        <f t="shared" si="3"/>
        <v>7.5941360272851854</v>
      </c>
    </row>
    <row r="71" spans="1:7" x14ac:dyDescent="0.25">
      <c r="A71">
        <v>1000</v>
      </c>
      <c r="B71">
        <v>1986.955322</v>
      </c>
      <c r="C71">
        <v>-10.130380000000001</v>
      </c>
      <c r="D71" t="s">
        <v>237</v>
      </c>
      <c r="E71">
        <f t="shared" si="2"/>
        <v>502.95532200000002</v>
      </c>
      <c r="F71">
        <v>690</v>
      </c>
      <c r="G71">
        <f t="shared" si="3"/>
        <v>7.5943587571455247</v>
      </c>
    </row>
    <row r="72" spans="1:7" x14ac:dyDescent="0.25">
      <c r="A72">
        <v>1000</v>
      </c>
      <c r="B72">
        <v>1987.563721</v>
      </c>
      <c r="C72">
        <v>-10.135433000000001</v>
      </c>
      <c r="D72" t="s">
        <v>238</v>
      </c>
      <c r="E72">
        <f t="shared" si="2"/>
        <v>503.56372099999999</v>
      </c>
      <c r="F72">
        <v>700</v>
      </c>
      <c r="G72">
        <f t="shared" si="3"/>
        <v>7.5946649068950514</v>
      </c>
    </row>
    <row r="73" spans="1:7" x14ac:dyDescent="0.25">
      <c r="A73">
        <v>1000</v>
      </c>
      <c r="B73">
        <v>1986.5634769999999</v>
      </c>
      <c r="C73">
        <v>-10.102757</v>
      </c>
      <c r="D73" t="s">
        <v>239</v>
      </c>
      <c r="E73">
        <f t="shared" si="2"/>
        <v>502.56347699999992</v>
      </c>
      <c r="F73">
        <v>710</v>
      </c>
      <c r="G73">
        <f t="shared" si="3"/>
        <v>7.5941615289349169</v>
      </c>
    </row>
    <row r="74" spans="1:7" x14ac:dyDescent="0.25">
      <c r="A74">
        <v>1000</v>
      </c>
      <c r="B74">
        <v>1987.002686</v>
      </c>
      <c r="C74">
        <v>-10.082677</v>
      </c>
      <c r="D74" t="s">
        <v>240</v>
      </c>
      <c r="E74">
        <f t="shared" si="2"/>
        <v>503.00268600000004</v>
      </c>
      <c r="F74">
        <v>720</v>
      </c>
      <c r="G74">
        <f t="shared" si="3"/>
        <v>7.5943825943375165</v>
      </c>
    </row>
    <row r="75" spans="1:7" x14ac:dyDescent="0.25">
      <c r="A75">
        <v>1000</v>
      </c>
      <c r="B75">
        <v>1986.4011230000001</v>
      </c>
      <c r="C75">
        <v>-10.048759</v>
      </c>
      <c r="D75" t="s">
        <v>241</v>
      </c>
      <c r="E75">
        <f t="shared" si="2"/>
        <v>502.4011230000001</v>
      </c>
      <c r="F75">
        <v>730</v>
      </c>
      <c r="G75">
        <f t="shared" si="3"/>
        <v>7.5940797995381386</v>
      </c>
    </row>
    <row r="76" spans="1:7" x14ac:dyDescent="0.25">
      <c r="A76">
        <v>1000</v>
      </c>
      <c r="B76">
        <v>1987.3183590000001</v>
      </c>
      <c r="C76">
        <v>-10.037571</v>
      </c>
      <c r="D76" t="s">
        <v>242</v>
      </c>
      <c r="E76">
        <f t="shared" si="2"/>
        <v>503.3183590000001</v>
      </c>
      <c r="F76">
        <v>740</v>
      </c>
      <c r="G76">
        <f t="shared" si="3"/>
        <v>7.5945414506538977</v>
      </c>
    </row>
    <row r="77" spans="1:7" x14ac:dyDescent="0.25">
      <c r="A77">
        <v>1000</v>
      </c>
      <c r="B77">
        <v>1986.1885990000001</v>
      </c>
      <c r="C77">
        <v>-10.013679</v>
      </c>
      <c r="D77" t="s">
        <v>243</v>
      </c>
      <c r="E77">
        <f t="shared" si="2"/>
        <v>502.18859900000007</v>
      </c>
      <c r="F77">
        <v>750</v>
      </c>
      <c r="G77">
        <f t="shared" si="3"/>
        <v>7.5939728043460475</v>
      </c>
    </row>
    <row r="78" spans="1:7" x14ac:dyDescent="0.25">
      <c r="A78">
        <v>1000</v>
      </c>
      <c r="B78">
        <v>1986.930908</v>
      </c>
      <c r="C78">
        <v>-10.017585</v>
      </c>
      <c r="D78" t="s">
        <v>244</v>
      </c>
      <c r="E78">
        <f t="shared" si="2"/>
        <v>502.93090800000004</v>
      </c>
      <c r="F78">
        <v>760</v>
      </c>
      <c r="G78">
        <f t="shared" si="3"/>
        <v>7.5943464699291381</v>
      </c>
    </row>
    <row r="79" spans="1:7" x14ac:dyDescent="0.25">
      <c r="A79">
        <v>1000</v>
      </c>
      <c r="B79">
        <v>1986.453857</v>
      </c>
      <c r="C79">
        <v>-10.003774999999999</v>
      </c>
      <c r="D79" t="s">
        <v>245</v>
      </c>
      <c r="E79">
        <f t="shared" si="2"/>
        <v>502.45385699999997</v>
      </c>
      <c r="F79">
        <v>770</v>
      </c>
      <c r="G79">
        <f t="shared" si="3"/>
        <v>7.5941063466939083</v>
      </c>
    </row>
    <row r="80" spans="1:7" x14ac:dyDescent="0.25">
      <c r="A80">
        <v>1000</v>
      </c>
      <c r="B80">
        <v>1986.849121</v>
      </c>
      <c r="C80">
        <v>-9.9762210000000007</v>
      </c>
      <c r="D80" t="s">
        <v>246</v>
      </c>
      <c r="E80">
        <f t="shared" si="2"/>
        <v>502.84912099999997</v>
      </c>
      <c r="F80">
        <v>780</v>
      </c>
      <c r="G80">
        <f t="shared" si="3"/>
        <v>7.5943053066038333</v>
      </c>
    </row>
    <row r="81" spans="1:7" x14ac:dyDescent="0.25">
      <c r="A81">
        <v>1000</v>
      </c>
      <c r="B81">
        <v>1986.9848629999999</v>
      </c>
      <c r="C81">
        <v>-9.9637360000000008</v>
      </c>
      <c r="D81" t="s">
        <v>247</v>
      </c>
      <c r="E81">
        <f t="shared" si="2"/>
        <v>502.9848629999999</v>
      </c>
      <c r="F81">
        <v>790</v>
      </c>
      <c r="G81">
        <f t="shared" si="3"/>
        <v>7.5943736245056881</v>
      </c>
    </row>
    <row r="82" spans="1:7" x14ac:dyDescent="0.25">
      <c r="A82">
        <v>1000</v>
      </c>
      <c r="B82">
        <v>1986.598755</v>
      </c>
      <c r="C82">
        <v>-9.9461689999999994</v>
      </c>
      <c r="D82" t="s">
        <v>248</v>
      </c>
      <c r="E82">
        <f t="shared" si="2"/>
        <v>502.59875499999998</v>
      </c>
      <c r="F82">
        <v>800</v>
      </c>
      <c r="G82">
        <f t="shared" si="3"/>
        <v>7.5941792870821763</v>
      </c>
    </row>
    <row r="83" spans="1:7" x14ac:dyDescent="0.25">
      <c r="A83">
        <v>1000</v>
      </c>
      <c r="B83">
        <v>1985.697876</v>
      </c>
      <c r="C83">
        <v>-9.8857359999999996</v>
      </c>
      <c r="D83" t="s">
        <v>249</v>
      </c>
      <c r="E83">
        <f t="shared" si="2"/>
        <v>501.69787599999995</v>
      </c>
      <c r="F83">
        <v>810</v>
      </c>
      <c r="G83">
        <f t="shared" si="3"/>
        <v>7.5937257061444319</v>
      </c>
    </row>
    <row r="84" spans="1:7" x14ac:dyDescent="0.25">
      <c r="A84">
        <v>1000</v>
      </c>
      <c r="B84">
        <v>1985.2677000000001</v>
      </c>
      <c r="C84">
        <v>-9.8631820000000001</v>
      </c>
      <c r="D84" t="s">
        <v>250</v>
      </c>
      <c r="E84">
        <f t="shared" si="2"/>
        <v>501.2677000000001</v>
      </c>
      <c r="F84">
        <v>820</v>
      </c>
      <c r="G84">
        <f t="shared" si="3"/>
        <v>7.5935090454892586</v>
      </c>
    </row>
    <row r="85" spans="1:7" x14ac:dyDescent="0.25">
      <c r="A85">
        <v>1000</v>
      </c>
      <c r="B85">
        <v>1986.1397710000001</v>
      </c>
      <c r="C85">
        <v>-9.8607910000000007</v>
      </c>
      <c r="D85" t="s">
        <v>251</v>
      </c>
      <c r="E85">
        <f t="shared" si="2"/>
        <v>502.13977100000011</v>
      </c>
      <c r="F85">
        <v>830</v>
      </c>
      <c r="G85">
        <f t="shared" si="3"/>
        <v>7.5939482202757214</v>
      </c>
    </row>
    <row r="86" spans="1:7" x14ac:dyDescent="0.25">
      <c r="A86">
        <v>1000</v>
      </c>
      <c r="B86">
        <v>1985.497314</v>
      </c>
      <c r="C86">
        <v>-9.8217920000000003</v>
      </c>
      <c r="D86" t="s">
        <v>252</v>
      </c>
      <c r="E86">
        <f t="shared" si="2"/>
        <v>501.49731399999996</v>
      </c>
      <c r="F86">
        <v>840</v>
      </c>
      <c r="G86">
        <f t="shared" si="3"/>
        <v>7.5936246977625341</v>
      </c>
    </row>
    <row r="87" spans="1:7" x14ac:dyDescent="0.25">
      <c r="A87">
        <v>1000</v>
      </c>
      <c r="B87">
        <v>1986.1948239999999</v>
      </c>
      <c r="C87">
        <v>-9.8344810000000003</v>
      </c>
      <c r="D87" t="s">
        <v>253</v>
      </c>
      <c r="E87">
        <f t="shared" si="2"/>
        <v>502.19482399999993</v>
      </c>
      <c r="F87">
        <v>850</v>
      </c>
      <c r="G87">
        <f t="shared" si="3"/>
        <v>7.5939759384845917</v>
      </c>
    </row>
    <row r="88" spans="1:7" x14ac:dyDescent="0.25">
      <c r="A88">
        <v>1000</v>
      </c>
      <c r="B88">
        <v>1986.197144</v>
      </c>
      <c r="C88">
        <v>-9.8182950000000009</v>
      </c>
      <c r="D88" t="s">
        <v>254</v>
      </c>
      <c r="E88">
        <f t="shared" si="2"/>
        <v>502.19714399999998</v>
      </c>
      <c r="F88">
        <v>860</v>
      </c>
      <c r="G88">
        <f t="shared" si="3"/>
        <v>7.5939771065465651</v>
      </c>
    </row>
    <row r="89" spans="1:7" x14ac:dyDescent="0.25">
      <c r="A89">
        <v>1000</v>
      </c>
      <c r="B89">
        <v>1985.850952</v>
      </c>
      <c r="C89">
        <v>-9.795795</v>
      </c>
      <c r="D89" t="s">
        <v>255</v>
      </c>
      <c r="E89">
        <f t="shared" si="2"/>
        <v>501.85095200000001</v>
      </c>
      <c r="F89">
        <v>870</v>
      </c>
      <c r="G89">
        <f t="shared" si="3"/>
        <v>7.5938027924433573</v>
      </c>
    </row>
    <row r="90" spans="1:7" x14ac:dyDescent="0.25">
      <c r="A90">
        <v>1000</v>
      </c>
      <c r="B90">
        <v>1986.2459719999999</v>
      </c>
      <c r="C90">
        <v>-9.7820250000000009</v>
      </c>
      <c r="D90" t="s">
        <v>256</v>
      </c>
      <c r="E90">
        <f t="shared" si="2"/>
        <v>502.24597199999994</v>
      </c>
      <c r="F90">
        <v>880</v>
      </c>
      <c r="G90">
        <f t="shared" si="3"/>
        <v>7.5940016899067677</v>
      </c>
    </row>
    <row r="91" spans="1:7" x14ac:dyDescent="0.25">
      <c r="A91">
        <v>1000</v>
      </c>
      <c r="B91">
        <v>1985.2116699999999</v>
      </c>
      <c r="C91">
        <v>-9.754391</v>
      </c>
      <c r="D91" t="s">
        <v>257</v>
      </c>
      <c r="E91">
        <f t="shared" si="2"/>
        <v>501.21166999999991</v>
      </c>
      <c r="F91">
        <v>890</v>
      </c>
      <c r="G91">
        <f t="shared" si="3"/>
        <v>7.5934808221969137</v>
      </c>
    </row>
    <row r="92" spans="1:7" x14ac:dyDescent="0.25">
      <c r="A92">
        <v>1000</v>
      </c>
      <c r="B92">
        <v>1985.7070309999999</v>
      </c>
      <c r="C92">
        <v>-9.7103359999999999</v>
      </c>
      <c r="D92" t="s">
        <v>258</v>
      </c>
      <c r="E92">
        <f t="shared" si="2"/>
        <v>501.70703099999992</v>
      </c>
      <c r="F92">
        <v>900</v>
      </c>
      <c r="G92">
        <f t="shared" si="3"/>
        <v>7.5937303166035584</v>
      </c>
    </row>
    <row r="93" spans="1:7" x14ac:dyDescent="0.25">
      <c r="A93">
        <v>1000</v>
      </c>
      <c r="B93">
        <v>1985.3154300000001</v>
      </c>
      <c r="C93">
        <v>-9.7193240000000003</v>
      </c>
      <c r="D93" t="s">
        <v>259</v>
      </c>
      <c r="E93">
        <f t="shared" si="2"/>
        <v>501.31543000000011</v>
      </c>
      <c r="F93">
        <v>910</v>
      </c>
      <c r="G93">
        <f t="shared" si="3"/>
        <v>7.5935330872979501</v>
      </c>
    </row>
    <row r="94" spans="1:7" x14ac:dyDescent="0.25">
      <c r="A94">
        <v>1000</v>
      </c>
      <c r="B94">
        <v>1985.802612</v>
      </c>
      <c r="C94">
        <v>-9.6904339999999998</v>
      </c>
      <c r="D94" t="s">
        <v>260</v>
      </c>
      <c r="E94">
        <f t="shared" si="2"/>
        <v>501.80261199999995</v>
      </c>
      <c r="F94">
        <v>920</v>
      </c>
      <c r="G94">
        <f t="shared" si="3"/>
        <v>7.5937784499375347</v>
      </c>
    </row>
    <row r="95" spans="1:7" x14ac:dyDescent="0.25">
      <c r="A95">
        <v>1000</v>
      </c>
      <c r="B95">
        <v>1985.8039550000001</v>
      </c>
      <c r="C95">
        <v>-9.6766769999999998</v>
      </c>
      <c r="D95" t="s">
        <v>261</v>
      </c>
      <c r="E95">
        <f t="shared" si="2"/>
        <v>501.80395500000009</v>
      </c>
      <c r="F95">
        <v>930</v>
      </c>
      <c r="G95">
        <f t="shared" si="3"/>
        <v>7.5937791262381591</v>
      </c>
    </row>
    <row r="96" spans="1:7" x14ac:dyDescent="0.25">
      <c r="A96">
        <v>1000</v>
      </c>
      <c r="B96">
        <v>1985.805908</v>
      </c>
      <c r="C96">
        <v>-9.6743000000000006</v>
      </c>
      <c r="D96" t="s">
        <v>262</v>
      </c>
      <c r="E96">
        <f t="shared" si="2"/>
        <v>501.80590800000004</v>
      </c>
      <c r="F96">
        <v>940</v>
      </c>
      <c r="G96">
        <f t="shared" si="3"/>
        <v>7.5937801097184439</v>
      </c>
    </row>
    <row r="97" spans="1:7" x14ac:dyDescent="0.25">
      <c r="A97">
        <v>1000</v>
      </c>
      <c r="B97">
        <v>1985.2939449999999</v>
      </c>
      <c r="C97">
        <v>-9.6289619999999996</v>
      </c>
      <c r="D97" t="s">
        <v>263</v>
      </c>
      <c r="E97">
        <f t="shared" si="2"/>
        <v>501.29394499999989</v>
      </c>
      <c r="F97">
        <v>950</v>
      </c>
      <c r="G97">
        <f t="shared" si="3"/>
        <v>7.5935222652814929</v>
      </c>
    </row>
    <row r="98" spans="1:7" x14ac:dyDescent="0.25">
      <c r="A98">
        <v>1000</v>
      </c>
      <c r="B98">
        <v>1985.461548</v>
      </c>
      <c r="C98">
        <v>-9.6380859999999995</v>
      </c>
      <c r="D98" t="s">
        <v>264</v>
      </c>
      <c r="E98">
        <f t="shared" si="2"/>
        <v>501.46154799999999</v>
      </c>
      <c r="F98">
        <v>960</v>
      </c>
      <c r="G98">
        <f t="shared" si="3"/>
        <v>7.5936066839773284</v>
      </c>
    </row>
    <row r="99" spans="1:7" x14ac:dyDescent="0.25">
      <c r="A99">
        <v>1000</v>
      </c>
      <c r="B99">
        <v>1985.469116</v>
      </c>
      <c r="C99">
        <v>-9.6001510000000003</v>
      </c>
      <c r="D99" t="s">
        <v>265</v>
      </c>
      <c r="E99">
        <f t="shared" si="2"/>
        <v>501.46911599999999</v>
      </c>
      <c r="F99">
        <v>970</v>
      </c>
      <c r="G99">
        <f t="shared" si="3"/>
        <v>7.5936104956782318</v>
      </c>
    </row>
    <row r="100" spans="1:7" x14ac:dyDescent="0.25">
      <c r="A100">
        <v>1000</v>
      </c>
      <c r="B100">
        <v>1985.5277100000001</v>
      </c>
      <c r="C100">
        <v>-9.5875699999999995</v>
      </c>
      <c r="D100" t="s">
        <v>266</v>
      </c>
      <c r="E100">
        <f t="shared" si="2"/>
        <v>501.52771000000007</v>
      </c>
      <c r="F100">
        <v>980</v>
      </c>
      <c r="G100">
        <f t="shared" si="3"/>
        <v>7.5936400066562415</v>
      </c>
    </row>
    <row r="101" spans="1:7" x14ac:dyDescent="0.25">
      <c r="A101">
        <v>1000</v>
      </c>
      <c r="B101">
        <v>1985.090942</v>
      </c>
      <c r="C101">
        <v>-9.5916139999999999</v>
      </c>
      <c r="D101" t="s">
        <v>267</v>
      </c>
      <c r="E101">
        <f t="shared" si="2"/>
        <v>501.09094200000004</v>
      </c>
      <c r="F101">
        <v>990</v>
      </c>
      <c r="G101">
        <f t="shared" si="3"/>
        <v>7.5934200066814057</v>
      </c>
    </row>
    <row r="102" spans="1:7" x14ac:dyDescent="0.25">
      <c r="A102">
        <v>1000</v>
      </c>
      <c r="B102">
        <v>1986.2298579999999</v>
      </c>
      <c r="C102">
        <v>-9.5841829999999995</v>
      </c>
      <c r="D102" t="s">
        <v>268</v>
      </c>
      <c r="E102">
        <f t="shared" si="2"/>
        <v>502.22985799999992</v>
      </c>
      <c r="F102">
        <v>1000</v>
      </c>
      <c r="G102">
        <f t="shared" si="3"/>
        <v>7.5939935770820757</v>
      </c>
    </row>
    <row r="103" spans="1:7" x14ac:dyDescent="0.25">
      <c r="A103">
        <v>1000</v>
      </c>
      <c r="B103">
        <v>1985.360962</v>
      </c>
      <c r="C103">
        <v>-9.5704259999999994</v>
      </c>
      <c r="D103" t="s">
        <v>269</v>
      </c>
      <c r="E103">
        <f t="shared" si="2"/>
        <v>501.36096199999997</v>
      </c>
      <c r="F103">
        <v>1010</v>
      </c>
      <c r="G103">
        <f t="shared" si="3"/>
        <v>7.5935560214257949</v>
      </c>
    </row>
    <row r="104" spans="1:7" x14ac:dyDescent="0.25">
      <c r="A104">
        <v>1000</v>
      </c>
      <c r="B104">
        <v>1986.5006100000001</v>
      </c>
      <c r="C104">
        <v>-9.5378740000000004</v>
      </c>
      <c r="D104" t="s">
        <v>270</v>
      </c>
      <c r="E104">
        <f t="shared" si="2"/>
        <v>502.50061000000005</v>
      </c>
      <c r="F104">
        <v>1020</v>
      </c>
      <c r="G104">
        <f t="shared" si="3"/>
        <v>7.5941298823273478</v>
      </c>
    </row>
    <row r="105" spans="1:7" x14ac:dyDescent="0.25">
      <c r="A105">
        <v>1000</v>
      </c>
      <c r="B105">
        <v>1986.5467530000001</v>
      </c>
      <c r="C105">
        <v>-9.5177379999999996</v>
      </c>
      <c r="D105" t="s">
        <v>271</v>
      </c>
      <c r="E105">
        <f t="shared" si="2"/>
        <v>502.54675300000008</v>
      </c>
      <c r="F105">
        <v>1030</v>
      </c>
      <c r="G105">
        <f t="shared" si="3"/>
        <v>7.5941531103414066</v>
      </c>
    </row>
    <row r="106" spans="1:7" x14ac:dyDescent="0.25">
      <c r="A106">
        <v>1000</v>
      </c>
      <c r="B106">
        <v>1986.421509</v>
      </c>
      <c r="C106">
        <v>-9.5103349999999995</v>
      </c>
      <c r="D106" t="s">
        <v>272</v>
      </c>
      <c r="E106">
        <f t="shared" si="2"/>
        <v>502.42150900000001</v>
      </c>
      <c r="F106">
        <v>1040</v>
      </c>
      <c r="G106">
        <f t="shared" si="3"/>
        <v>7.5940900622666261</v>
      </c>
    </row>
    <row r="107" spans="1:7" x14ac:dyDescent="0.25">
      <c r="A107">
        <v>1000</v>
      </c>
      <c r="B107">
        <v>1986.647095</v>
      </c>
      <c r="C107">
        <v>-9.4955540000000003</v>
      </c>
      <c r="D107" t="s">
        <v>273</v>
      </c>
      <c r="E107">
        <f t="shared" si="2"/>
        <v>502.64709500000004</v>
      </c>
      <c r="F107">
        <v>1050</v>
      </c>
      <c r="G107">
        <f t="shared" si="3"/>
        <v>7.5942036198326921</v>
      </c>
    </row>
    <row r="108" spans="1:7" x14ac:dyDescent="0.25">
      <c r="A108">
        <v>1000</v>
      </c>
      <c r="B108">
        <v>1986.1347659999999</v>
      </c>
      <c r="C108">
        <v>-9.4639170000000004</v>
      </c>
      <c r="D108" t="s">
        <v>274</v>
      </c>
      <c r="E108">
        <f t="shared" si="2"/>
        <v>502.1347659999999</v>
      </c>
      <c r="F108">
        <v>1060</v>
      </c>
      <c r="G108">
        <f t="shared" si="3"/>
        <v>7.5939457003089101</v>
      </c>
    </row>
    <row r="109" spans="1:7" x14ac:dyDescent="0.25">
      <c r="A109">
        <v>1000</v>
      </c>
      <c r="B109">
        <v>1987.0908199999999</v>
      </c>
      <c r="C109">
        <v>-9.4730550000000004</v>
      </c>
      <c r="D109" t="s">
        <v>275</v>
      </c>
      <c r="E109">
        <f t="shared" si="2"/>
        <v>503.09081999999989</v>
      </c>
      <c r="F109">
        <v>1070</v>
      </c>
      <c r="G109">
        <f t="shared" si="3"/>
        <v>7.5944269486034042</v>
      </c>
    </row>
    <row r="110" spans="1:7" x14ac:dyDescent="0.25">
      <c r="A110">
        <v>1000</v>
      </c>
      <c r="B110">
        <v>1986.4990230000001</v>
      </c>
      <c r="C110">
        <v>-9.4275929999999999</v>
      </c>
      <c r="D110" t="s">
        <v>276</v>
      </c>
      <c r="E110">
        <f t="shared" si="2"/>
        <v>502.49902300000008</v>
      </c>
      <c r="F110">
        <v>1080</v>
      </c>
      <c r="G110">
        <f t="shared" si="3"/>
        <v>7.5941290834347495</v>
      </c>
    </row>
    <row r="111" spans="1:7" x14ac:dyDescent="0.25">
      <c r="A111">
        <v>1000</v>
      </c>
      <c r="B111">
        <v>1986.2795410000001</v>
      </c>
      <c r="C111">
        <v>-9.4239599999999992</v>
      </c>
      <c r="D111" t="s">
        <v>277</v>
      </c>
      <c r="E111">
        <f t="shared" si="2"/>
        <v>502.27954100000011</v>
      </c>
      <c r="F111">
        <v>1090</v>
      </c>
      <c r="G111">
        <f t="shared" si="3"/>
        <v>7.5940185904904851</v>
      </c>
    </row>
    <row r="112" spans="1:7" x14ac:dyDescent="0.25">
      <c r="A112">
        <v>1000</v>
      </c>
      <c r="B112">
        <v>1986.8858640000001</v>
      </c>
      <c r="C112">
        <v>-9.4267330000000005</v>
      </c>
      <c r="D112" t="s">
        <v>278</v>
      </c>
      <c r="E112">
        <f t="shared" si="2"/>
        <v>502.88586400000008</v>
      </c>
      <c r="F112">
        <v>1100</v>
      </c>
      <c r="G112">
        <f t="shared" si="3"/>
        <v>7.5943237995331003</v>
      </c>
    </row>
    <row r="113" spans="1:7" x14ac:dyDescent="0.25">
      <c r="A113">
        <v>1000</v>
      </c>
      <c r="B113">
        <v>1987.331543</v>
      </c>
      <c r="C113">
        <v>-9.4156130000000005</v>
      </c>
      <c r="D113" t="s">
        <v>279</v>
      </c>
      <c r="E113">
        <f t="shared" si="2"/>
        <v>503.33154300000001</v>
      </c>
      <c r="F113">
        <v>1110</v>
      </c>
      <c r="G113">
        <f t="shared" si="3"/>
        <v>7.594548084697311</v>
      </c>
    </row>
    <row r="114" spans="1:7" x14ac:dyDescent="0.25">
      <c r="A114">
        <v>1000</v>
      </c>
      <c r="B114">
        <v>1987.460327</v>
      </c>
      <c r="C114">
        <v>-9.4069529999999997</v>
      </c>
      <c r="D114" t="s">
        <v>280</v>
      </c>
      <c r="E114">
        <f t="shared" si="2"/>
        <v>503.46032700000001</v>
      </c>
      <c r="F114">
        <v>1120</v>
      </c>
      <c r="G114">
        <f t="shared" si="3"/>
        <v>7.5946128850713972</v>
      </c>
    </row>
    <row r="115" spans="1:7" x14ac:dyDescent="0.25">
      <c r="A115">
        <v>1000</v>
      </c>
      <c r="B115">
        <v>1987.3370359999999</v>
      </c>
      <c r="C115">
        <v>-9.3858610000000002</v>
      </c>
      <c r="D115" t="s">
        <v>281</v>
      </c>
      <c r="E115">
        <f t="shared" si="2"/>
        <v>503.3370359999999</v>
      </c>
      <c r="F115">
        <v>1130</v>
      </c>
      <c r="G115">
        <f t="shared" si="3"/>
        <v>7.5945508487013482</v>
      </c>
    </row>
    <row r="116" spans="1:7" x14ac:dyDescent="0.25">
      <c r="A116">
        <v>1000</v>
      </c>
      <c r="B116">
        <v>1988.0352780000001</v>
      </c>
      <c r="C116">
        <v>-9.3872</v>
      </c>
      <c r="D116" t="s">
        <v>282</v>
      </c>
      <c r="E116">
        <f t="shared" si="2"/>
        <v>504.03527800000006</v>
      </c>
      <c r="F116">
        <v>1140</v>
      </c>
      <c r="G116">
        <f t="shared" si="3"/>
        <v>7.5949021325319075</v>
      </c>
    </row>
    <row r="117" spans="1:7" x14ac:dyDescent="0.25">
      <c r="A117">
        <v>1000</v>
      </c>
      <c r="B117">
        <v>1988.083374</v>
      </c>
      <c r="C117">
        <v>-9.3784569999999992</v>
      </c>
      <c r="D117" t="s">
        <v>283</v>
      </c>
      <c r="E117">
        <f t="shared" si="2"/>
        <v>504.08337400000005</v>
      </c>
      <c r="F117">
        <v>1150</v>
      </c>
      <c r="G117">
        <f t="shared" si="3"/>
        <v>7.5949263249689105</v>
      </c>
    </row>
    <row r="118" spans="1:7" x14ac:dyDescent="0.25">
      <c r="A118">
        <v>1000</v>
      </c>
      <c r="B118">
        <v>1987.2601320000001</v>
      </c>
      <c r="C118">
        <v>-9.3446339999999992</v>
      </c>
      <c r="D118" t="s">
        <v>284</v>
      </c>
      <c r="E118">
        <f t="shared" si="2"/>
        <v>503.26013200000011</v>
      </c>
      <c r="F118">
        <v>1160</v>
      </c>
      <c r="G118">
        <f t="shared" si="3"/>
        <v>7.5945121509431814</v>
      </c>
    </row>
    <row r="119" spans="1:7" x14ac:dyDescent="0.25">
      <c r="A119">
        <v>1000</v>
      </c>
      <c r="B119">
        <v>1987.7977289999999</v>
      </c>
      <c r="C119">
        <v>-9.3457950000000007</v>
      </c>
      <c r="D119" t="s">
        <v>285</v>
      </c>
      <c r="E119">
        <f t="shared" si="2"/>
        <v>503.79772899999989</v>
      </c>
      <c r="F119">
        <v>1170</v>
      </c>
      <c r="G119">
        <f t="shared" si="3"/>
        <v>7.594782636064191</v>
      </c>
    </row>
    <row r="120" spans="1:7" x14ac:dyDescent="0.25">
      <c r="A120">
        <v>1000</v>
      </c>
      <c r="B120">
        <v>1987.4068600000001</v>
      </c>
      <c r="C120">
        <v>-9.3298260000000006</v>
      </c>
      <c r="D120" t="s">
        <v>286</v>
      </c>
      <c r="E120">
        <f t="shared" si="2"/>
        <v>503.40686000000005</v>
      </c>
      <c r="F120">
        <v>1180</v>
      </c>
      <c r="G120">
        <f t="shared" si="3"/>
        <v>7.5945859825373052</v>
      </c>
    </row>
    <row r="121" spans="1:7" x14ac:dyDescent="0.25">
      <c r="A121">
        <v>1000</v>
      </c>
      <c r="B121">
        <v>1987.7667240000001</v>
      </c>
      <c r="C121">
        <v>-9.2981470000000002</v>
      </c>
      <c r="D121" t="s">
        <v>287</v>
      </c>
      <c r="E121">
        <f t="shared" si="2"/>
        <v>503.76672400000007</v>
      </c>
      <c r="F121">
        <v>1190</v>
      </c>
      <c r="G121">
        <f t="shared" si="3"/>
        <v>7.5947670382790884</v>
      </c>
    </row>
    <row r="122" spans="1:7" x14ac:dyDescent="0.25">
      <c r="A122">
        <v>1000</v>
      </c>
      <c r="B122">
        <v>1988.229736</v>
      </c>
      <c r="C122">
        <v>-9.2997189999999996</v>
      </c>
      <c r="D122" t="s">
        <v>288</v>
      </c>
      <c r="E122">
        <f t="shared" si="2"/>
        <v>504.229736</v>
      </c>
      <c r="F122">
        <v>1200</v>
      </c>
      <c r="G122">
        <f t="shared" si="3"/>
        <v>7.5949999419080276</v>
      </c>
    </row>
    <row r="123" spans="1:7" x14ac:dyDescent="0.25">
      <c r="A123">
        <v>1000</v>
      </c>
      <c r="B123">
        <v>1988.4213870000001</v>
      </c>
      <c r="C123">
        <v>-9.2922060000000002</v>
      </c>
      <c r="D123" t="s">
        <v>289</v>
      </c>
      <c r="E123">
        <f t="shared" si="2"/>
        <v>504.4213870000001</v>
      </c>
      <c r="F123">
        <v>1210</v>
      </c>
      <c r="G123">
        <f t="shared" si="3"/>
        <v>7.5950963300468013</v>
      </c>
    </row>
    <row r="124" spans="1:7" x14ac:dyDescent="0.25">
      <c r="A124">
        <v>1000</v>
      </c>
      <c r="B124">
        <v>1989.281982</v>
      </c>
      <c r="C124">
        <v>-9.3051279999999998</v>
      </c>
      <c r="D124" t="s">
        <v>290</v>
      </c>
      <c r="E124">
        <f t="shared" si="2"/>
        <v>505.28198199999997</v>
      </c>
      <c r="F124">
        <v>1220</v>
      </c>
      <c r="G124">
        <f t="shared" si="3"/>
        <v>7.5955290395445152</v>
      </c>
    </row>
    <row r="125" spans="1:7" x14ac:dyDescent="0.25">
      <c r="A125">
        <v>1000</v>
      </c>
      <c r="B125">
        <v>1989.506226</v>
      </c>
      <c r="C125">
        <v>-9.2927379999999999</v>
      </c>
      <c r="D125" t="s">
        <v>291</v>
      </c>
      <c r="E125">
        <f t="shared" si="2"/>
        <v>505.50622599999997</v>
      </c>
      <c r="F125">
        <v>1230</v>
      </c>
      <c r="G125">
        <f t="shared" si="3"/>
        <v>7.5956417592915919</v>
      </c>
    </row>
    <row r="126" spans="1:7" x14ac:dyDescent="0.25">
      <c r="A126">
        <v>1000</v>
      </c>
      <c r="B126">
        <v>1989.159668</v>
      </c>
      <c r="C126">
        <v>-9.2703629999999997</v>
      </c>
      <c r="D126" t="s">
        <v>292</v>
      </c>
      <c r="E126">
        <f t="shared" si="2"/>
        <v>505.15966800000001</v>
      </c>
      <c r="F126">
        <v>1240</v>
      </c>
      <c r="G126">
        <f t="shared" si="3"/>
        <v>7.5954675511473999</v>
      </c>
    </row>
    <row r="127" spans="1:7" x14ac:dyDescent="0.25">
      <c r="A127">
        <v>1000</v>
      </c>
      <c r="B127">
        <v>1989.60437</v>
      </c>
      <c r="C127">
        <v>-9.2615800000000004</v>
      </c>
      <c r="D127" t="s">
        <v>293</v>
      </c>
      <c r="E127">
        <f t="shared" si="2"/>
        <v>505.60437000000002</v>
      </c>
      <c r="F127">
        <v>1250</v>
      </c>
      <c r="G127">
        <f t="shared" si="3"/>
        <v>7.5956910889081737</v>
      </c>
    </row>
    <row r="128" spans="1:7" x14ac:dyDescent="0.25">
      <c r="A128">
        <v>1000</v>
      </c>
      <c r="B128">
        <v>1989.6530760000001</v>
      </c>
      <c r="C128">
        <v>-9.2528500000000005</v>
      </c>
      <c r="D128" t="s">
        <v>294</v>
      </c>
      <c r="E128">
        <f t="shared" si="2"/>
        <v>505.65307600000006</v>
      </c>
      <c r="F128">
        <v>1260</v>
      </c>
      <c r="G128">
        <f t="shared" si="3"/>
        <v>7.5957155688523157</v>
      </c>
    </row>
    <row r="129" spans="1:7" x14ac:dyDescent="0.25">
      <c r="A129">
        <v>1000</v>
      </c>
      <c r="B129">
        <v>1990.002563</v>
      </c>
      <c r="C129">
        <v>-9.234121</v>
      </c>
      <c r="D129" t="s">
        <v>295</v>
      </c>
      <c r="E129">
        <f t="shared" si="2"/>
        <v>506.00256300000001</v>
      </c>
      <c r="F129">
        <v>1270</v>
      </c>
      <c r="G129">
        <f t="shared" si="3"/>
        <v>7.5958912056574075</v>
      </c>
    </row>
    <row r="130" spans="1:7" x14ac:dyDescent="0.25">
      <c r="A130">
        <v>1000</v>
      </c>
      <c r="B130">
        <v>1990.0076899999999</v>
      </c>
      <c r="C130">
        <v>-9.2432470000000002</v>
      </c>
      <c r="D130" t="s">
        <v>296</v>
      </c>
      <c r="E130">
        <f t="shared" si="2"/>
        <v>506.00768999999991</v>
      </c>
      <c r="F130">
        <v>1280</v>
      </c>
      <c r="G130">
        <f t="shared" si="3"/>
        <v>7.5958937820326797</v>
      </c>
    </row>
    <row r="131" spans="1:7" x14ac:dyDescent="0.25">
      <c r="A131">
        <v>1000</v>
      </c>
      <c r="B131">
        <v>1989.8835449999999</v>
      </c>
      <c r="C131">
        <v>-9.2358980000000006</v>
      </c>
      <c r="D131" t="s">
        <v>297</v>
      </c>
      <c r="E131">
        <f t="shared" ref="E131:E194" si="4">B131-N$3</f>
        <v>505.88354499999991</v>
      </c>
      <c r="F131">
        <v>1290</v>
      </c>
      <c r="G131">
        <f t="shared" ref="G131:G194" si="5">LN(B131)</f>
        <v>7.5958313959056678</v>
      </c>
    </row>
    <row r="132" spans="1:7" x14ac:dyDescent="0.25">
      <c r="A132">
        <v>1000</v>
      </c>
      <c r="B132">
        <v>1990.439453</v>
      </c>
      <c r="C132">
        <v>-9.2223199999999999</v>
      </c>
      <c r="D132" t="s">
        <v>298</v>
      </c>
      <c r="E132">
        <f t="shared" si="4"/>
        <v>506.43945299999996</v>
      </c>
      <c r="F132">
        <v>1300</v>
      </c>
      <c r="G132">
        <f t="shared" si="5"/>
        <v>7.5961107239923047</v>
      </c>
    </row>
    <row r="133" spans="1:7" x14ac:dyDescent="0.25">
      <c r="A133">
        <v>1000</v>
      </c>
      <c r="B133">
        <v>1990.964111</v>
      </c>
      <c r="C133">
        <v>-9.2136320000000005</v>
      </c>
      <c r="D133" t="s">
        <v>299</v>
      </c>
      <c r="E133">
        <f t="shared" si="4"/>
        <v>506.964111</v>
      </c>
      <c r="F133">
        <v>1310</v>
      </c>
      <c r="G133">
        <f t="shared" si="5"/>
        <v>7.5963742782864641</v>
      </c>
    </row>
    <row r="134" spans="1:7" x14ac:dyDescent="0.25">
      <c r="A134">
        <v>1000</v>
      </c>
      <c r="B134">
        <v>1991.4104</v>
      </c>
      <c r="C134">
        <v>-9.1911590000000007</v>
      </c>
      <c r="D134" t="s">
        <v>300</v>
      </c>
      <c r="E134">
        <f t="shared" si="4"/>
        <v>507.41039999999998</v>
      </c>
      <c r="F134">
        <v>1320</v>
      </c>
      <c r="G134">
        <f t="shared" si="5"/>
        <v>7.5965984103969104</v>
      </c>
    </row>
    <row r="135" spans="1:7" x14ac:dyDescent="0.25">
      <c r="A135">
        <v>1000</v>
      </c>
      <c r="B135">
        <v>1990.9345699999999</v>
      </c>
      <c r="C135">
        <v>-9.1911330000000007</v>
      </c>
      <c r="D135" t="s">
        <v>301</v>
      </c>
      <c r="E135">
        <f t="shared" si="4"/>
        <v>506.93456999999989</v>
      </c>
      <c r="F135">
        <v>1330</v>
      </c>
      <c r="G135">
        <f t="shared" si="5"/>
        <v>7.5963594406412263</v>
      </c>
    </row>
    <row r="136" spans="1:7" x14ac:dyDescent="0.25">
      <c r="A136">
        <v>1000</v>
      </c>
      <c r="B136">
        <v>1991.7294919999999</v>
      </c>
      <c r="C136">
        <v>-9.1773209999999992</v>
      </c>
      <c r="D136" t="s">
        <v>302</v>
      </c>
      <c r="E136">
        <f t="shared" si="4"/>
        <v>507.72949199999994</v>
      </c>
      <c r="F136">
        <v>1340</v>
      </c>
      <c r="G136">
        <f t="shared" si="5"/>
        <v>7.5967586317345157</v>
      </c>
    </row>
    <row r="137" spans="1:7" x14ac:dyDescent="0.25">
      <c r="A137">
        <v>1000</v>
      </c>
      <c r="B137">
        <v>1991.457764</v>
      </c>
      <c r="C137">
        <v>-9.1573360000000008</v>
      </c>
      <c r="D137" t="s">
        <v>303</v>
      </c>
      <c r="E137">
        <f t="shared" si="4"/>
        <v>507.457764</v>
      </c>
      <c r="F137">
        <v>1350</v>
      </c>
      <c r="G137">
        <f t="shared" si="5"/>
        <v>7.5966221942622312</v>
      </c>
    </row>
    <row r="138" spans="1:7" x14ac:dyDescent="0.25">
      <c r="A138">
        <v>1000</v>
      </c>
      <c r="B138">
        <v>1991.8139650000001</v>
      </c>
      <c r="C138">
        <v>-9.1728690000000004</v>
      </c>
      <c r="D138" t="s">
        <v>304</v>
      </c>
      <c r="E138">
        <f t="shared" si="4"/>
        <v>507.81396500000005</v>
      </c>
      <c r="F138">
        <v>1360</v>
      </c>
      <c r="G138">
        <f t="shared" si="5"/>
        <v>7.5968010427190693</v>
      </c>
    </row>
    <row r="139" spans="1:7" x14ac:dyDescent="0.25">
      <c r="A139">
        <v>1000</v>
      </c>
      <c r="B139">
        <v>1992.290894</v>
      </c>
      <c r="C139">
        <v>-9.1591939999999994</v>
      </c>
      <c r="D139" t="s">
        <v>305</v>
      </c>
      <c r="E139">
        <f t="shared" si="4"/>
        <v>508.29089399999998</v>
      </c>
      <c r="F139">
        <v>1370</v>
      </c>
      <c r="G139">
        <f t="shared" si="5"/>
        <v>7.5970404586075349</v>
      </c>
    </row>
    <row r="140" spans="1:7" x14ac:dyDescent="0.25">
      <c r="A140">
        <v>1000</v>
      </c>
      <c r="B140">
        <v>1993.1186520000001</v>
      </c>
      <c r="C140">
        <v>-9.1519139999999997</v>
      </c>
      <c r="D140" t="s">
        <v>306</v>
      </c>
      <c r="E140">
        <f t="shared" si="4"/>
        <v>509.11865200000011</v>
      </c>
      <c r="F140">
        <v>1380</v>
      </c>
      <c r="G140">
        <f t="shared" si="5"/>
        <v>7.5974558528109908</v>
      </c>
    </row>
    <row r="141" spans="1:7" x14ac:dyDescent="0.25">
      <c r="A141">
        <v>1000</v>
      </c>
      <c r="B141">
        <v>1992.6457519999999</v>
      </c>
      <c r="C141">
        <v>-9.1496320000000004</v>
      </c>
      <c r="D141" t="s">
        <v>307</v>
      </c>
      <c r="E141">
        <f t="shared" si="4"/>
        <v>508.6457519999999</v>
      </c>
      <c r="F141">
        <v>1390</v>
      </c>
      <c r="G141">
        <f t="shared" si="5"/>
        <v>7.5972185583026928</v>
      </c>
    </row>
    <row r="142" spans="1:7" x14ac:dyDescent="0.25">
      <c r="A142">
        <v>1000</v>
      </c>
      <c r="B142">
        <v>1992.738525</v>
      </c>
      <c r="C142">
        <v>-9.1230630000000001</v>
      </c>
      <c r="D142" t="s">
        <v>308</v>
      </c>
      <c r="E142">
        <f t="shared" si="4"/>
        <v>508.73852499999998</v>
      </c>
      <c r="F142">
        <v>1400</v>
      </c>
      <c r="G142">
        <f t="shared" si="5"/>
        <v>7.5972651149173469</v>
      </c>
    </row>
    <row r="143" spans="1:7" x14ac:dyDescent="0.25">
      <c r="A143">
        <v>1000</v>
      </c>
      <c r="B143">
        <v>1992.4250489999999</v>
      </c>
      <c r="C143">
        <v>-9.1323650000000001</v>
      </c>
      <c r="D143" t="s">
        <v>309</v>
      </c>
      <c r="E143">
        <f t="shared" si="4"/>
        <v>508.42504899999994</v>
      </c>
      <c r="F143">
        <v>1410</v>
      </c>
      <c r="G143">
        <f t="shared" si="5"/>
        <v>7.5971077933947413</v>
      </c>
    </row>
    <row r="144" spans="1:7" x14ac:dyDescent="0.25">
      <c r="A144">
        <v>1000</v>
      </c>
      <c r="B144">
        <v>1993.1695560000001</v>
      </c>
      <c r="C144">
        <v>-9.1021619999999999</v>
      </c>
      <c r="D144" t="s">
        <v>310</v>
      </c>
      <c r="E144">
        <f t="shared" si="4"/>
        <v>509.16955600000006</v>
      </c>
      <c r="F144">
        <v>1420</v>
      </c>
      <c r="G144">
        <f t="shared" si="5"/>
        <v>7.597481392359235</v>
      </c>
    </row>
    <row r="145" spans="1:7" x14ac:dyDescent="0.25">
      <c r="A145">
        <v>1000</v>
      </c>
      <c r="B145">
        <v>1993.525269</v>
      </c>
      <c r="C145">
        <v>-9.1313949999999995</v>
      </c>
      <c r="D145" t="s">
        <v>311</v>
      </c>
      <c r="E145">
        <f t="shared" si="4"/>
        <v>509.52526899999998</v>
      </c>
      <c r="F145">
        <v>1430</v>
      </c>
      <c r="G145">
        <f t="shared" si="5"/>
        <v>7.5976598424370856</v>
      </c>
    </row>
    <row r="146" spans="1:7" x14ac:dyDescent="0.25">
      <c r="A146">
        <v>1000</v>
      </c>
      <c r="B146">
        <v>1993.6970209999999</v>
      </c>
      <c r="C146">
        <v>-9.1048950000000008</v>
      </c>
      <c r="D146" t="s">
        <v>312</v>
      </c>
      <c r="E146">
        <f t="shared" si="4"/>
        <v>509.69702099999995</v>
      </c>
      <c r="F146">
        <v>1440</v>
      </c>
      <c r="G146">
        <f t="shared" si="5"/>
        <v>7.5977459936409133</v>
      </c>
    </row>
    <row r="147" spans="1:7" x14ac:dyDescent="0.25">
      <c r="A147">
        <v>1000</v>
      </c>
      <c r="B147">
        <v>1994.3054199999999</v>
      </c>
      <c r="C147">
        <v>-9.1054689999999994</v>
      </c>
      <c r="D147" t="s">
        <v>313</v>
      </c>
      <c r="E147">
        <f t="shared" si="4"/>
        <v>510.30541999999991</v>
      </c>
      <c r="F147">
        <v>1450</v>
      </c>
      <c r="G147">
        <f t="shared" si="5"/>
        <v>7.5980511083010578</v>
      </c>
    </row>
    <row r="148" spans="1:7" x14ac:dyDescent="0.25">
      <c r="A148">
        <v>1000</v>
      </c>
      <c r="B148">
        <v>1994.830811</v>
      </c>
      <c r="C148">
        <v>-9.0967800000000008</v>
      </c>
      <c r="D148" t="s">
        <v>314</v>
      </c>
      <c r="E148">
        <f t="shared" si="4"/>
        <v>510.83081100000004</v>
      </c>
      <c r="F148">
        <v>1460</v>
      </c>
      <c r="G148">
        <f t="shared" si="5"/>
        <v>7.5983145192113968</v>
      </c>
    </row>
    <row r="149" spans="1:7" x14ac:dyDescent="0.25">
      <c r="A149">
        <v>1000</v>
      </c>
      <c r="B149">
        <v>1994.528198</v>
      </c>
      <c r="C149">
        <v>-9.0816990000000004</v>
      </c>
      <c r="D149" t="s">
        <v>315</v>
      </c>
      <c r="E149">
        <f t="shared" si="4"/>
        <v>510.52819799999997</v>
      </c>
      <c r="F149">
        <v>1470</v>
      </c>
      <c r="G149">
        <f t="shared" si="5"/>
        <v>7.5981628091246902</v>
      </c>
    </row>
    <row r="150" spans="1:7" x14ac:dyDescent="0.25">
      <c r="A150">
        <v>1000</v>
      </c>
      <c r="B150">
        <v>1995.3587649999999</v>
      </c>
      <c r="C150">
        <v>-9.0858519999999992</v>
      </c>
      <c r="D150" t="s">
        <v>316</v>
      </c>
      <c r="E150">
        <f t="shared" si="4"/>
        <v>511.35876499999995</v>
      </c>
      <c r="F150">
        <v>1480</v>
      </c>
      <c r="G150">
        <f t="shared" si="5"/>
        <v>7.5985791452363145</v>
      </c>
    </row>
    <row r="151" spans="1:7" x14ac:dyDescent="0.25">
      <c r="A151">
        <v>1000</v>
      </c>
      <c r="B151">
        <v>1995.2811280000001</v>
      </c>
      <c r="C151">
        <v>-9.0721089999999993</v>
      </c>
      <c r="D151" t="s">
        <v>317</v>
      </c>
      <c r="E151">
        <f t="shared" si="4"/>
        <v>511.28112800000008</v>
      </c>
      <c r="F151">
        <v>1490</v>
      </c>
      <c r="G151">
        <f t="shared" si="5"/>
        <v>7.5985402356869232</v>
      </c>
    </row>
    <row r="152" spans="1:7" x14ac:dyDescent="0.25">
      <c r="A152">
        <v>1000</v>
      </c>
      <c r="B152">
        <v>1995.4548339999999</v>
      </c>
      <c r="C152">
        <v>-9.057029</v>
      </c>
      <c r="D152" t="s">
        <v>318</v>
      </c>
      <c r="E152">
        <f t="shared" si="4"/>
        <v>511.45483399999989</v>
      </c>
      <c r="F152">
        <v>1500</v>
      </c>
      <c r="G152">
        <f t="shared" si="5"/>
        <v>7.598627290306303</v>
      </c>
    </row>
    <row r="153" spans="1:7" x14ac:dyDescent="0.25">
      <c r="A153">
        <v>1000</v>
      </c>
      <c r="B153">
        <v>1996.029663</v>
      </c>
      <c r="C153">
        <v>-9.0533269999999995</v>
      </c>
      <c r="D153" t="s">
        <v>319</v>
      </c>
      <c r="E153">
        <f t="shared" si="4"/>
        <v>512.02966300000003</v>
      </c>
      <c r="F153">
        <v>1510</v>
      </c>
      <c r="G153">
        <f t="shared" si="5"/>
        <v>7.598915317983427</v>
      </c>
    </row>
    <row r="154" spans="1:7" x14ac:dyDescent="0.25">
      <c r="A154">
        <v>1000</v>
      </c>
      <c r="B154">
        <v>1995.807251</v>
      </c>
      <c r="C154">
        <v>-9.0360739999999993</v>
      </c>
      <c r="D154" t="s">
        <v>320</v>
      </c>
      <c r="E154">
        <f t="shared" si="4"/>
        <v>511.80725099999995</v>
      </c>
      <c r="F154">
        <v>1520</v>
      </c>
      <c r="G154">
        <f t="shared" si="5"/>
        <v>7.5988038845731847</v>
      </c>
    </row>
    <row r="155" spans="1:7" x14ac:dyDescent="0.25">
      <c r="A155">
        <v>1000</v>
      </c>
      <c r="B155">
        <v>1995.631592</v>
      </c>
      <c r="C155">
        <v>-9.0260470000000002</v>
      </c>
      <c r="D155" t="s">
        <v>321</v>
      </c>
      <c r="E155">
        <f t="shared" si="4"/>
        <v>511.63159199999996</v>
      </c>
      <c r="F155">
        <v>1530</v>
      </c>
      <c r="G155">
        <f t="shared" si="5"/>
        <v>7.598715866689397</v>
      </c>
    </row>
    <row r="156" spans="1:7" x14ac:dyDescent="0.25">
      <c r="A156">
        <v>1000</v>
      </c>
      <c r="B156">
        <v>1996.0375979999999</v>
      </c>
      <c r="C156">
        <v>-9.0466189999999997</v>
      </c>
      <c r="D156" t="s">
        <v>322</v>
      </c>
      <c r="E156">
        <f t="shared" si="4"/>
        <v>512.03759799999989</v>
      </c>
      <c r="F156">
        <v>1540</v>
      </c>
      <c r="G156">
        <f t="shared" si="5"/>
        <v>7.5989192933673477</v>
      </c>
    </row>
    <row r="157" spans="1:7" x14ac:dyDescent="0.25">
      <c r="A157">
        <v>1000</v>
      </c>
      <c r="B157">
        <v>1996.340332</v>
      </c>
      <c r="C157">
        <v>-9.0480400000000003</v>
      </c>
      <c r="D157" t="s">
        <v>323</v>
      </c>
      <c r="E157">
        <f t="shared" si="4"/>
        <v>512.34033199999999</v>
      </c>
      <c r="F157">
        <v>1550</v>
      </c>
      <c r="G157">
        <f t="shared" si="5"/>
        <v>7.5990709493507689</v>
      </c>
    </row>
    <row r="158" spans="1:7" x14ac:dyDescent="0.25">
      <c r="A158">
        <v>1000</v>
      </c>
      <c r="B158">
        <v>1996.6335449999999</v>
      </c>
      <c r="C158">
        <v>-9.003698</v>
      </c>
      <c r="D158" t="s">
        <v>324</v>
      </c>
      <c r="E158">
        <f t="shared" si="4"/>
        <v>512.63354499999991</v>
      </c>
      <c r="F158">
        <v>1560</v>
      </c>
      <c r="G158">
        <f t="shared" si="5"/>
        <v>7.5992178138229933</v>
      </c>
    </row>
    <row r="159" spans="1:7" x14ac:dyDescent="0.25">
      <c r="A159">
        <v>1000</v>
      </c>
      <c r="B159">
        <v>1997.6407469999999</v>
      </c>
      <c r="C159">
        <v>-9.0179050000000007</v>
      </c>
      <c r="D159" t="s">
        <v>325</v>
      </c>
      <c r="E159">
        <f t="shared" si="4"/>
        <v>513.64074699999992</v>
      </c>
      <c r="F159">
        <v>1570</v>
      </c>
      <c r="G159">
        <f t="shared" si="5"/>
        <v>7.5997221367351004</v>
      </c>
    </row>
    <row r="160" spans="1:7" x14ac:dyDescent="0.25">
      <c r="A160">
        <v>1000</v>
      </c>
      <c r="B160">
        <v>1997.819336</v>
      </c>
      <c r="C160">
        <v>-9.0257190000000005</v>
      </c>
      <c r="D160" t="s">
        <v>326</v>
      </c>
      <c r="E160">
        <f t="shared" si="4"/>
        <v>513.81933600000002</v>
      </c>
      <c r="F160">
        <v>1580</v>
      </c>
      <c r="G160">
        <f t="shared" si="5"/>
        <v>7.5998115326977231</v>
      </c>
    </row>
    <row r="161" spans="1:7" x14ac:dyDescent="0.25">
      <c r="A161">
        <v>1000</v>
      </c>
      <c r="B161">
        <v>1997.2163089999999</v>
      </c>
      <c r="C161">
        <v>-9.0069900000000001</v>
      </c>
      <c r="D161" t="s">
        <v>327</v>
      </c>
      <c r="E161">
        <f t="shared" si="4"/>
        <v>513.21630899999991</v>
      </c>
      <c r="F161">
        <v>1590</v>
      </c>
      <c r="G161">
        <f t="shared" si="5"/>
        <v>7.5995096445254182</v>
      </c>
    </row>
    <row r="162" spans="1:7" x14ac:dyDescent="0.25">
      <c r="A162">
        <v>1000</v>
      </c>
      <c r="B162">
        <v>1998.045288</v>
      </c>
      <c r="C162">
        <v>-8.9997229999999995</v>
      </c>
      <c r="D162" t="s">
        <v>328</v>
      </c>
      <c r="E162">
        <f t="shared" si="4"/>
        <v>514.04528800000003</v>
      </c>
      <c r="F162">
        <v>1600</v>
      </c>
      <c r="G162">
        <f t="shared" si="5"/>
        <v>7.5999246256182804</v>
      </c>
    </row>
    <row r="163" spans="1:7" x14ac:dyDescent="0.25">
      <c r="A163">
        <v>1000</v>
      </c>
      <c r="B163">
        <v>1997.5219729999999</v>
      </c>
      <c r="C163">
        <v>-8.9925239999999995</v>
      </c>
      <c r="D163" t="s">
        <v>329</v>
      </c>
      <c r="E163">
        <f t="shared" si="4"/>
        <v>513.52197299999989</v>
      </c>
      <c r="F163">
        <v>1610</v>
      </c>
      <c r="G163">
        <f t="shared" si="5"/>
        <v>7.5996626778302403</v>
      </c>
    </row>
    <row r="164" spans="1:7" x14ac:dyDescent="0.25">
      <c r="A164">
        <v>1000</v>
      </c>
      <c r="B164">
        <v>1998.122437</v>
      </c>
      <c r="C164">
        <v>-8.9861450000000005</v>
      </c>
      <c r="D164" t="s">
        <v>330</v>
      </c>
      <c r="E164">
        <f t="shared" si="4"/>
        <v>514.12243699999999</v>
      </c>
      <c r="F164">
        <v>1620</v>
      </c>
      <c r="G164">
        <f t="shared" si="5"/>
        <v>7.5999632371107495</v>
      </c>
    </row>
    <row r="165" spans="1:7" x14ac:dyDescent="0.25">
      <c r="A165">
        <v>1000</v>
      </c>
      <c r="B165">
        <v>1999.1770019999999</v>
      </c>
      <c r="C165">
        <v>-8.9802160000000004</v>
      </c>
      <c r="D165" t="s">
        <v>331</v>
      </c>
      <c r="E165">
        <f t="shared" si="4"/>
        <v>515.1770019999999</v>
      </c>
      <c r="F165">
        <v>1630</v>
      </c>
      <c r="G165">
        <f t="shared" si="5"/>
        <v>7.6004908758531347</v>
      </c>
    </row>
    <row r="166" spans="1:7" x14ac:dyDescent="0.25">
      <c r="A166">
        <v>1000</v>
      </c>
      <c r="B166">
        <v>1998.3977050000001</v>
      </c>
      <c r="C166">
        <v>-8.9651490000000003</v>
      </c>
      <c r="D166" t="s">
        <v>332</v>
      </c>
      <c r="E166">
        <f t="shared" si="4"/>
        <v>514.39770500000009</v>
      </c>
      <c r="F166">
        <v>1640</v>
      </c>
      <c r="G166">
        <f t="shared" si="5"/>
        <v>7.600100990951919</v>
      </c>
    </row>
    <row r="167" spans="1:7" x14ac:dyDescent="0.25">
      <c r="A167">
        <v>1000</v>
      </c>
      <c r="B167">
        <v>1997.998413</v>
      </c>
      <c r="C167">
        <v>-8.9515709999999995</v>
      </c>
      <c r="D167" t="s">
        <v>333</v>
      </c>
      <c r="E167">
        <f t="shared" si="4"/>
        <v>513.99841300000003</v>
      </c>
      <c r="F167">
        <v>1650</v>
      </c>
      <c r="G167">
        <f t="shared" si="5"/>
        <v>7.5999011649138888</v>
      </c>
    </row>
    <row r="168" spans="1:7" x14ac:dyDescent="0.25">
      <c r="A168">
        <v>1000</v>
      </c>
      <c r="B168">
        <v>2000.0855710000001</v>
      </c>
      <c r="C168">
        <v>-8.9708179999999995</v>
      </c>
      <c r="D168" t="s">
        <v>334</v>
      </c>
      <c r="E168">
        <f t="shared" si="4"/>
        <v>516.08557100000007</v>
      </c>
      <c r="F168">
        <v>1660</v>
      </c>
      <c r="G168">
        <f t="shared" si="5"/>
        <v>7.6009452441268088</v>
      </c>
    </row>
    <row r="169" spans="1:7" x14ac:dyDescent="0.25">
      <c r="A169">
        <v>1000</v>
      </c>
      <c r="B169">
        <v>2000.184937</v>
      </c>
      <c r="C169">
        <v>-8.9671160000000008</v>
      </c>
      <c r="D169" t="s">
        <v>335</v>
      </c>
      <c r="E169">
        <f t="shared" si="4"/>
        <v>516.18493699999999</v>
      </c>
      <c r="F169">
        <v>1670</v>
      </c>
      <c r="G169">
        <f t="shared" si="5"/>
        <v>7.6009949237671339</v>
      </c>
    </row>
    <row r="170" spans="1:7" x14ac:dyDescent="0.25">
      <c r="A170">
        <v>1000</v>
      </c>
      <c r="B170">
        <v>2000.22937</v>
      </c>
      <c r="C170">
        <v>-8.9355340000000005</v>
      </c>
      <c r="D170" t="s">
        <v>336</v>
      </c>
      <c r="E170">
        <f t="shared" si="4"/>
        <v>516.22937000000002</v>
      </c>
      <c r="F170">
        <v>1680</v>
      </c>
      <c r="G170">
        <f t="shared" si="5"/>
        <v>7.6010171379662603</v>
      </c>
    </row>
    <row r="171" spans="1:7" x14ac:dyDescent="0.25">
      <c r="A171">
        <v>1000</v>
      </c>
      <c r="B171">
        <v>2000.084961</v>
      </c>
      <c r="C171">
        <v>-8.9298509999999993</v>
      </c>
      <c r="D171" t="s">
        <v>337</v>
      </c>
      <c r="E171">
        <f t="shared" si="4"/>
        <v>516.08496100000002</v>
      </c>
      <c r="F171">
        <v>1690</v>
      </c>
      <c r="G171">
        <f t="shared" si="5"/>
        <v>7.6009449391398114</v>
      </c>
    </row>
    <row r="172" spans="1:7" x14ac:dyDescent="0.25">
      <c r="A172">
        <v>1000</v>
      </c>
      <c r="B172">
        <v>2001.140625</v>
      </c>
      <c r="C172">
        <v>-8.9376099999999994</v>
      </c>
      <c r="D172" t="s">
        <v>338</v>
      </c>
      <c r="E172">
        <f t="shared" si="4"/>
        <v>517.140625</v>
      </c>
      <c r="F172">
        <v>1700</v>
      </c>
      <c r="G172">
        <f t="shared" si="5"/>
        <v>7.6014726094757146</v>
      </c>
    </row>
    <row r="173" spans="1:7" x14ac:dyDescent="0.25">
      <c r="A173">
        <v>1000</v>
      </c>
      <c r="B173">
        <v>2000.916504</v>
      </c>
      <c r="C173">
        <v>-8.9340580000000003</v>
      </c>
      <c r="D173" t="s">
        <v>339</v>
      </c>
      <c r="E173">
        <f t="shared" si="4"/>
        <v>516.91650400000003</v>
      </c>
      <c r="F173">
        <v>1710</v>
      </c>
      <c r="G173">
        <f t="shared" si="5"/>
        <v>7.6013606065767005</v>
      </c>
    </row>
    <row r="174" spans="1:7" x14ac:dyDescent="0.25">
      <c r="A174">
        <v>1000</v>
      </c>
      <c r="B174">
        <v>2000.3101810000001</v>
      </c>
      <c r="C174">
        <v>-8.9039090000000005</v>
      </c>
      <c r="D174" t="s">
        <v>340</v>
      </c>
      <c r="E174">
        <f t="shared" si="4"/>
        <v>516.31018100000006</v>
      </c>
      <c r="F174">
        <v>1720</v>
      </c>
      <c r="G174">
        <f t="shared" si="5"/>
        <v>7.6010575380167937</v>
      </c>
    </row>
    <row r="175" spans="1:7" x14ac:dyDescent="0.25">
      <c r="A175">
        <v>1000</v>
      </c>
      <c r="B175">
        <v>2001.4160159999999</v>
      </c>
      <c r="C175">
        <v>-8.9029939999999996</v>
      </c>
      <c r="D175" t="s">
        <v>341</v>
      </c>
      <c r="E175">
        <f t="shared" si="4"/>
        <v>517.4160159999999</v>
      </c>
      <c r="F175">
        <v>1730</v>
      </c>
      <c r="G175">
        <f t="shared" si="5"/>
        <v>7.6016102170226576</v>
      </c>
    </row>
    <row r="176" spans="1:7" x14ac:dyDescent="0.25">
      <c r="A176">
        <v>1000</v>
      </c>
      <c r="B176">
        <v>2001.112427</v>
      </c>
      <c r="C176">
        <v>-8.8878990000000009</v>
      </c>
      <c r="D176" t="s">
        <v>342</v>
      </c>
      <c r="E176">
        <f t="shared" si="4"/>
        <v>517.11242700000003</v>
      </c>
      <c r="F176">
        <v>1740</v>
      </c>
      <c r="G176">
        <f t="shared" si="5"/>
        <v>7.6014585184126888</v>
      </c>
    </row>
    <row r="177" spans="1:7" x14ac:dyDescent="0.25">
      <c r="A177">
        <v>1000</v>
      </c>
      <c r="B177">
        <v>2001.9399410000001</v>
      </c>
      <c r="C177">
        <v>-8.8828449999999997</v>
      </c>
      <c r="D177" t="s">
        <v>343</v>
      </c>
      <c r="E177">
        <f t="shared" si="4"/>
        <v>517.93994100000009</v>
      </c>
      <c r="F177">
        <v>1750</v>
      </c>
      <c r="G177">
        <f t="shared" si="5"/>
        <v>7.6018719599246722</v>
      </c>
    </row>
    <row r="178" spans="1:7" x14ac:dyDescent="0.25">
      <c r="A178">
        <v>1000</v>
      </c>
      <c r="B178">
        <v>2002.7246090000001</v>
      </c>
      <c r="C178">
        <v>-8.8935270000000006</v>
      </c>
      <c r="D178" t="s">
        <v>344</v>
      </c>
      <c r="E178">
        <f t="shared" si="4"/>
        <v>518.7246090000001</v>
      </c>
      <c r="F178">
        <v>1760</v>
      </c>
      <c r="G178">
        <f t="shared" si="5"/>
        <v>7.602263836947202</v>
      </c>
    </row>
    <row r="179" spans="1:7" x14ac:dyDescent="0.25">
      <c r="A179">
        <v>1000</v>
      </c>
      <c r="B179">
        <v>2001.638672</v>
      </c>
      <c r="C179">
        <v>-8.8655779999999993</v>
      </c>
      <c r="D179" t="s">
        <v>345</v>
      </c>
      <c r="E179">
        <f t="shared" si="4"/>
        <v>517.63867200000004</v>
      </c>
      <c r="F179">
        <v>1770</v>
      </c>
      <c r="G179">
        <f t="shared" si="5"/>
        <v>7.6017214600695722</v>
      </c>
    </row>
    <row r="180" spans="1:7" x14ac:dyDescent="0.25">
      <c r="A180">
        <v>1000</v>
      </c>
      <c r="B180">
        <v>2001.3664550000001</v>
      </c>
      <c r="C180">
        <v>-8.8548960000000001</v>
      </c>
      <c r="D180" t="s">
        <v>346</v>
      </c>
      <c r="E180">
        <f t="shared" si="4"/>
        <v>517.36645500000009</v>
      </c>
      <c r="F180">
        <v>1780</v>
      </c>
      <c r="G180">
        <f t="shared" si="5"/>
        <v>7.60158545374843</v>
      </c>
    </row>
    <row r="181" spans="1:7" x14ac:dyDescent="0.25">
      <c r="A181">
        <v>1000</v>
      </c>
      <c r="B181">
        <v>2001.669067</v>
      </c>
      <c r="C181">
        <v>-8.8563170000000007</v>
      </c>
      <c r="D181" t="s">
        <v>347</v>
      </c>
      <c r="E181">
        <f t="shared" si="4"/>
        <v>517.66906700000004</v>
      </c>
      <c r="F181">
        <v>1790</v>
      </c>
      <c r="G181">
        <f t="shared" si="5"/>
        <v>7.6017366450126156</v>
      </c>
    </row>
    <row r="182" spans="1:7" x14ac:dyDescent="0.25">
      <c r="A182">
        <v>1000</v>
      </c>
      <c r="B182">
        <v>2003.0767820000001</v>
      </c>
      <c r="C182">
        <v>-8.8726409999999998</v>
      </c>
      <c r="D182" t="s">
        <v>348</v>
      </c>
      <c r="E182">
        <f t="shared" si="4"/>
        <v>519.07678200000009</v>
      </c>
      <c r="F182">
        <v>1800</v>
      </c>
      <c r="G182">
        <f t="shared" si="5"/>
        <v>7.6024396684308586</v>
      </c>
    </row>
    <row r="183" spans="1:7" x14ac:dyDescent="0.25">
      <c r="A183">
        <v>1000</v>
      </c>
      <c r="B183">
        <v>2002.9995120000001</v>
      </c>
      <c r="C183">
        <v>-8.8452929999999999</v>
      </c>
      <c r="D183" t="s">
        <v>349</v>
      </c>
      <c r="E183">
        <f t="shared" si="4"/>
        <v>518.9995120000001</v>
      </c>
      <c r="F183">
        <v>1810</v>
      </c>
      <c r="G183">
        <f t="shared" si="5"/>
        <v>7.6024010920312408</v>
      </c>
    </row>
    <row r="184" spans="1:7" x14ac:dyDescent="0.25">
      <c r="A184">
        <v>1000</v>
      </c>
      <c r="B184">
        <v>2002.772095</v>
      </c>
      <c r="C184">
        <v>-8.8302790000000009</v>
      </c>
      <c r="D184" t="s">
        <v>350</v>
      </c>
      <c r="E184">
        <f t="shared" si="4"/>
        <v>518.77209500000004</v>
      </c>
      <c r="F184">
        <v>1820</v>
      </c>
      <c r="G184">
        <f t="shared" si="5"/>
        <v>7.6022875473649156</v>
      </c>
    </row>
    <row r="185" spans="1:7" x14ac:dyDescent="0.25">
      <c r="A185">
        <v>1000</v>
      </c>
      <c r="B185">
        <v>2004.034302</v>
      </c>
      <c r="C185">
        <v>-8.8546230000000001</v>
      </c>
      <c r="D185" t="s">
        <v>351</v>
      </c>
      <c r="E185">
        <f t="shared" si="4"/>
        <v>520.03430200000003</v>
      </c>
      <c r="F185">
        <v>1830</v>
      </c>
      <c r="G185">
        <f t="shared" si="5"/>
        <v>7.6029175788247327</v>
      </c>
    </row>
    <row r="186" spans="1:7" x14ac:dyDescent="0.25">
      <c r="A186">
        <v>1000</v>
      </c>
      <c r="B186">
        <v>2003.9837649999999</v>
      </c>
      <c r="C186">
        <v>-8.8496369999999995</v>
      </c>
      <c r="D186" t="s">
        <v>352</v>
      </c>
      <c r="E186">
        <f t="shared" si="4"/>
        <v>519.98376499999995</v>
      </c>
      <c r="F186">
        <v>1840</v>
      </c>
      <c r="G186">
        <f t="shared" si="5"/>
        <v>7.6028923608745345</v>
      </c>
    </row>
    <row r="187" spans="1:7" x14ac:dyDescent="0.25">
      <c r="A187">
        <v>1000</v>
      </c>
      <c r="B187">
        <v>2003.4298100000001</v>
      </c>
      <c r="C187">
        <v>-8.8223160000000007</v>
      </c>
      <c r="D187" t="s">
        <v>353</v>
      </c>
      <c r="E187">
        <f t="shared" si="4"/>
        <v>519.42981000000009</v>
      </c>
      <c r="F187">
        <v>1850</v>
      </c>
      <c r="G187">
        <f t="shared" si="5"/>
        <v>7.6026158957714642</v>
      </c>
    </row>
    <row r="188" spans="1:7" x14ac:dyDescent="0.25">
      <c r="A188">
        <v>1000</v>
      </c>
      <c r="B188">
        <v>2004.737183</v>
      </c>
      <c r="C188">
        <v>-8.8286949999999997</v>
      </c>
      <c r="D188" t="s">
        <v>354</v>
      </c>
      <c r="E188">
        <f t="shared" si="4"/>
        <v>520.73718299999996</v>
      </c>
      <c r="F188">
        <v>1860</v>
      </c>
      <c r="G188">
        <f t="shared" si="5"/>
        <v>7.6032682503508262</v>
      </c>
    </row>
    <row r="189" spans="1:7" x14ac:dyDescent="0.25">
      <c r="A189">
        <v>1000</v>
      </c>
      <c r="B189">
        <v>2005.138062</v>
      </c>
      <c r="C189">
        <v>-8.8149660000000001</v>
      </c>
      <c r="D189" t="s">
        <v>355</v>
      </c>
      <c r="E189">
        <f t="shared" si="4"/>
        <v>521.13806199999999</v>
      </c>
      <c r="F189">
        <v>1870</v>
      </c>
      <c r="G189">
        <f t="shared" si="5"/>
        <v>7.6034681962228756</v>
      </c>
    </row>
    <row r="190" spans="1:7" x14ac:dyDescent="0.25">
      <c r="A190">
        <v>1000</v>
      </c>
      <c r="B190">
        <v>2005.2182620000001</v>
      </c>
      <c r="C190">
        <v>-8.8243379999999991</v>
      </c>
      <c r="D190" t="s">
        <v>356</v>
      </c>
      <c r="E190">
        <f t="shared" si="4"/>
        <v>521.2182620000001</v>
      </c>
      <c r="F190">
        <v>1880</v>
      </c>
      <c r="G190">
        <f t="shared" si="5"/>
        <v>7.6035081926688424</v>
      </c>
    </row>
    <row r="191" spans="1:7" x14ac:dyDescent="0.25">
      <c r="A191">
        <v>1000</v>
      </c>
      <c r="B191">
        <v>2005.2635499999999</v>
      </c>
      <c r="C191">
        <v>-8.8063739999999999</v>
      </c>
      <c r="D191" t="s">
        <v>357</v>
      </c>
      <c r="E191">
        <f t="shared" si="4"/>
        <v>521.2635499999999</v>
      </c>
      <c r="F191">
        <v>1890</v>
      </c>
      <c r="G191">
        <f t="shared" si="5"/>
        <v>7.6035307774863901</v>
      </c>
    </row>
    <row r="192" spans="1:7" x14ac:dyDescent="0.25">
      <c r="A192">
        <v>1000</v>
      </c>
      <c r="B192">
        <v>2005.8408199999999</v>
      </c>
      <c r="C192">
        <v>-8.78904</v>
      </c>
      <c r="D192" t="s">
        <v>358</v>
      </c>
      <c r="E192">
        <f t="shared" si="4"/>
        <v>521.84081999999989</v>
      </c>
      <c r="F192">
        <v>1900</v>
      </c>
      <c r="G192">
        <f t="shared" si="5"/>
        <v>7.6038186134291816</v>
      </c>
    </row>
    <row r="193" spans="1:7" x14ac:dyDescent="0.25">
      <c r="A193">
        <v>1000</v>
      </c>
      <c r="B193">
        <v>2005.969116</v>
      </c>
      <c r="C193">
        <v>-8.7919350000000005</v>
      </c>
      <c r="D193" t="s">
        <v>359</v>
      </c>
      <c r="E193">
        <f t="shared" si="4"/>
        <v>521.96911599999999</v>
      </c>
      <c r="F193">
        <v>1910</v>
      </c>
      <c r="G193">
        <f t="shared" si="5"/>
        <v>7.6038825725908019</v>
      </c>
    </row>
    <row r="194" spans="1:7" x14ac:dyDescent="0.25">
      <c r="A194">
        <v>1000</v>
      </c>
      <c r="B194">
        <v>2005.2155760000001</v>
      </c>
      <c r="C194">
        <v>-8.7834389999999996</v>
      </c>
      <c r="D194" t="s">
        <v>360</v>
      </c>
      <c r="E194">
        <f t="shared" si="4"/>
        <v>521.21557600000006</v>
      </c>
      <c r="F194">
        <v>1920</v>
      </c>
      <c r="G194">
        <f t="shared" si="5"/>
        <v>7.6035068531628891</v>
      </c>
    </row>
    <row r="195" spans="1:7" x14ac:dyDescent="0.25">
      <c r="A195">
        <v>1000</v>
      </c>
      <c r="B195">
        <v>2007.1804199999999</v>
      </c>
      <c r="C195">
        <v>-8.7976460000000003</v>
      </c>
      <c r="D195" t="s">
        <v>361</v>
      </c>
      <c r="E195">
        <f t="shared" ref="E195:E196" si="6">B195-N$3</f>
        <v>523.18041999999991</v>
      </c>
      <c r="F195">
        <v>1930</v>
      </c>
      <c r="G195">
        <f t="shared" ref="G195:G196" si="7">LN(B195)</f>
        <v>7.6044862401222098</v>
      </c>
    </row>
    <row r="196" spans="1:7" x14ac:dyDescent="0.25">
      <c r="A196">
        <v>1000</v>
      </c>
      <c r="B196">
        <v>2006.8280030000001</v>
      </c>
      <c r="C196">
        <v>-8.7890800000000002</v>
      </c>
      <c r="D196" t="s">
        <v>362</v>
      </c>
      <c r="E196">
        <f t="shared" si="6"/>
        <v>522.82800300000008</v>
      </c>
      <c r="F196">
        <v>1940</v>
      </c>
      <c r="G196">
        <f t="shared" si="7"/>
        <v>7.6043106465689503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zoomScaleNormal="100" workbookViewId="0">
      <selection activeCell="F1" sqref="F1:F1048576"/>
    </sheetView>
  </sheetViews>
  <sheetFormatPr baseColWidth="10" defaultRowHeight="15" x14ac:dyDescent="0.25"/>
  <cols>
    <col min="4" max="4" width="23" bestFit="1" customWidth="1"/>
    <col min="5" max="5" width="23" customWidth="1"/>
    <col min="12" max="12" width="13.28515625" bestFit="1" customWidth="1"/>
    <col min="13" max="13" width="12.7109375" bestFit="1" customWidth="1"/>
    <col min="14" max="14" width="13.140625" bestFit="1" customWidth="1"/>
    <col min="15" max="15" width="16.7109375" bestFit="1" customWidth="1"/>
  </cols>
  <sheetData>
    <row r="1" spans="1:14" x14ac:dyDescent="0.25">
      <c r="A1" t="s">
        <v>469</v>
      </c>
      <c r="B1" t="s">
        <v>470</v>
      </c>
      <c r="C1" t="s">
        <v>471</v>
      </c>
      <c r="D1" t="s">
        <v>472</v>
      </c>
      <c r="E1" t="s">
        <v>475</v>
      </c>
      <c r="F1" t="s">
        <v>473</v>
      </c>
      <c r="G1" t="s">
        <v>474</v>
      </c>
    </row>
    <row r="2" spans="1:14" x14ac:dyDescent="0.25">
      <c r="A2">
        <v>1000</v>
      </c>
      <c r="B2">
        <v>3069.5646969999998</v>
      </c>
      <c r="C2">
        <v>-22.198101000000001</v>
      </c>
      <c r="D2" t="s">
        <v>433</v>
      </c>
      <c r="E2">
        <f>B2-N$3</f>
        <v>1591.5646969999998</v>
      </c>
      <c r="F2">
        <v>0</v>
      </c>
      <c r="G2">
        <f t="shared" ref="G2:G27" si="0">LN(B2)</f>
        <v>8.0292910380195917</v>
      </c>
      <c r="J2" s="1" t="s">
        <v>0</v>
      </c>
      <c r="K2" s="1"/>
      <c r="N2" t="s">
        <v>468</v>
      </c>
    </row>
    <row r="3" spans="1:14" x14ac:dyDescent="0.25">
      <c r="A3">
        <v>1000</v>
      </c>
      <c r="B3">
        <v>2906.9250489999999</v>
      </c>
      <c r="C3">
        <v>-22.471692999999998</v>
      </c>
      <c r="D3" t="s">
        <v>434</v>
      </c>
      <c r="E3">
        <f t="shared" ref="E3:E27" si="1">B3-N$3</f>
        <v>1428.9250489999999</v>
      </c>
      <c r="F3">
        <v>10</v>
      </c>
      <c r="G3">
        <f t="shared" si="0"/>
        <v>7.974851117288754</v>
      </c>
      <c r="I3" t="s">
        <v>1</v>
      </c>
      <c r="J3">
        <f>1/(0.0007)</f>
        <v>1428.5714285714287</v>
      </c>
      <c r="K3" s="3" t="s">
        <v>3</v>
      </c>
      <c r="N3">
        <v>1478</v>
      </c>
    </row>
    <row r="4" spans="1:14" x14ac:dyDescent="0.25">
      <c r="A4">
        <v>1000</v>
      </c>
      <c r="B4">
        <v>2806.4638669999999</v>
      </c>
      <c r="C4">
        <v>-22.541592000000001</v>
      </c>
      <c r="D4" t="s">
        <v>435</v>
      </c>
      <c r="E4">
        <f t="shared" si="1"/>
        <v>1328.4638669999999</v>
      </c>
      <c r="F4">
        <v>20</v>
      </c>
      <c r="G4">
        <f t="shared" si="0"/>
        <v>7.9396805595443407</v>
      </c>
      <c r="J4">
        <f>J3/60</f>
        <v>23.80952380952381</v>
      </c>
      <c r="K4" s="3" t="s">
        <v>4</v>
      </c>
      <c r="L4" s="3"/>
    </row>
    <row r="5" spans="1:14" x14ac:dyDescent="0.25">
      <c r="A5">
        <v>1000</v>
      </c>
      <c r="B5">
        <v>2732.601318</v>
      </c>
      <c r="C5">
        <v>-22.365442000000002</v>
      </c>
      <c r="D5" t="s">
        <v>436</v>
      </c>
      <c r="E5">
        <f t="shared" si="1"/>
        <v>1254.601318</v>
      </c>
      <c r="F5">
        <v>30</v>
      </c>
      <c r="G5">
        <f t="shared" si="0"/>
        <v>7.913009298228797</v>
      </c>
      <c r="J5">
        <f>J4/60</f>
        <v>0.39682539682539686</v>
      </c>
      <c r="K5" s="3" t="s">
        <v>5</v>
      </c>
      <c r="L5" s="3"/>
    </row>
    <row r="6" spans="1:14" x14ac:dyDescent="0.25">
      <c r="A6">
        <v>1000</v>
      </c>
      <c r="B6">
        <v>2681.8203130000002</v>
      </c>
      <c r="C6">
        <v>-22.244139000000001</v>
      </c>
      <c r="D6" t="s">
        <v>437</v>
      </c>
      <c r="E6">
        <f t="shared" si="1"/>
        <v>1203.8203130000002</v>
      </c>
      <c r="F6">
        <v>40</v>
      </c>
      <c r="G6">
        <f t="shared" si="0"/>
        <v>7.8942510642071912</v>
      </c>
    </row>
    <row r="7" spans="1:14" x14ac:dyDescent="0.25">
      <c r="A7">
        <v>1000</v>
      </c>
      <c r="B7">
        <v>2641.336182</v>
      </c>
      <c r="C7">
        <v>-22.048124000000001</v>
      </c>
      <c r="D7" t="s">
        <v>438</v>
      </c>
      <c r="E7">
        <f t="shared" si="1"/>
        <v>1163.336182</v>
      </c>
      <c r="F7">
        <v>50</v>
      </c>
      <c r="G7">
        <f t="shared" si="0"/>
        <v>7.8790401976454598</v>
      </c>
    </row>
    <row r="8" spans="1:14" x14ac:dyDescent="0.25">
      <c r="A8">
        <v>1000</v>
      </c>
      <c r="B8">
        <v>2611.453125</v>
      </c>
      <c r="C8">
        <v>-21.913091999999999</v>
      </c>
      <c r="D8" t="s">
        <v>439</v>
      </c>
      <c r="E8">
        <f t="shared" si="1"/>
        <v>1133.453125</v>
      </c>
      <c r="F8">
        <v>60</v>
      </c>
      <c r="G8">
        <f t="shared" si="0"/>
        <v>7.8676620982609231</v>
      </c>
    </row>
    <row r="9" spans="1:14" x14ac:dyDescent="0.25">
      <c r="A9">
        <v>1000</v>
      </c>
      <c r="B9">
        <v>2583.5659179999998</v>
      </c>
      <c r="C9">
        <v>-21.697395</v>
      </c>
      <c r="D9" t="s">
        <v>440</v>
      </c>
      <c r="E9">
        <f t="shared" si="1"/>
        <v>1105.5659179999998</v>
      </c>
      <c r="F9">
        <v>70</v>
      </c>
      <c r="G9">
        <f t="shared" si="0"/>
        <v>7.8569258624007698</v>
      </c>
    </row>
    <row r="10" spans="1:14" x14ac:dyDescent="0.25">
      <c r="A10">
        <v>1000</v>
      </c>
      <c r="B10">
        <v>2562.959961</v>
      </c>
      <c r="C10">
        <v>-21.598493999999999</v>
      </c>
      <c r="D10" t="s">
        <v>441</v>
      </c>
      <c r="E10">
        <f t="shared" si="1"/>
        <v>1084.959961</v>
      </c>
      <c r="F10">
        <v>80</v>
      </c>
      <c r="G10">
        <f t="shared" si="0"/>
        <v>7.8489181043146186</v>
      </c>
    </row>
    <row r="11" spans="1:14" x14ac:dyDescent="0.25">
      <c r="A11">
        <v>1000</v>
      </c>
      <c r="B11">
        <v>2543.17749</v>
      </c>
      <c r="C11">
        <v>-21.413162</v>
      </c>
      <c r="D11" t="s">
        <v>442</v>
      </c>
      <c r="E11">
        <f t="shared" si="1"/>
        <v>1065.17749</v>
      </c>
      <c r="F11">
        <v>90</v>
      </c>
      <c r="G11">
        <f t="shared" si="0"/>
        <v>7.8411695585036316</v>
      </c>
    </row>
    <row r="12" spans="1:14" x14ac:dyDescent="0.25">
      <c r="A12">
        <v>1000</v>
      </c>
      <c r="B12">
        <v>2526.8208009999998</v>
      </c>
      <c r="C12">
        <v>-21.316748</v>
      </c>
      <c r="D12" t="s">
        <v>443</v>
      </c>
      <c r="E12">
        <f t="shared" si="1"/>
        <v>1048.8208009999998</v>
      </c>
      <c r="F12">
        <v>100</v>
      </c>
      <c r="G12">
        <f t="shared" si="0"/>
        <v>7.8347171911419986</v>
      </c>
    </row>
    <row r="13" spans="1:14" x14ac:dyDescent="0.25">
      <c r="A13">
        <v>1000</v>
      </c>
      <c r="B13">
        <v>2513.5913089999999</v>
      </c>
      <c r="C13">
        <v>-21.206195999999998</v>
      </c>
      <c r="D13" t="s">
        <v>444</v>
      </c>
      <c r="E13">
        <f t="shared" si="1"/>
        <v>1035.5913089999999</v>
      </c>
      <c r="F13">
        <v>110</v>
      </c>
      <c r="G13">
        <f t="shared" si="0"/>
        <v>7.8294678099046724</v>
      </c>
    </row>
    <row r="14" spans="1:14" x14ac:dyDescent="0.25">
      <c r="A14">
        <v>1000</v>
      </c>
      <c r="B14">
        <v>2499.6408689999998</v>
      </c>
      <c r="C14">
        <v>-21.068114999999999</v>
      </c>
      <c r="D14" t="s">
        <v>445</v>
      </c>
      <c r="E14">
        <f t="shared" si="1"/>
        <v>1021.6408689999998</v>
      </c>
      <c r="F14">
        <v>120</v>
      </c>
      <c r="G14">
        <f t="shared" si="0"/>
        <v>7.823902348137298</v>
      </c>
    </row>
    <row r="15" spans="1:14" x14ac:dyDescent="0.25">
      <c r="A15">
        <v>1000</v>
      </c>
      <c r="B15">
        <v>2487.0517580000001</v>
      </c>
      <c r="C15">
        <v>-20.911021999999999</v>
      </c>
      <c r="D15" t="s">
        <v>446</v>
      </c>
      <c r="E15">
        <f t="shared" si="1"/>
        <v>1009.0517580000001</v>
      </c>
      <c r="F15">
        <v>130</v>
      </c>
      <c r="G15">
        <f t="shared" si="0"/>
        <v>7.8188532550062311</v>
      </c>
    </row>
    <row r="16" spans="1:14" x14ac:dyDescent="0.25">
      <c r="A16">
        <v>1000</v>
      </c>
      <c r="B16">
        <v>2475.8422850000002</v>
      </c>
      <c r="C16">
        <v>-20.783311999999999</v>
      </c>
      <c r="D16" t="s">
        <v>447</v>
      </c>
      <c r="E16">
        <f t="shared" si="1"/>
        <v>997.84228500000017</v>
      </c>
      <c r="F16">
        <v>140</v>
      </c>
      <c r="G16">
        <f t="shared" si="0"/>
        <v>7.8143359342797538</v>
      </c>
    </row>
    <row r="17" spans="1:7" x14ac:dyDescent="0.25">
      <c r="A17">
        <v>1000</v>
      </c>
      <c r="B17">
        <v>2466.2770999999998</v>
      </c>
      <c r="C17">
        <v>-20.722999999999999</v>
      </c>
      <c r="D17" t="s">
        <v>448</v>
      </c>
      <c r="E17">
        <f t="shared" si="1"/>
        <v>988.27709999999979</v>
      </c>
      <c r="F17">
        <v>150</v>
      </c>
      <c r="G17">
        <f t="shared" si="0"/>
        <v>7.8104650456190789</v>
      </c>
    </row>
    <row r="18" spans="1:7" x14ac:dyDescent="0.25">
      <c r="A18">
        <v>1000</v>
      </c>
      <c r="B18">
        <v>2453.9433589999999</v>
      </c>
      <c r="C18">
        <v>-20.529513999999999</v>
      </c>
      <c r="D18" t="s">
        <v>449</v>
      </c>
      <c r="E18">
        <f t="shared" si="1"/>
        <v>975.94335899999987</v>
      </c>
      <c r="F18">
        <v>160</v>
      </c>
      <c r="G18">
        <f t="shared" si="0"/>
        <v>7.8054515439123895</v>
      </c>
    </row>
    <row r="19" spans="1:7" x14ac:dyDescent="0.25">
      <c r="A19">
        <v>1000</v>
      </c>
      <c r="B19">
        <v>2447.6804200000001</v>
      </c>
      <c r="C19">
        <v>-20.489871999999998</v>
      </c>
      <c r="D19" t="s">
        <v>450</v>
      </c>
      <c r="E19">
        <f t="shared" si="1"/>
        <v>969.68042000000014</v>
      </c>
      <c r="F19">
        <v>170</v>
      </c>
      <c r="G19">
        <f t="shared" si="0"/>
        <v>7.8028960877245446</v>
      </c>
    </row>
    <row r="20" spans="1:7" x14ac:dyDescent="0.25">
      <c r="A20">
        <v>1000</v>
      </c>
      <c r="B20">
        <v>2439.2509770000001</v>
      </c>
      <c r="C20">
        <v>-20.417881000000001</v>
      </c>
      <c r="D20" t="s">
        <v>451</v>
      </c>
      <c r="E20">
        <f t="shared" si="1"/>
        <v>961.25097700000015</v>
      </c>
      <c r="F20">
        <v>180</v>
      </c>
      <c r="G20">
        <f t="shared" si="0"/>
        <v>7.79944629452093</v>
      </c>
    </row>
    <row r="21" spans="1:7" x14ac:dyDescent="0.25">
      <c r="A21">
        <v>1000</v>
      </c>
      <c r="B21">
        <v>2429.219482</v>
      </c>
      <c r="C21">
        <v>-20.251059999999999</v>
      </c>
      <c r="D21" t="s">
        <v>452</v>
      </c>
      <c r="E21">
        <f t="shared" si="1"/>
        <v>951.21948199999997</v>
      </c>
      <c r="F21">
        <v>190</v>
      </c>
      <c r="G21">
        <f t="shared" si="0"/>
        <v>7.795325283915516</v>
      </c>
    </row>
    <row r="22" spans="1:7" x14ac:dyDescent="0.25">
      <c r="A22">
        <v>1000</v>
      </c>
      <c r="B22">
        <v>2422.6635740000002</v>
      </c>
      <c r="C22">
        <v>-20.177883000000001</v>
      </c>
      <c r="D22" t="s">
        <v>453</v>
      </c>
      <c r="E22">
        <f t="shared" si="1"/>
        <v>944.66357400000015</v>
      </c>
      <c r="F22">
        <v>200</v>
      </c>
      <c r="G22">
        <f t="shared" si="0"/>
        <v>7.7926228642923769</v>
      </c>
    </row>
    <row r="23" spans="1:7" x14ac:dyDescent="0.25">
      <c r="A23">
        <v>1000</v>
      </c>
      <c r="B23">
        <v>2420.4589839999999</v>
      </c>
      <c r="C23">
        <v>-20.255281</v>
      </c>
      <c r="D23" t="s">
        <v>454</v>
      </c>
      <c r="E23">
        <f t="shared" si="1"/>
        <v>942.45898399999987</v>
      </c>
      <c r="F23">
        <v>210</v>
      </c>
      <c r="G23">
        <f t="shared" si="0"/>
        <v>7.7917124639769328</v>
      </c>
    </row>
    <row r="24" spans="1:7" x14ac:dyDescent="0.25">
      <c r="A24">
        <v>1000</v>
      </c>
      <c r="B24">
        <v>2417.6865229999999</v>
      </c>
      <c r="C24">
        <v>-20.274324</v>
      </c>
      <c r="D24" t="s">
        <v>455</v>
      </c>
      <c r="E24">
        <f t="shared" si="1"/>
        <v>939.68652299999985</v>
      </c>
      <c r="F24">
        <v>220</v>
      </c>
      <c r="G24">
        <f t="shared" si="0"/>
        <v>7.7905663796768803</v>
      </c>
    </row>
    <row r="25" spans="1:7" x14ac:dyDescent="0.25">
      <c r="A25">
        <v>1000</v>
      </c>
      <c r="B25">
        <v>2416.2658689999998</v>
      </c>
      <c r="C25">
        <v>-20.369129000000001</v>
      </c>
      <c r="D25" t="s">
        <v>456</v>
      </c>
      <c r="E25">
        <f t="shared" si="1"/>
        <v>938.26586899999984</v>
      </c>
      <c r="F25">
        <v>230</v>
      </c>
      <c r="G25">
        <f t="shared" si="0"/>
        <v>7.7899785981160798</v>
      </c>
    </row>
    <row r="26" spans="1:7" x14ac:dyDescent="0.25">
      <c r="A26">
        <v>1000</v>
      </c>
      <c r="B26">
        <v>2412.2458499999998</v>
      </c>
      <c r="C26">
        <v>-20.355919</v>
      </c>
      <c r="D26" t="s">
        <v>457</v>
      </c>
      <c r="E26">
        <f t="shared" si="1"/>
        <v>934.24584999999979</v>
      </c>
      <c r="F26">
        <v>240</v>
      </c>
      <c r="G26">
        <f t="shared" si="0"/>
        <v>7.788313480513481</v>
      </c>
    </row>
    <row r="27" spans="1:7" x14ac:dyDescent="0.25">
      <c r="A27">
        <v>1000</v>
      </c>
      <c r="B27">
        <v>2409.265625</v>
      </c>
      <c r="C27">
        <v>-20.369429</v>
      </c>
      <c r="D27" t="s">
        <v>458</v>
      </c>
      <c r="E27">
        <f t="shared" si="1"/>
        <v>931.265625</v>
      </c>
      <c r="F27">
        <v>250</v>
      </c>
      <c r="G27">
        <f t="shared" si="0"/>
        <v>7.7870772601311407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Normal="100" workbookViewId="0">
      <selection activeCell="F1" sqref="F1:F1048576"/>
    </sheetView>
  </sheetViews>
  <sheetFormatPr baseColWidth="10" defaultRowHeight="15" x14ac:dyDescent="0.25"/>
  <cols>
    <col min="4" max="4" width="23" bestFit="1" customWidth="1"/>
    <col min="5" max="5" width="13.28515625" bestFit="1" customWidth="1"/>
    <col min="7" max="7" width="13.7109375" bestFit="1" customWidth="1"/>
    <col min="10" max="10" width="9.5703125" bestFit="1" customWidth="1"/>
    <col min="11" max="11" width="9.140625" customWidth="1"/>
    <col min="12" max="12" width="11.5703125" bestFit="1" customWidth="1"/>
    <col min="13" max="14" width="13.140625" bestFit="1" customWidth="1"/>
  </cols>
  <sheetData>
    <row r="1" spans="1:13" x14ac:dyDescent="0.25">
      <c r="A1" t="s">
        <v>469</v>
      </c>
      <c r="B1" t="s">
        <v>470</v>
      </c>
      <c r="C1" t="s">
        <v>471</v>
      </c>
      <c r="D1" t="s">
        <v>472</v>
      </c>
      <c r="E1" t="s">
        <v>475</v>
      </c>
      <c r="F1" t="s">
        <v>473</v>
      </c>
      <c r="G1" t="s">
        <v>474</v>
      </c>
    </row>
    <row r="2" spans="1:13" x14ac:dyDescent="0.25">
      <c r="A2">
        <v>1000</v>
      </c>
      <c r="B2">
        <v>3234.8811040000001</v>
      </c>
      <c r="C2">
        <v>-17.448256000000001</v>
      </c>
      <c r="D2" t="s">
        <v>459</v>
      </c>
      <c r="E2">
        <f>B2-M$3</f>
        <v>1750.8811040000001</v>
      </c>
      <c r="F2">
        <v>0</v>
      </c>
      <c r="G2">
        <f>LN(B2)</f>
        <v>8.0817474532456828</v>
      </c>
      <c r="J2" s="1" t="s">
        <v>0</v>
      </c>
      <c r="K2" s="1"/>
      <c r="M2" t="s">
        <v>468</v>
      </c>
    </row>
    <row r="3" spans="1:13" x14ac:dyDescent="0.25">
      <c r="A3">
        <v>1000</v>
      </c>
      <c r="B3">
        <v>2802.2590329999998</v>
      </c>
      <c r="C3">
        <v>-17.199556000000001</v>
      </c>
      <c r="D3" t="s">
        <v>460</v>
      </c>
      <c r="E3">
        <f t="shared" ref="E3:E28" si="0">B3-M$3</f>
        <v>1318.2590329999998</v>
      </c>
      <c r="F3">
        <v>10</v>
      </c>
      <c r="G3">
        <f t="shared" ref="G3:G28" si="1">LN(B3)</f>
        <v>7.9381811683771408</v>
      </c>
      <c r="I3" t="s">
        <v>1</v>
      </c>
      <c r="J3">
        <f>1/(0.0007)</f>
        <v>1428.5714285714287</v>
      </c>
      <c r="K3" s="3" t="s">
        <v>3</v>
      </c>
      <c r="M3">
        <v>1484</v>
      </c>
    </row>
    <row r="4" spans="1:13" x14ac:dyDescent="0.25">
      <c r="A4">
        <v>1000</v>
      </c>
      <c r="B4">
        <v>2720.2624510000001</v>
      </c>
      <c r="C4">
        <v>-17.250153999999998</v>
      </c>
      <c r="D4" t="s">
        <v>434</v>
      </c>
      <c r="E4">
        <f t="shared" si="0"/>
        <v>1236.2624510000001</v>
      </c>
      <c r="F4">
        <v>20</v>
      </c>
      <c r="G4">
        <f t="shared" si="1"/>
        <v>7.9084836439734811</v>
      </c>
      <c r="J4">
        <f>J3/60</f>
        <v>23.80952380952381</v>
      </c>
      <c r="K4" s="3" t="s">
        <v>4</v>
      </c>
    </row>
    <row r="5" spans="1:13" x14ac:dyDescent="0.25">
      <c r="A5">
        <v>1000</v>
      </c>
      <c r="B5">
        <v>2662.5241700000001</v>
      </c>
      <c r="C5">
        <v>-17.273855000000001</v>
      </c>
      <c r="D5" t="s">
        <v>435</v>
      </c>
      <c r="E5">
        <f t="shared" si="0"/>
        <v>1178.5241700000001</v>
      </c>
      <c r="F5">
        <v>30</v>
      </c>
      <c r="G5">
        <f t="shared" si="1"/>
        <v>7.8870298879107485</v>
      </c>
      <c r="J5">
        <f>J4/60</f>
        <v>0.39682539682539686</v>
      </c>
      <c r="K5" s="3" t="s">
        <v>5</v>
      </c>
    </row>
    <row r="6" spans="1:13" x14ac:dyDescent="0.25">
      <c r="A6">
        <v>1000</v>
      </c>
      <c r="B6">
        <v>2618.9663089999999</v>
      </c>
      <c r="C6">
        <v>-17.189734000000001</v>
      </c>
      <c r="D6" t="s">
        <v>436</v>
      </c>
      <c r="E6">
        <f t="shared" si="0"/>
        <v>1134.9663089999999</v>
      </c>
      <c r="F6">
        <v>40</v>
      </c>
      <c r="G6">
        <f t="shared" si="1"/>
        <v>7.8705349803547131</v>
      </c>
    </row>
    <row r="7" spans="1:13" x14ac:dyDescent="0.25">
      <c r="A7">
        <v>1000</v>
      </c>
      <c r="B7">
        <v>2581.076172</v>
      </c>
      <c r="C7">
        <v>-17.042721</v>
      </c>
      <c r="D7" t="s">
        <v>437</v>
      </c>
      <c r="E7">
        <f t="shared" si="0"/>
        <v>1097.076172</v>
      </c>
      <c r="F7">
        <v>50</v>
      </c>
      <c r="G7">
        <f t="shared" si="1"/>
        <v>7.8559617118751444</v>
      </c>
    </row>
    <row r="8" spans="1:13" x14ac:dyDescent="0.25">
      <c r="A8">
        <v>1000</v>
      </c>
      <c r="B8">
        <v>2556.8078609999998</v>
      </c>
      <c r="C8">
        <v>-16.995785000000001</v>
      </c>
      <c r="D8" t="s">
        <v>461</v>
      </c>
      <c r="E8">
        <f t="shared" si="0"/>
        <v>1072.8078609999998</v>
      </c>
      <c r="F8">
        <v>60</v>
      </c>
      <c r="G8">
        <f t="shared" si="1"/>
        <v>7.846514830113537</v>
      </c>
    </row>
    <row r="9" spans="1:13" x14ac:dyDescent="0.25">
      <c r="A9">
        <v>1000</v>
      </c>
      <c r="B9">
        <v>2528.8310550000001</v>
      </c>
      <c r="C9">
        <v>-16.816981999999999</v>
      </c>
      <c r="D9" t="s">
        <v>462</v>
      </c>
      <c r="E9">
        <f t="shared" si="0"/>
        <v>1044.8310550000001</v>
      </c>
      <c r="F9">
        <v>70</v>
      </c>
      <c r="G9">
        <f t="shared" si="1"/>
        <v>7.8355124413543171</v>
      </c>
    </row>
    <row r="10" spans="1:13" x14ac:dyDescent="0.25">
      <c r="A10">
        <v>1000</v>
      </c>
      <c r="B10">
        <v>2509.8896479999999</v>
      </c>
      <c r="C10">
        <v>-16.731210999999998</v>
      </c>
      <c r="D10" t="s">
        <v>463</v>
      </c>
      <c r="E10">
        <f t="shared" si="0"/>
        <v>1025.8896479999999</v>
      </c>
      <c r="F10">
        <v>80</v>
      </c>
      <c r="G10">
        <f t="shared" si="1"/>
        <v>7.8279940662191043</v>
      </c>
    </row>
    <row r="11" spans="1:13" x14ac:dyDescent="0.25">
      <c r="A11">
        <v>1000</v>
      </c>
      <c r="B11">
        <v>2488.2177729999999</v>
      </c>
      <c r="C11">
        <v>-16.563488</v>
      </c>
      <c r="D11" t="s">
        <v>441</v>
      </c>
      <c r="E11">
        <f t="shared" si="0"/>
        <v>1004.2177729999999</v>
      </c>
      <c r="F11">
        <v>90</v>
      </c>
      <c r="G11">
        <f t="shared" si="1"/>
        <v>7.8193219793694366</v>
      </c>
    </row>
    <row r="12" spans="1:13" x14ac:dyDescent="0.25">
      <c r="A12">
        <v>1000</v>
      </c>
      <c r="B12">
        <v>2471.7829590000001</v>
      </c>
      <c r="C12">
        <v>-16.371506</v>
      </c>
      <c r="D12" t="s">
        <v>442</v>
      </c>
      <c r="E12">
        <f t="shared" si="0"/>
        <v>987.78295900000012</v>
      </c>
      <c r="F12">
        <v>100</v>
      </c>
      <c r="G12">
        <f t="shared" si="1"/>
        <v>7.8126950149656755</v>
      </c>
    </row>
    <row r="13" spans="1:13" x14ac:dyDescent="0.25">
      <c r="A13">
        <v>1000</v>
      </c>
      <c r="B13">
        <v>2456.9045409999999</v>
      </c>
      <c r="C13">
        <v>-16.317423000000002</v>
      </c>
      <c r="D13" t="s">
        <v>443</v>
      </c>
      <c r="E13">
        <f t="shared" si="0"/>
        <v>972.90454099999988</v>
      </c>
      <c r="F13">
        <v>110</v>
      </c>
      <c r="G13">
        <f t="shared" si="1"/>
        <v>7.8066575199145749</v>
      </c>
    </row>
    <row r="14" spans="1:13" x14ac:dyDescent="0.25">
      <c r="A14">
        <v>1000</v>
      </c>
      <c r="B14">
        <v>2445.9833979999999</v>
      </c>
      <c r="C14">
        <v>-16.228618999999998</v>
      </c>
      <c r="D14" t="s">
        <v>464</v>
      </c>
      <c r="E14">
        <f t="shared" si="0"/>
        <v>961.98339799999985</v>
      </c>
      <c r="F14">
        <v>120</v>
      </c>
      <c r="G14">
        <f t="shared" si="1"/>
        <v>7.8022025288160703</v>
      </c>
    </row>
    <row r="15" spans="1:13" x14ac:dyDescent="0.25">
      <c r="A15">
        <v>1000</v>
      </c>
      <c r="B15">
        <v>2433.6984859999998</v>
      </c>
      <c r="C15">
        <v>-16.017441000000002</v>
      </c>
      <c r="D15" t="s">
        <v>445</v>
      </c>
      <c r="E15">
        <f t="shared" si="0"/>
        <v>949.69848599999978</v>
      </c>
      <c r="F15">
        <v>130</v>
      </c>
      <c r="G15">
        <f t="shared" si="1"/>
        <v>7.797167389949812</v>
      </c>
    </row>
    <row r="16" spans="1:13" x14ac:dyDescent="0.25">
      <c r="A16">
        <v>1000</v>
      </c>
      <c r="B16">
        <v>2424.392578</v>
      </c>
      <c r="C16">
        <v>-15.973345999999999</v>
      </c>
      <c r="D16" t="s">
        <v>446</v>
      </c>
      <c r="E16">
        <f t="shared" si="0"/>
        <v>940.39257799999996</v>
      </c>
      <c r="F16">
        <v>140</v>
      </c>
      <c r="G16">
        <f t="shared" si="1"/>
        <v>7.793336288696433</v>
      </c>
    </row>
    <row r="17" spans="1:7" x14ac:dyDescent="0.25">
      <c r="A17">
        <v>1000</v>
      </c>
      <c r="B17">
        <v>2411.3459469999998</v>
      </c>
      <c r="C17">
        <v>-15.820226999999999</v>
      </c>
      <c r="D17" t="s">
        <v>447</v>
      </c>
      <c r="E17">
        <f t="shared" si="0"/>
        <v>927.3459469999998</v>
      </c>
      <c r="F17">
        <v>150</v>
      </c>
      <c r="G17">
        <f t="shared" si="1"/>
        <v>7.787940354822787</v>
      </c>
    </row>
    <row r="18" spans="1:7" x14ac:dyDescent="0.25">
      <c r="A18">
        <v>1000</v>
      </c>
      <c r="B18">
        <v>2406.329346</v>
      </c>
      <c r="C18">
        <v>-15.806307</v>
      </c>
      <c r="D18" t="s">
        <v>448</v>
      </c>
      <c r="E18">
        <f t="shared" si="0"/>
        <v>922.32934599999999</v>
      </c>
      <c r="F18">
        <v>160</v>
      </c>
      <c r="G18">
        <f t="shared" si="1"/>
        <v>7.785857772453471</v>
      </c>
    </row>
    <row r="19" spans="1:7" x14ac:dyDescent="0.25">
      <c r="A19">
        <v>1000</v>
      </c>
      <c r="B19">
        <v>2396.1403810000002</v>
      </c>
      <c r="C19">
        <v>-15.658993000000001</v>
      </c>
      <c r="D19" t="s">
        <v>449</v>
      </c>
      <c r="E19">
        <f t="shared" si="0"/>
        <v>912.14038100000016</v>
      </c>
      <c r="F19">
        <v>170</v>
      </c>
      <c r="G19">
        <f t="shared" si="1"/>
        <v>7.7816145472519169</v>
      </c>
    </row>
    <row r="20" spans="1:7" x14ac:dyDescent="0.25">
      <c r="A20">
        <v>1000</v>
      </c>
      <c r="B20">
        <v>2387.6301269999999</v>
      </c>
      <c r="C20">
        <v>-15.524096</v>
      </c>
      <c r="D20" t="s">
        <v>450</v>
      </c>
      <c r="E20">
        <f t="shared" si="0"/>
        <v>903.6301269999999</v>
      </c>
      <c r="F20">
        <v>180</v>
      </c>
      <c r="G20">
        <f t="shared" si="1"/>
        <v>7.7780565743251229</v>
      </c>
    </row>
    <row r="21" spans="1:7" x14ac:dyDescent="0.25">
      <c r="A21">
        <v>1000</v>
      </c>
      <c r="B21">
        <v>2380.2714839999999</v>
      </c>
      <c r="C21">
        <v>-15.485137</v>
      </c>
      <c r="D21" t="s">
        <v>451</v>
      </c>
      <c r="E21">
        <f t="shared" si="0"/>
        <v>896.27148399999987</v>
      </c>
      <c r="F21">
        <v>190</v>
      </c>
      <c r="G21">
        <f t="shared" si="1"/>
        <v>7.7749698290677198</v>
      </c>
    </row>
    <row r="22" spans="1:7" x14ac:dyDescent="0.25">
      <c r="A22">
        <v>1000</v>
      </c>
      <c r="B22">
        <v>2373.3222660000001</v>
      </c>
      <c r="C22">
        <v>-15.388434999999999</v>
      </c>
      <c r="D22" t="s">
        <v>452</v>
      </c>
      <c r="E22">
        <f t="shared" si="0"/>
        <v>889.32226600000013</v>
      </c>
      <c r="F22">
        <v>200</v>
      </c>
      <c r="G22">
        <f t="shared" si="1"/>
        <v>7.7720460525247921</v>
      </c>
    </row>
    <row r="23" spans="1:7" x14ac:dyDescent="0.25">
      <c r="A23">
        <v>1000</v>
      </c>
      <c r="B23">
        <v>2366.8039549999999</v>
      </c>
      <c r="C23">
        <v>-15.314178</v>
      </c>
      <c r="D23" t="s">
        <v>465</v>
      </c>
      <c r="E23">
        <f t="shared" si="0"/>
        <v>882.80395499999986</v>
      </c>
      <c r="F23">
        <v>210</v>
      </c>
      <c r="G23">
        <f t="shared" si="1"/>
        <v>7.7692957818337609</v>
      </c>
    </row>
    <row r="24" spans="1:7" x14ac:dyDescent="0.25">
      <c r="A24">
        <v>1000</v>
      </c>
      <c r="B24">
        <v>2361.0668949999999</v>
      </c>
      <c r="C24">
        <v>-15.241777000000001</v>
      </c>
      <c r="D24" t="s">
        <v>454</v>
      </c>
      <c r="E24">
        <f t="shared" si="0"/>
        <v>877.06689499999993</v>
      </c>
      <c r="F24">
        <v>220</v>
      </c>
      <c r="G24">
        <f t="shared" si="1"/>
        <v>7.7668688700174648</v>
      </c>
    </row>
    <row r="25" spans="1:7" x14ac:dyDescent="0.25">
      <c r="A25">
        <v>1000</v>
      </c>
      <c r="B25">
        <v>2357.1215820000002</v>
      </c>
      <c r="C25">
        <v>-15.17812</v>
      </c>
      <c r="D25" t="s">
        <v>455</v>
      </c>
      <c r="E25">
        <f t="shared" si="0"/>
        <v>873.12158200000022</v>
      </c>
      <c r="F25">
        <v>230</v>
      </c>
      <c r="G25">
        <f t="shared" si="1"/>
        <v>7.7651964849744441</v>
      </c>
    </row>
    <row r="26" spans="1:7" x14ac:dyDescent="0.25">
      <c r="A26">
        <v>1000</v>
      </c>
      <c r="B26">
        <v>2351.02124</v>
      </c>
      <c r="C26">
        <v>-15.065640999999999</v>
      </c>
      <c r="D26" t="s">
        <v>456</v>
      </c>
      <c r="E26">
        <f t="shared" si="0"/>
        <v>867.02124000000003</v>
      </c>
      <c r="F26">
        <v>240</v>
      </c>
      <c r="G26">
        <f t="shared" si="1"/>
        <v>7.7626050829526836</v>
      </c>
    </row>
    <row r="27" spans="1:7" x14ac:dyDescent="0.25">
      <c r="A27">
        <v>1000</v>
      </c>
      <c r="B27">
        <v>2347.3154300000001</v>
      </c>
      <c r="C27">
        <v>-15.033334999999999</v>
      </c>
      <c r="D27" t="s">
        <v>457</v>
      </c>
      <c r="E27">
        <f t="shared" si="0"/>
        <v>863.31543000000011</v>
      </c>
      <c r="F27">
        <v>250</v>
      </c>
      <c r="G27">
        <f t="shared" si="1"/>
        <v>7.7610275839232266</v>
      </c>
    </row>
    <row r="28" spans="1:7" x14ac:dyDescent="0.25">
      <c r="A28">
        <v>1000</v>
      </c>
      <c r="B28">
        <v>2341.2370609999998</v>
      </c>
      <c r="C28">
        <v>-14.930567</v>
      </c>
      <c r="D28" t="s">
        <v>466</v>
      </c>
      <c r="E28">
        <f t="shared" si="0"/>
        <v>857.23706099999981</v>
      </c>
      <c r="F28">
        <v>260</v>
      </c>
      <c r="G28">
        <f t="shared" si="1"/>
        <v>7.7584347272080558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Cu_1stPhase</vt:lpstr>
      <vt:lpstr>PANI_1stPhase</vt:lpstr>
      <vt:lpstr>Cu_2ndPhase</vt:lpstr>
      <vt:lpstr>PANI_2ndPhase</vt:lpstr>
      <vt:lpstr>Cu_3rdPhase</vt:lpstr>
      <vt:lpstr>PANI_3rdPhase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2021-11-29T12:26:06Z</dcterms:modified>
</cp:coreProperties>
</file>