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python_Code\Measurement\6_batch\"/>
    </mc:Choice>
  </mc:AlternateContent>
  <bookViews>
    <workbookView xWindow="0" yWindow="0" windowWidth="25200" windowHeight="11250" activeTab="4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I2" i="1"/>
  <c r="J2" i="6"/>
  <c r="I2" i="6"/>
  <c r="I2" i="5" l="1"/>
  <c r="I2" i="4"/>
  <c r="J2" i="2"/>
  <c r="J2" i="7"/>
  <c r="I2" i="2"/>
  <c r="I2" i="7"/>
  <c r="F125" i="7"/>
  <c r="F126" i="7"/>
  <c r="F127" i="7"/>
  <c r="F128" i="7"/>
  <c r="F129" i="7"/>
  <c r="F130" i="7"/>
  <c r="F131" i="7"/>
  <c r="F132" i="7"/>
  <c r="F133" i="7"/>
  <c r="F134" i="7"/>
  <c r="I3" i="5" l="1"/>
  <c r="I4" i="5" s="1"/>
  <c r="I3" i="4"/>
  <c r="I4" i="4" s="1"/>
  <c r="J3" i="2"/>
  <c r="J4" i="2" s="1"/>
  <c r="I3" i="2"/>
  <c r="I4" i="2" s="1"/>
  <c r="J3" i="1"/>
  <c r="J4" i="1" s="1"/>
  <c r="I3" i="1"/>
  <c r="I4" i="1" s="1"/>
  <c r="J3" i="7"/>
  <c r="J4" i="7" s="1"/>
  <c r="I3" i="7"/>
  <c r="I4" i="7" s="1"/>
  <c r="J3" i="6"/>
  <c r="J4" i="6" s="1"/>
  <c r="I3" i="6"/>
  <c r="I4" i="6" s="1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" i="7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" i="6"/>
  <c r="F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" i="4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" i="2"/>
  <c r="F185" i="1" l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<sst xmlns="http://schemas.openxmlformats.org/spreadsheetml/2006/main" count="332" uniqueCount="305">
  <si>
    <t>All values</t>
  </si>
  <si>
    <t>Tau:</t>
  </si>
  <si>
    <t>s</t>
  </si>
  <si>
    <t>min</t>
  </si>
  <si>
    <t>h</t>
  </si>
  <si>
    <t>0-1000 s</t>
  </si>
  <si>
    <t>Tue Nov 23 11:10:41 2021</t>
  </si>
  <si>
    <t>Tue Nov 23 11:10:51 2021</t>
  </si>
  <si>
    <t>Tue Nov 23 11:11:01 2021</t>
  </si>
  <si>
    <t>Tue Nov 23 11:11:11 2021</t>
  </si>
  <si>
    <t>Tue Nov 23 11:11:21 2021</t>
  </si>
  <si>
    <t>Tue Nov 23 11:11:31 2021</t>
  </si>
  <si>
    <t>Tue Nov 23 11:11:41 2021</t>
  </si>
  <si>
    <t>Tue Nov 23 11:11:51 2021</t>
  </si>
  <si>
    <t>Tue Nov 23 11:12:01 2021</t>
  </si>
  <si>
    <t>Tue Nov 23 11:12:11 2021</t>
  </si>
  <si>
    <t>Tue Nov 23 11:12:21 2021</t>
  </si>
  <si>
    <t>Tue Nov 23 11:12:32 2021</t>
  </si>
  <si>
    <t>Tue Nov 23 11:12:42 2021</t>
  </si>
  <si>
    <t>Tue Nov 23 11:12:51 2021</t>
  </si>
  <si>
    <t>Tue Nov 23 11:13:01 2021</t>
  </si>
  <si>
    <t>Tue Nov 23 11:13:12 2021</t>
  </si>
  <si>
    <t>Tue Nov 23 11:13:22 2021</t>
  </si>
  <si>
    <t>Tue Nov 23 11:13:32 2021</t>
  </si>
  <si>
    <t>Tue Nov 23 11:13:41 2021</t>
  </si>
  <si>
    <t>Tue Nov 23 11:13:52 2021</t>
  </si>
  <si>
    <t>Tue Nov 23 11:14:02 2021</t>
  </si>
  <si>
    <t>Tue Nov 23 11:14:12 2021</t>
  </si>
  <si>
    <t>Tue Nov 23 11:14:22 2021</t>
  </si>
  <si>
    <t>Tue Nov 23 11:14:32 2021</t>
  </si>
  <si>
    <t>Tue Nov 23 11:14:42 2021</t>
  </si>
  <si>
    <t>Tue Nov 23 11:14:52 2021</t>
  </si>
  <si>
    <t>Tue Nov 23 11:15:01 2021</t>
  </si>
  <si>
    <t>Tue Nov 23 11:15:12 2021</t>
  </si>
  <si>
    <t>Tue Nov 23 11:15:22 2021</t>
  </si>
  <si>
    <t>Tue Nov 23 11:15:31 2021</t>
  </si>
  <si>
    <t>Tue Nov 23 11:15:42 2021</t>
  </si>
  <si>
    <t>Tue Nov 23 11:15:51 2021</t>
  </si>
  <si>
    <t>Tue Nov 23 11:16:02 2021</t>
  </si>
  <si>
    <t>Tue Nov 23 11:16:12 2021</t>
  </si>
  <si>
    <t>Tue Nov 23 11:16:22 2021</t>
  </si>
  <si>
    <t>Tue Nov 23 11:16:31 2021</t>
  </si>
  <si>
    <t>Tue Nov 23 11:16:42 2021</t>
  </si>
  <si>
    <t>Tue Nov 23 11:16:52 2021</t>
  </si>
  <si>
    <t>Tue Nov 23 11:17:02 2021</t>
  </si>
  <si>
    <t>Tue Nov 23 11:17:12 2021</t>
  </si>
  <si>
    <t>Tue Nov 23 11:17:22 2021</t>
  </si>
  <si>
    <t>Tue Nov 23 11:17:32 2021</t>
  </si>
  <si>
    <t>Tue Nov 23 11:17:42 2021</t>
  </si>
  <si>
    <t>Tue Nov 23 11:17:52 2021</t>
  </si>
  <si>
    <t>Tue Nov 23 11:18:02 2021</t>
  </si>
  <si>
    <t>Tue Nov 23 11:18:12 2021</t>
  </si>
  <si>
    <t>Tue Nov 23 11:18:22 2021</t>
  </si>
  <si>
    <t>Tue Nov 23 11:18:32 2021</t>
  </si>
  <si>
    <t>Tue Nov 23 11:18:42 2021</t>
  </si>
  <si>
    <t>Tue Nov 23 11:18:52 2021</t>
  </si>
  <si>
    <t>Tue Nov 23 11:19:02 2021</t>
  </si>
  <si>
    <t>Tue Nov 23 11:19:12 2021</t>
  </si>
  <si>
    <t>Tue Nov 23 11:19:22 2021</t>
  </si>
  <si>
    <t>Tue Nov 23 11:19:32 2021</t>
  </si>
  <si>
    <t>Tue Nov 23 11:19:42 2021</t>
  </si>
  <si>
    <t>Tue Nov 23 11:19:52 2021</t>
  </si>
  <si>
    <t>Tue Nov 23 11:20:02 2021</t>
  </si>
  <si>
    <t>Tue Nov 23 11:20:12 2021</t>
  </si>
  <si>
    <t>Tue Nov 23 11:20:22 2021</t>
  </si>
  <si>
    <t>Tue Nov 23 11:20:33 2021</t>
  </si>
  <si>
    <t>Tue Nov 23 11:20:42 2021</t>
  </si>
  <si>
    <t>Tue Nov 23 11:20:53 2021</t>
  </si>
  <si>
    <t>Tue Nov 23 11:21:03 2021</t>
  </si>
  <si>
    <t>Tue Nov 23 11:21:12 2021</t>
  </si>
  <si>
    <t>Tue Nov 23 11:21:23 2021</t>
  </si>
  <si>
    <t>Tue Nov 23 11:21:33 2021</t>
  </si>
  <si>
    <t>Tue Nov 23 11:21:43 2021</t>
  </si>
  <si>
    <t>Tue Nov 23 11:21:53 2021</t>
  </si>
  <si>
    <t>Tue Nov 23 11:22:03 2021</t>
  </si>
  <si>
    <t>Tue Nov 23 11:22:13 2021</t>
  </si>
  <si>
    <t>Tue Nov 23 11:22:22 2021</t>
  </si>
  <si>
    <t>Tue Nov 23 11:22:33 2021</t>
  </si>
  <si>
    <t>Tue Nov 23 11:22:43 2021</t>
  </si>
  <si>
    <t>Tue Nov 23 11:22:53 2021</t>
  </si>
  <si>
    <t>Tue Nov 23 11:23:03 2021</t>
  </si>
  <si>
    <t>Tue Nov 23 11:23:13 2021</t>
  </si>
  <si>
    <t>Tue Nov 23 11:23:23 2021</t>
  </si>
  <si>
    <t>Tue Nov 23 11:23:33 2021</t>
  </si>
  <si>
    <t>Tue Nov 23 11:23:43 2021</t>
  </si>
  <si>
    <t>Tue Nov 23 11:23:53 2021</t>
  </si>
  <si>
    <t>Tue Nov 23 11:24:03 2021</t>
  </si>
  <si>
    <t>Tue Nov 23 11:24:13 2021</t>
  </si>
  <si>
    <t>Tue Nov 23 11:24:23 2021</t>
  </si>
  <si>
    <t>Tue Nov 23 11:24:33 2021</t>
  </si>
  <si>
    <t>Tue Nov 23 11:24:43 2021</t>
  </si>
  <si>
    <t>Tue Nov 23 11:24:53 2021</t>
  </si>
  <si>
    <t>Tue Nov 23 11:25:04 2021</t>
  </si>
  <si>
    <t>Tue Nov 23 11:25:13 2021</t>
  </si>
  <si>
    <t>Tue Nov 23 11:25:24 2021</t>
  </si>
  <si>
    <t>Tue Nov 23 11:25:34 2021</t>
  </si>
  <si>
    <t>Tue Nov 23 11:25:43 2021</t>
  </si>
  <si>
    <t>Tue Nov 23 11:25:53 2021</t>
  </si>
  <si>
    <t>Tue Nov 23 11:26:03 2021</t>
  </si>
  <si>
    <t>Tue Nov 23 11:26:13 2021</t>
  </si>
  <si>
    <t>Tue Nov 23 11:26:23 2021</t>
  </si>
  <si>
    <t>Tue Nov 23 11:26:34 2021</t>
  </si>
  <si>
    <t>Tue Nov 23 11:26:44 2021</t>
  </si>
  <si>
    <t>Tue Nov 23 11:26:54 2021</t>
  </si>
  <si>
    <t>Tue Nov 23 11:27:03 2021</t>
  </si>
  <si>
    <t>Tue Nov 23 11:27:14 2021</t>
  </si>
  <si>
    <t>Tue Nov 23 11:27:23 2021</t>
  </si>
  <si>
    <t>Tue Nov 23 11:27:33 2021</t>
  </si>
  <si>
    <t>Tue Nov 23 11:27:44 2021</t>
  </si>
  <si>
    <t>Tue Nov 23 11:27:54 2021</t>
  </si>
  <si>
    <t>Tue Nov 23 11:28:03 2021</t>
  </si>
  <si>
    <t>Tue Nov 23 11:28:14 2021</t>
  </si>
  <si>
    <t>Tue Nov 23 11:28:24 2021</t>
  </si>
  <si>
    <t>Tue Nov 23 11:28:33 2021</t>
  </si>
  <si>
    <t>Tue Nov 23 11:28:44 2021</t>
  </si>
  <si>
    <t>Tue Nov 23 11:28:53 2021</t>
  </si>
  <si>
    <t>Tue Nov 23 11:29:04 2021</t>
  </si>
  <si>
    <t>Tue Nov 23 11:29:14 2021</t>
  </si>
  <si>
    <t>Tue Nov 23 11:29:23 2021</t>
  </si>
  <si>
    <t>Tue Nov 23 11:29:34 2021</t>
  </si>
  <si>
    <t>Tue Nov 23 11:30:14 2021</t>
  </si>
  <si>
    <t>Tue Nov 23 11:30:24 2021</t>
  </si>
  <si>
    <t>Tue Nov 23 11:30:34 2021</t>
  </si>
  <si>
    <t>Tue Nov 23 11:30:44 2021</t>
  </si>
  <si>
    <t>Tue Nov 23 11:30:54 2021</t>
  </si>
  <si>
    <t>Tue Nov 23 11:31:04 2021</t>
  </si>
  <si>
    <t>Tue Nov 23 11:31:14 2021</t>
  </si>
  <si>
    <t>Tue Nov 23 11:31:24 2021</t>
  </si>
  <si>
    <t>Tue Nov 23 11:31:34 2021</t>
  </si>
  <si>
    <t>Tue Nov 23 11:31:45 2021</t>
  </si>
  <si>
    <t>Tue Nov 23 11:31:54 2021</t>
  </si>
  <si>
    <t>Tue Nov 23 11:32:04 2021</t>
  </si>
  <si>
    <t>Tue Nov 23 11:32:14 2021</t>
  </si>
  <si>
    <t>Tue Nov 23 11:32:24 2021</t>
  </si>
  <si>
    <t>Tue Nov 23 11:32:34 2021</t>
  </si>
  <si>
    <t>Tue Nov 23 11:32:44 2021</t>
  </si>
  <si>
    <t>Tue Nov 23 11:32:55 2021</t>
  </si>
  <si>
    <t>Tue Nov 23 11:33:04 2021</t>
  </si>
  <si>
    <t>Tue Nov 23 11:33:14 2021</t>
  </si>
  <si>
    <t>Tue Nov 23 11:33:24 2021</t>
  </si>
  <si>
    <t>Tue Nov 23 11:33:35 2021</t>
  </si>
  <si>
    <t>Tue Nov 23 11:33:44 2021</t>
  </si>
  <si>
    <t>Tue Nov 23 11:33:54 2021</t>
  </si>
  <si>
    <t>Tue Nov 23 11:34:05 2021</t>
  </si>
  <si>
    <t>Tue Nov 23 11:34:14 2021</t>
  </si>
  <si>
    <t>Tue Nov 23 11:34:24 2021</t>
  </si>
  <si>
    <t>Tue Nov 23 11:34:35 2021</t>
  </si>
  <si>
    <t>Tue Nov 23 11:34:45 2021</t>
  </si>
  <si>
    <t>Tue Nov 23 11:34:55 2021</t>
  </si>
  <si>
    <t>Tue Nov 23 11:35:04 2021</t>
  </si>
  <si>
    <t>Tue Nov 23 11:35:14 2021</t>
  </si>
  <si>
    <t>Tue Nov 23 11:35:25 2021</t>
  </si>
  <si>
    <t>Tue Nov 23 11:35:35 2021</t>
  </si>
  <si>
    <t>Tue Nov 23 11:35:45 2021</t>
  </si>
  <si>
    <t>Tue Nov 23 11:35:54 2021</t>
  </si>
  <si>
    <t>Tue Nov 23 11:36:04 2021</t>
  </si>
  <si>
    <t>Tue Nov 23 11:36:14 2021</t>
  </si>
  <si>
    <t>Tue Nov 23 11:36:25 2021</t>
  </si>
  <si>
    <t>Tue Nov 23 11:36:35 2021</t>
  </si>
  <si>
    <t>Tue Nov 23 11:36:45 2021</t>
  </si>
  <si>
    <t>Tue Nov 23 11:36:55 2021</t>
  </si>
  <si>
    <t>Tue Nov 23 11:37:04 2021</t>
  </si>
  <si>
    <t>Tue Nov 23 11:37:15 2021</t>
  </si>
  <si>
    <t>Tue Nov 23 11:37:25 2021</t>
  </si>
  <si>
    <t>Tue Nov 23 11:37:35 2021</t>
  </si>
  <si>
    <t>Tue Nov 23 11:37:45 2021</t>
  </si>
  <si>
    <t>Tue Nov 23 11:37:54 2021</t>
  </si>
  <si>
    <t>Tue Nov 23 11:38:05 2021</t>
  </si>
  <si>
    <t>Tue Nov 23 11:38:15 2021</t>
  </si>
  <si>
    <t>Tue Nov 23 11:38:24 2021</t>
  </si>
  <si>
    <t>Tue Nov 23 11:38:35 2021</t>
  </si>
  <si>
    <t>Tue Nov 23 11:38:45 2021</t>
  </si>
  <si>
    <t>Tue Nov 23 11:38:55 2021</t>
  </si>
  <si>
    <t>Tue Nov 23 11:39:05 2021</t>
  </si>
  <si>
    <t>Tue Nov 23 11:39:15 2021</t>
  </si>
  <si>
    <t>Tue Nov 23 11:39:25 2021</t>
  </si>
  <si>
    <t>Tue Nov 23 11:39:35 2021</t>
  </si>
  <si>
    <t>Tue Nov 23 11:39:45 2021</t>
  </si>
  <si>
    <t>Tue Nov 23 11:39:55 2021</t>
  </si>
  <si>
    <t>Tue Nov 23 11:40:05 2021</t>
  </si>
  <si>
    <t>Tue Nov 23 11:40:15 2021</t>
  </si>
  <si>
    <t>Tue Nov 23 11:40:25 2021</t>
  </si>
  <si>
    <t>Tue Nov 23 11:40:35 2021</t>
  </si>
  <si>
    <t>Tue Nov 23 11:40:45 2021</t>
  </si>
  <si>
    <t>Tue Nov 23 11:40:55 2021</t>
  </si>
  <si>
    <t>Tue Nov 23 11:41:05 2021</t>
  </si>
  <si>
    <t>Tue Nov 23 11:41:15 2021</t>
  </si>
  <si>
    <t>Tue Nov 23 11:41:26 2021</t>
  </si>
  <si>
    <t>Tue Nov 23 11:41:35 2021</t>
  </si>
  <si>
    <t>Tue Nov 23 11:41:46 2021</t>
  </si>
  <si>
    <t>Tue Nov 23 11:41:56 2021</t>
  </si>
  <si>
    <t>Tue Nov 23 11:42:06 2021</t>
  </si>
  <si>
    <t>Tue Nov 23 11:42:15 2021</t>
  </si>
  <si>
    <t>Tue Nov 23 11:42:25 2021</t>
  </si>
  <si>
    <t>Tue Nov 23 11:42:36 2021</t>
  </si>
  <si>
    <t>Tue Nov 23 11:42:45 2021</t>
  </si>
  <si>
    <t>Tue Nov 23 11:42:55 2021</t>
  </si>
  <si>
    <t>Tue Nov 23 11:43:06 2021</t>
  </si>
  <si>
    <t>Tue Nov 23 11:43:15 2021</t>
  </si>
  <si>
    <t>Tue Nov 23 11:43:26 2021</t>
  </si>
  <si>
    <t>Tue Nov 23 11:43:35 2021</t>
  </si>
  <si>
    <t>Tue Nov 23 11:43:46 2021</t>
  </si>
  <si>
    <t>Tue Nov 23 11:43:56 2021</t>
  </si>
  <si>
    <t>Tue Nov 23 11:44:05 2021</t>
  </si>
  <si>
    <t>Tue Nov 23 11:44:16 2021</t>
  </si>
  <si>
    <t>Tue Nov 23 11:44:26 2021</t>
  </si>
  <si>
    <t>Tue Nov 23 11:44:36 2021</t>
  </si>
  <si>
    <t>Tue Nov 23 11:44:46 2021</t>
  </si>
  <si>
    <t>Tue Nov 23 11:44:56 2021</t>
  </si>
  <si>
    <t>Tue Nov 23 11:45:06 2021</t>
  </si>
  <si>
    <t>Tue Nov 23 11:45:16 2021</t>
  </si>
  <si>
    <t>Tue Nov 23 11:45:26 2021</t>
  </si>
  <si>
    <t>Tue Nov 23 11:45:36 2021</t>
  </si>
  <si>
    <t>Tue Nov 23 11:45:46 2021</t>
  </si>
  <si>
    <t>Tue Nov 23 11:45:56 2021</t>
  </si>
  <si>
    <t>Tue Nov 23 11:46:06 2021</t>
  </si>
  <si>
    <t>Tue Nov 23 11:46:17 2021</t>
  </si>
  <si>
    <t>Tue Nov 23 11:46:26 2021</t>
  </si>
  <si>
    <t>Tue Nov 23 11:46:36 2021</t>
  </si>
  <si>
    <t>Tue Nov 23 11:46:46 2021</t>
  </si>
  <si>
    <t>Tue Nov 23 11:46:56 2021</t>
  </si>
  <si>
    <t>Tue Nov 23 11:47:07 2021</t>
  </si>
  <si>
    <t>Tue Nov 23 11:47:16 2021</t>
  </si>
  <si>
    <t>Tue Nov 23 11:47:26 2021</t>
  </si>
  <si>
    <t>Tue Nov 23 11:47:36 2021</t>
  </si>
  <si>
    <t>Tue Nov 23 11:47:47 2021</t>
  </si>
  <si>
    <t>Tue Nov 23 11:47:56 2021</t>
  </si>
  <si>
    <t>Tue Nov 23 11:48:06 2021</t>
  </si>
  <si>
    <t>Tue Nov 23 11:48:16 2021</t>
  </si>
  <si>
    <t>Tue Nov 23 11:48:26 2021</t>
  </si>
  <si>
    <t>Tue Nov 23 11:48:36 2021</t>
  </si>
  <si>
    <t>Tue Nov 23 11:48:47 2021</t>
  </si>
  <si>
    <t>Tue Nov 23 11:48:57 2021</t>
  </si>
  <si>
    <t>Tue Nov 23 11:49:07 2021</t>
  </si>
  <si>
    <t>Tue Nov 23 11:49:16 2021</t>
  </si>
  <si>
    <t>Tue Nov 23 11:49:27 2021</t>
  </si>
  <si>
    <t>Tue Nov 23 11:49:37 2021</t>
  </si>
  <si>
    <t>Tue Nov 23 11:49:46 2021</t>
  </si>
  <si>
    <t>Tue Nov 23 11:49:56 2021</t>
  </si>
  <si>
    <t>Tue Nov 23 11:50:07 2021</t>
  </si>
  <si>
    <t>Tue Nov 23 11:50:17 2021</t>
  </si>
  <si>
    <t>Tue Nov 23 11:50:27 2021</t>
  </si>
  <si>
    <t>Tue Nov 23 11:50:37 2021</t>
  </si>
  <si>
    <t>Tue Nov 23 11:50:46 2021</t>
  </si>
  <si>
    <t>Tue Nov 23 11:50:57 2021</t>
  </si>
  <si>
    <t>Tue Nov 23 11:51:07 2021</t>
  </si>
  <si>
    <t>Tue Nov 23 11:51:17 2021</t>
  </si>
  <si>
    <t>Tue Nov 23 11:51:27 2021</t>
  </si>
  <si>
    <t>Tue Nov 23 11:51:37 2021</t>
  </si>
  <si>
    <t>Tue Nov 23 11:51:47 2021</t>
  </si>
  <si>
    <t>Tue Nov 23 11:51:56 2021</t>
  </si>
  <si>
    <t>Tue Nov 23 11:52:07 2021</t>
  </si>
  <si>
    <t>Tue Nov 23 11:52:17 2021</t>
  </si>
  <si>
    <t>Tue Nov 23 11:52:27 2021</t>
  </si>
  <si>
    <t>Tue Nov 23 11:52:37 2021</t>
  </si>
  <si>
    <t>Tue Nov 23 11:52:47 2021</t>
  </si>
  <si>
    <t>Tue Nov 23 11:52:57 2021</t>
  </si>
  <si>
    <t>Tue Nov 23 11:53:07 2021</t>
  </si>
  <si>
    <t>Tue Nov 23 11:53:17 2021</t>
  </si>
  <si>
    <t>Tue Nov 23 11:53:27 2021</t>
  </si>
  <si>
    <t>Tue Nov 23 11:53:37 2021</t>
  </si>
  <si>
    <t>Tue Nov 23 11:53:48 2021</t>
  </si>
  <si>
    <t>Tue Nov 23 11:53:57 2021</t>
  </si>
  <si>
    <t>Tue Nov 23 11:54:08 2021</t>
  </si>
  <si>
    <t>Tue Nov 23 11:54:17 2021</t>
  </si>
  <si>
    <t>Tue Nov 23 11:54:27 2021</t>
  </si>
  <si>
    <t>Tue Nov 23 11:54:37 2021</t>
  </si>
  <si>
    <t>Tue Nov 23 11:54:47 2021</t>
  </si>
  <si>
    <t>Tue Nov 23 11:54:57 2021</t>
  </si>
  <si>
    <t>Tue Nov 23 11:55:08 2021</t>
  </si>
  <si>
    <t>Tue Nov 23 11:55:18 2021</t>
  </si>
  <si>
    <t>Tue Nov 23 11:55:27 2021</t>
  </si>
  <si>
    <t>Tue Nov 23 11:55:37 2021</t>
  </si>
  <si>
    <t>Tue Nov 23 11:55:47 2021</t>
  </si>
  <si>
    <t>Tue Nov 23 11:55:58 2021</t>
  </si>
  <si>
    <t>Tue Nov 23 11:56:08 2021</t>
  </si>
  <si>
    <t>Tue Nov 23 11:56:18 2021</t>
  </si>
  <si>
    <t>Tue Nov 23 11:56:28 2021</t>
  </si>
  <si>
    <t>Tue Nov 23 11:56:38 2021</t>
  </si>
  <si>
    <t>Tue Nov 23 11:56:48 2021</t>
  </si>
  <si>
    <t>Tue Nov 23 11:56:57 2021</t>
  </si>
  <si>
    <t>Tue Nov 23 11:57:08 2021</t>
  </si>
  <si>
    <t>Tue Nov 23 11:57:18 2021</t>
  </si>
  <si>
    <t>Tue Nov 23 11:57:28 2021</t>
  </si>
  <si>
    <t>Tue Nov 23 11:57:38 2021</t>
  </si>
  <si>
    <t>Tue Nov 23 11:57:47 2021</t>
  </si>
  <si>
    <t>Tue Nov 23 11:57:58 2021</t>
  </si>
  <si>
    <t>Tue Nov 23 11:58:08 2021</t>
  </si>
  <si>
    <t>Tue Nov 23 11:58:18 2021</t>
  </si>
  <si>
    <t>Tue Nov 23 11:58:29 2021</t>
  </si>
  <si>
    <t>Tue Nov 23 11:58:38 2021</t>
  </si>
  <si>
    <t>Tue Nov 23 11:58:49 2021</t>
  </si>
  <si>
    <t>Tue Nov 23 11:58:58 2021</t>
  </si>
  <si>
    <t>Tue Nov 23 11:59:08 2021</t>
  </si>
  <si>
    <t>Tue Nov 23 11:59:18 2021</t>
  </si>
  <si>
    <t>Tue Nov 23 11:59:28 2021</t>
  </si>
  <si>
    <t>Tue Nov 23 11:59:38 2021</t>
  </si>
  <si>
    <t>Tue Nov 23 11:59:48 2021</t>
  </si>
  <si>
    <t>Tue Nov 23 11:59:58 2021</t>
  </si>
  <si>
    <t>Tue Nov 23 12:00:08 2021</t>
  </si>
  <si>
    <t>Tue Nov 23 12:00:18 2021</t>
  </si>
  <si>
    <t>Tue Nov 23 12:00:29 2021</t>
  </si>
  <si>
    <t>Tue Nov 23 12:00:38 2021</t>
  </si>
  <si>
    <t>Tue Nov 23 12:00:49 2021</t>
  </si>
  <si>
    <t>Tue Nov 23 12:00:58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</si>
</sst>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</c:numCache>
            </c:numRef>
          </c:xVal>
          <c:yVal>
            <c:numRef>
              <c:f>Cu_1stPhase!$F$1:$F$193</c:f>
              <c:numCache>
                <c:formatCode>General</c:formatCode>
                <c:ptCount val="193"/>
                <c:pt idx="0">
                  <c:v>7.5857516423606866</c:v>
                </c:pt>
                <c:pt idx="1">
                  <c:v>7.5834600844080633</c:v>
                </c:pt>
                <c:pt idx="2">
                  <c:v>7.585295585390174</c:v>
                </c:pt>
                <c:pt idx="3">
                  <c:v>7.5839696838396167</c:v>
                </c:pt>
                <c:pt idx="4">
                  <c:v>7.5815693739939212</c:v>
                </c:pt>
                <c:pt idx="5">
                  <c:v>7.5804243709432715</c:v>
                </c:pt>
                <c:pt idx="6">
                  <c:v>7.5796680998460362</c:v>
                </c:pt>
                <c:pt idx="7">
                  <c:v>7.5763327567854875</c:v>
                </c:pt>
                <c:pt idx="8">
                  <c:v>7.5751132240430454</c:v>
                </c:pt>
                <c:pt idx="9">
                  <c:v>7.5735165211162245</c:v>
                </c:pt>
                <c:pt idx="10">
                  <c:v>7.572615880910778</c:v>
                </c:pt>
                <c:pt idx="11">
                  <c:v>7.5713962673816031</c:v>
                </c:pt>
                <c:pt idx="12">
                  <c:v>7.5696727795464476</c:v>
                </c:pt>
                <c:pt idx="13">
                  <c:v>7.5686476476252302</c:v>
                </c:pt>
                <c:pt idx="14">
                  <c:v>7.5675131144248429</c:v>
                </c:pt>
                <c:pt idx="15">
                  <c:v>7.5664423643237875</c:v>
                </c:pt>
                <c:pt idx="16">
                  <c:v>7.564860852511619</c:v>
                </c:pt>
                <c:pt idx="17">
                  <c:v>7.5645718967577587</c:v>
                </c:pt>
                <c:pt idx="18">
                  <c:v>7.5634159985438236</c:v>
                </c:pt>
                <c:pt idx="19">
                  <c:v>7.5624722783960179</c:v>
                </c:pt>
                <c:pt idx="20">
                  <c:v>7.5618769082634838</c:v>
                </c:pt>
                <c:pt idx="21">
                  <c:v>7.5608502290940969</c:v>
                </c:pt>
                <c:pt idx="22">
                  <c:v>7.5602162589264177</c:v>
                </c:pt>
                <c:pt idx="23">
                  <c:v>7.5591437092155775</c:v>
                </c:pt>
                <c:pt idx="24">
                  <c:v>7.5585847485579434</c:v>
                </c:pt>
                <c:pt idx="25">
                  <c:v>7.5573125080735393</c:v>
                </c:pt>
                <c:pt idx="26">
                  <c:v>7.5567380426380737</c:v>
                </c:pt>
                <c:pt idx="27">
                  <c:v>7.5562917876640148</c:v>
                </c:pt>
                <c:pt idx="28">
                  <c:v>7.5549849292811837</c:v>
                </c:pt>
                <c:pt idx="29">
                  <c:v>7.5546882473826358</c:v>
                </c:pt>
                <c:pt idx="30">
                  <c:v>7.5533521514333666</c:v>
                </c:pt>
                <c:pt idx="31">
                  <c:v>7.5528573792537035</c:v>
                </c:pt>
                <c:pt idx="32">
                  <c:v>7.5525734530980788</c:v>
                </c:pt>
                <c:pt idx="33">
                  <c:v>7.5515194746141425</c:v>
                </c:pt>
                <c:pt idx="34">
                  <c:v>7.5507664284249012</c:v>
                </c:pt>
                <c:pt idx="35">
                  <c:v>7.5502298609041159</c:v>
                </c:pt>
                <c:pt idx="36">
                  <c:v>7.5494629913137619</c:v>
                </c:pt>
                <c:pt idx="37">
                  <c:v>7.5486892316190843</c:v>
                </c:pt>
                <c:pt idx="38">
                  <c:v>7.5481050276645867</c:v>
                </c:pt>
                <c:pt idx="39">
                  <c:v>7.5472114017634482</c:v>
                </c:pt>
                <c:pt idx="40">
                  <c:v>7.5465002179087515</c:v>
                </c:pt>
                <c:pt idx="41">
                  <c:v>7.5458564372078527</c:v>
                </c:pt>
                <c:pt idx="42">
                  <c:v>7.5451019523882215</c:v>
                </c:pt>
                <c:pt idx="43">
                  <c:v>7.5445041540994788</c:v>
                </c:pt>
                <c:pt idx="44">
                  <c:v>7.5438052587109325</c:v>
                </c:pt>
                <c:pt idx="45">
                  <c:v>7.543382221075027</c:v>
                </c:pt>
                <c:pt idx="46">
                  <c:v>7.5423917633097179</c:v>
                </c:pt>
                <c:pt idx="47">
                  <c:v>7.5416567425055812</c:v>
                </c:pt>
                <c:pt idx="48">
                  <c:v>7.5413636584151895</c:v>
                </c:pt>
                <c:pt idx="49">
                  <c:v>7.5411692363118519</c:v>
                </c:pt>
                <c:pt idx="50">
                  <c:v>7.5404917353166763</c:v>
                </c:pt>
                <c:pt idx="51">
                  <c:v>7.5401182102983677</c:v>
                </c:pt>
                <c:pt idx="52">
                  <c:v>7.5396993202291656</c:v>
                </c:pt>
                <c:pt idx="53">
                  <c:v>7.5386567505673376</c:v>
                </c:pt>
                <c:pt idx="54">
                  <c:v>7.5384621909987448</c:v>
                </c:pt>
                <c:pt idx="55">
                  <c:v>7.5376433931530942</c:v>
                </c:pt>
                <c:pt idx="56">
                  <c:v>7.5373912100469402</c:v>
                </c:pt>
                <c:pt idx="57">
                  <c:v>7.537234197485871</c:v>
                </c:pt>
                <c:pt idx="58">
                  <c:v>7.5368072646542394</c:v>
                </c:pt>
                <c:pt idx="59">
                  <c:v>7.5364602228356832</c:v>
                </c:pt>
                <c:pt idx="60">
                  <c:v>7.5357064956697233</c:v>
                </c:pt>
                <c:pt idx="61">
                  <c:v>7.5353797304974313</c:v>
                </c:pt>
                <c:pt idx="62">
                  <c:v>7.5348232337283738</c:v>
                </c:pt>
                <c:pt idx="63">
                  <c:v>7.5346681002167548</c:v>
                </c:pt>
                <c:pt idx="64">
                  <c:v>7.5341654295874223</c:v>
                </c:pt>
                <c:pt idx="65">
                  <c:v>7.5339550500278634</c:v>
                </c:pt>
                <c:pt idx="66">
                  <c:v>7.5337270665115437</c:v>
                </c:pt>
                <c:pt idx="67">
                  <c:v>7.5329218232507538</c:v>
                </c:pt>
                <c:pt idx="68">
                  <c:v>7.5327422841246525</c:v>
                </c:pt>
                <c:pt idx="69">
                  <c:v>7.5323213380958753</c:v>
                </c:pt>
                <c:pt idx="70">
                  <c:v>7.5317252014141021</c:v>
                </c:pt>
                <c:pt idx="71">
                  <c:v>7.5312769329711005</c:v>
                </c:pt>
                <c:pt idx="72">
                  <c:v>7.5312052123622362</c:v>
                </c:pt>
                <c:pt idx="73">
                  <c:v>7.5308771030830606</c:v>
                </c:pt>
                <c:pt idx="74">
                  <c:v>7.530149551706586</c:v>
                </c:pt>
                <c:pt idx="75">
                  <c:v>7.5299362938186309</c:v>
                </c:pt>
                <c:pt idx="76">
                  <c:v>7.5300312336228945</c:v>
                </c:pt>
                <c:pt idx="77">
                  <c:v>7.5300630746552368</c:v>
                </c:pt>
                <c:pt idx="78">
                  <c:v>7.5294141280546425</c:v>
                </c:pt>
                <c:pt idx="79">
                  <c:v>7.529022668839608</c:v>
                </c:pt>
                <c:pt idx="80">
                  <c:v>7.528027725867859</c:v>
                </c:pt>
                <c:pt idx="81">
                  <c:v>7.5274807848323855</c:v>
                </c:pt>
                <c:pt idx="82">
                  <c:v>7.5273000685606579</c:v>
                </c:pt>
                <c:pt idx="83">
                  <c:v>7.5266385442298578</c:v>
                </c:pt>
                <c:pt idx="84">
                  <c:v>7.5265679368046383</c:v>
                </c:pt>
                <c:pt idx="85">
                  <c:v>7.5263873846101914</c:v>
                </c:pt>
                <c:pt idx="86">
                  <c:v>7.5264946285890506</c:v>
                </c:pt>
                <c:pt idx="87">
                  <c:v>7.5265555110665634</c:v>
                </c:pt>
                <c:pt idx="88">
                  <c:v>7.5270678688623933</c:v>
                </c:pt>
                <c:pt idx="89">
                  <c:v>7.527127401966152</c:v>
                </c:pt>
                <c:pt idx="90">
                  <c:v>7.525863559209153</c:v>
                </c:pt>
                <c:pt idx="91">
                  <c:v>7.5248167311479577</c:v>
                </c:pt>
                <c:pt idx="92">
                  <c:v>7.5244803919336238</c:v>
                </c:pt>
                <c:pt idx="93">
                  <c:v>7.5238943272171817</c:v>
                </c:pt>
                <c:pt idx="94">
                  <c:v>7.5234793341814807</c:v>
                </c:pt>
                <c:pt idx="95">
                  <c:v>7.5233556072120775</c:v>
                </c:pt>
                <c:pt idx="96">
                  <c:v>7.5225053951379159</c:v>
                </c:pt>
                <c:pt idx="97">
                  <c:v>7.5223352660535596</c:v>
                </c:pt>
                <c:pt idx="98">
                  <c:v>7.5224617600512556</c:v>
                </c:pt>
                <c:pt idx="99">
                  <c:v>7.5220792583015426</c:v>
                </c:pt>
                <c:pt idx="100">
                  <c:v>7.5218065386910844</c:v>
                </c:pt>
                <c:pt idx="101">
                  <c:v>7.5213341062197294</c:v>
                </c:pt>
                <c:pt idx="102">
                  <c:v>7.5212133526360923</c:v>
                </c:pt>
                <c:pt idx="103">
                  <c:v>7.5207415655931564</c:v>
                </c:pt>
                <c:pt idx="104">
                  <c:v>7.5206336367231099</c:v>
                </c:pt>
                <c:pt idx="105">
                  <c:v>7.5203321419569118</c:v>
                </c:pt>
                <c:pt idx="106">
                  <c:v>7.5199676861795712</c:v>
                </c:pt>
                <c:pt idx="107">
                  <c:v>7.5203764656462369</c:v>
                </c:pt>
                <c:pt idx="108">
                  <c:v>7.5200216882913482</c:v>
                </c:pt>
                <c:pt idx="109">
                  <c:v>7.5192220847484732</c:v>
                </c:pt>
                <c:pt idx="110">
                  <c:v>7.5191752590317815</c:v>
                </c:pt>
                <c:pt idx="111">
                  <c:v>7.5188737214734553</c:v>
                </c:pt>
                <c:pt idx="112">
                  <c:v>7.5191253843890635</c:v>
                </c:pt>
                <c:pt idx="113">
                  <c:v>7.5188170737296884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</c:numCache>
            </c:numRef>
          </c:xVal>
          <c:yVal>
            <c:numRef>
              <c:f>Cu_1stPhase!$B$1:$B$196</c:f>
              <c:numCache>
                <c:formatCode>General</c:formatCode>
                <c:ptCount val="196"/>
                <c:pt idx="0">
                  <c:v>1969.9267580000001</c:v>
                </c:pt>
                <c:pt idx="1">
                  <c:v>1965.417725</c:v>
                </c:pt>
                <c:pt idx="2">
                  <c:v>1969.028564</c:v>
                </c:pt>
                <c:pt idx="3">
                  <c:v>1966.4195560000001</c:v>
                </c:pt>
                <c:pt idx="4">
                  <c:v>1961.7052000000001</c:v>
                </c:pt>
                <c:pt idx="5">
                  <c:v>1959.460327</c:v>
                </c:pt>
                <c:pt idx="6">
                  <c:v>1957.979004</c:v>
                </c:pt>
                <c:pt idx="7">
                  <c:v>1951.459351</c:v>
                </c:pt>
                <c:pt idx="8">
                  <c:v>1949.080933</c:v>
                </c:pt>
                <c:pt idx="9">
                  <c:v>1945.971313</c:v>
                </c:pt>
                <c:pt idx="10">
                  <c:v>1944.219482</c:v>
                </c:pt>
                <c:pt idx="11">
                  <c:v>1941.849731</c:v>
                </c:pt>
                <c:pt idx="12">
                  <c:v>1938.5058590000001</c:v>
                </c:pt>
                <c:pt idx="13">
                  <c:v>1936.5196530000001</c:v>
                </c:pt>
                <c:pt idx="14">
                  <c:v>1934.3238530000001</c:v>
                </c:pt>
                <c:pt idx="15">
                  <c:v>1932.253784</c:v>
                </c:pt>
                <c:pt idx="16">
                  <c:v>1929.200317</c:v>
                </c:pt>
                <c:pt idx="17">
                  <c:v>1928.6429439999999</c:v>
                </c:pt>
                <c:pt idx="18">
                  <c:v>1926.4149170000001</c:v>
                </c:pt>
                <c:pt idx="19">
                  <c:v>1924.5977780000001</c:v>
                </c:pt>
                <c:pt idx="20">
                  <c:v>1923.4522710000001</c:v>
                </c:pt>
                <c:pt idx="21">
                  <c:v>1921.4785159999999</c:v>
                </c:pt>
                <c:pt idx="22">
                  <c:v>1920.2607419999999</c:v>
                </c:pt>
                <c:pt idx="23">
                  <c:v>1918.2022710000001</c:v>
                </c:pt>
                <c:pt idx="24">
                  <c:v>1917.130371</c:v>
                </c:pt>
                <c:pt idx="25">
                  <c:v>1914.692871</c:v>
                </c:pt>
                <c:pt idx="26">
                  <c:v>1913.5932620000001</c:v>
                </c:pt>
                <c:pt idx="27">
                  <c:v>1912.7395019999999</c:v>
                </c:pt>
                <c:pt idx="28">
                  <c:v>1910.2414550000001</c:v>
                </c:pt>
                <c:pt idx="29">
                  <c:v>1909.6748050000001</c:v>
                </c:pt>
                <c:pt idx="30">
                  <c:v>1907.125</c:v>
                </c:pt>
                <c:pt idx="31">
                  <c:v>1906.1816409999999</c:v>
                </c:pt>
                <c:pt idx="32">
                  <c:v>1905.6405030000001</c:v>
                </c:pt>
                <c:pt idx="33">
                  <c:v>1903.633057</c:v>
                </c:pt>
                <c:pt idx="34">
                  <c:v>1902.200073</c:v>
                </c:pt>
                <c:pt idx="35">
                  <c:v>1901.1796879999999</c:v>
                </c:pt>
                <c:pt idx="36">
                  <c:v>1899.7222899999999</c:v>
                </c:pt>
                <c:pt idx="37">
                  <c:v>1898.2529300000001</c:v>
                </c:pt>
                <c:pt idx="38">
                  <c:v>1897.1442870000001</c:v>
                </c:pt>
                <c:pt idx="39">
                  <c:v>1895.449707</c:v>
                </c:pt>
                <c:pt idx="40">
                  <c:v>1894.102173</c:v>
                </c:pt>
                <c:pt idx="41">
                  <c:v>1892.8831789999999</c:v>
                </c:pt>
                <c:pt idx="42">
                  <c:v>1891.4555660000001</c:v>
                </c:pt>
                <c:pt idx="43">
                  <c:v>1890.3251949999999</c:v>
                </c:pt>
                <c:pt idx="44">
                  <c:v>1889.0045170000001</c:v>
                </c:pt>
                <c:pt idx="45">
                  <c:v>1888.2055660000001</c:v>
                </c:pt>
                <c:pt idx="46">
                  <c:v>1886.3363039999999</c:v>
                </c:pt>
                <c:pt idx="47">
                  <c:v>1884.950317</c:v>
                </c:pt>
                <c:pt idx="48">
                  <c:v>1884.3979489999999</c:v>
                </c:pt>
                <c:pt idx="49">
                  <c:v>1884.031616</c:v>
                </c:pt>
                <c:pt idx="50">
                  <c:v>1882.755615</c:v>
                </c:pt>
                <c:pt idx="51">
                  <c:v>1882.05249</c:v>
                </c:pt>
                <c:pt idx="52">
                  <c:v>1881.2642820000001</c:v>
                </c:pt>
                <c:pt idx="53">
                  <c:v>1879.3039550000001</c:v>
                </c:pt>
                <c:pt idx="54">
                  <c:v>1878.9383539999999</c:v>
                </c:pt>
                <c:pt idx="55">
                  <c:v>1877.400513</c:v>
                </c:pt>
                <c:pt idx="56">
                  <c:v>1876.927124</c:v>
                </c:pt>
                <c:pt idx="57">
                  <c:v>1876.6324460000001</c:v>
                </c:pt>
                <c:pt idx="58">
                  <c:v>1875.8314210000001</c:v>
                </c:pt>
                <c:pt idx="59">
                  <c:v>1875.1805420000001</c:v>
                </c:pt>
                <c:pt idx="60">
                  <c:v>1873.7677000000001</c:v>
                </c:pt>
                <c:pt idx="61">
                  <c:v>1873.155518</c:v>
                </c:pt>
                <c:pt idx="62">
                  <c:v>1872.1134030000001</c:v>
                </c:pt>
                <c:pt idx="63">
                  <c:v>1871.8229980000001</c:v>
                </c:pt>
                <c:pt idx="64">
                  <c:v>1870.8823239999999</c:v>
                </c:pt>
                <c:pt idx="65">
                  <c:v>1870.4887699999999</c:v>
                </c:pt>
                <c:pt idx="66">
                  <c:v>1870.0623780000001</c:v>
                </c:pt>
                <c:pt idx="67">
                  <c:v>1868.557129</c:v>
                </c:pt>
                <c:pt idx="68">
                  <c:v>1868.2216800000001</c:v>
                </c:pt>
                <c:pt idx="69">
                  <c:v>1867.4354249999999</c:v>
                </c:pt>
                <c:pt idx="70">
                  <c:v>1866.32251</c:v>
                </c:pt>
                <c:pt idx="71">
                  <c:v>1865.4860839999999</c:v>
                </c:pt>
                <c:pt idx="72">
                  <c:v>1865.3522949999999</c:v>
                </c:pt>
                <c:pt idx="73">
                  <c:v>1864.740356</c:v>
                </c:pt>
                <c:pt idx="74">
                  <c:v>1863.384155</c:v>
                </c:pt>
                <c:pt idx="75">
                  <c:v>1862.9868160000001</c:v>
                </c:pt>
                <c:pt idx="76">
                  <c:v>1863.1636960000001</c:v>
                </c:pt>
                <c:pt idx="77">
                  <c:v>1863.2230219999999</c:v>
                </c:pt>
                <c:pt idx="78">
                  <c:v>1862.0142820000001</c:v>
                </c:pt>
                <c:pt idx="79">
                  <c:v>1861.2855219999999</c:v>
                </c:pt>
                <c:pt idx="80">
                  <c:v>1859.4345699999999</c:v>
                </c:pt>
                <c:pt idx="81">
                  <c:v>1858.4178469999999</c:v>
                </c:pt>
                <c:pt idx="82">
                  <c:v>1858.0820309999999</c:v>
                </c:pt>
                <c:pt idx="83">
                  <c:v>1856.8532709999999</c:v>
                </c:pt>
                <c:pt idx="84">
                  <c:v>1856.722168</c:v>
                </c:pt>
                <c:pt idx="85">
                  <c:v>1856.3869629999999</c:v>
                </c:pt>
                <c:pt idx="86">
                  <c:v>1856.5860600000001</c:v>
                </c:pt>
                <c:pt idx="87">
                  <c:v>1856.6990969999999</c:v>
                </c:pt>
                <c:pt idx="88">
                  <c:v>1857.650635</c:v>
                </c:pt>
                <c:pt idx="89">
                  <c:v>1857.7612300000001</c:v>
                </c:pt>
                <c:pt idx="90">
                  <c:v>1855.4147949999999</c:v>
                </c:pt>
                <c:pt idx="91">
                  <c:v>1853.4735109999999</c:v>
                </c:pt>
                <c:pt idx="92">
                  <c:v>1852.85022</c:v>
                </c:pt>
                <c:pt idx="93">
                  <c:v>1851.7646480000001</c:v>
                </c:pt>
                <c:pt idx="94">
                  <c:v>1850.9963379999999</c:v>
                </c:pt>
                <c:pt idx="95">
                  <c:v>1850.7673339999999</c:v>
                </c:pt>
                <c:pt idx="96">
                  <c:v>1849.1944579999999</c:v>
                </c:pt>
                <c:pt idx="97">
                  <c:v>1848.8798830000001</c:v>
                </c:pt>
                <c:pt idx="98">
                  <c:v>1849.1137699999999</c:v>
                </c:pt>
                <c:pt idx="99">
                  <c:v>1848.406616</c:v>
                </c:pt>
                <c:pt idx="100">
                  <c:v>1847.9025879999999</c:v>
                </c:pt>
                <c:pt idx="101">
                  <c:v>1847.0297849999999</c:v>
                </c:pt>
                <c:pt idx="102">
                  <c:v>1846.806763</c:v>
                </c:pt>
                <c:pt idx="103">
                  <c:v>1845.935669</c:v>
                </c:pt>
                <c:pt idx="104">
                  <c:v>1845.7364500000001</c:v>
                </c:pt>
                <c:pt idx="105">
                  <c:v>1845.1800539999999</c:v>
                </c:pt>
                <c:pt idx="106">
                  <c:v>1844.5076899999999</c:v>
                </c:pt>
                <c:pt idx="107">
                  <c:v>1845.261841</c:v>
                </c:pt>
                <c:pt idx="108">
                  <c:v>1844.6072999999999</c:v>
                </c:pt>
                <c:pt idx="109">
                  <c:v>1843.1329350000001</c:v>
                </c:pt>
                <c:pt idx="110">
                  <c:v>1843.0466309999999</c:v>
                </c:pt>
                <c:pt idx="111">
                  <c:v>1842.490967</c:v>
                </c:pt>
                <c:pt idx="112">
                  <c:v>1842.954712</c:v>
                </c:pt>
                <c:pt idx="113">
                  <c:v>1842.3865969999999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Cu_1stPhase!$F$1:$F$101</c:f>
              <c:numCache>
                <c:formatCode>General</c:formatCode>
                <c:ptCount val="101"/>
                <c:pt idx="0">
                  <c:v>7.5857516423606866</c:v>
                </c:pt>
                <c:pt idx="1">
                  <c:v>7.5834600844080633</c:v>
                </c:pt>
                <c:pt idx="2">
                  <c:v>7.585295585390174</c:v>
                </c:pt>
                <c:pt idx="3">
                  <c:v>7.5839696838396167</c:v>
                </c:pt>
                <c:pt idx="4">
                  <c:v>7.5815693739939212</c:v>
                </c:pt>
                <c:pt idx="5">
                  <c:v>7.5804243709432715</c:v>
                </c:pt>
                <c:pt idx="6">
                  <c:v>7.5796680998460362</c:v>
                </c:pt>
                <c:pt idx="7">
                  <c:v>7.5763327567854875</c:v>
                </c:pt>
                <c:pt idx="8">
                  <c:v>7.5751132240430454</c:v>
                </c:pt>
                <c:pt idx="9">
                  <c:v>7.5735165211162245</c:v>
                </c:pt>
                <c:pt idx="10">
                  <c:v>7.572615880910778</c:v>
                </c:pt>
                <c:pt idx="11">
                  <c:v>7.5713962673816031</c:v>
                </c:pt>
                <c:pt idx="12">
                  <c:v>7.5696727795464476</c:v>
                </c:pt>
                <c:pt idx="13">
                  <c:v>7.5686476476252302</c:v>
                </c:pt>
                <c:pt idx="14">
                  <c:v>7.5675131144248429</c:v>
                </c:pt>
                <c:pt idx="15">
                  <c:v>7.5664423643237875</c:v>
                </c:pt>
                <c:pt idx="16">
                  <c:v>7.564860852511619</c:v>
                </c:pt>
                <c:pt idx="17">
                  <c:v>7.5645718967577587</c:v>
                </c:pt>
                <c:pt idx="18">
                  <c:v>7.5634159985438236</c:v>
                </c:pt>
                <c:pt idx="19">
                  <c:v>7.5624722783960179</c:v>
                </c:pt>
                <c:pt idx="20">
                  <c:v>7.5618769082634838</c:v>
                </c:pt>
                <c:pt idx="21">
                  <c:v>7.5608502290940969</c:v>
                </c:pt>
                <c:pt idx="22">
                  <c:v>7.5602162589264177</c:v>
                </c:pt>
                <c:pt idx="23">
                  <c:v>7.5591437092155775</c:v>
                </c:pt>
                <c:pt idx="24">
                  <c:v>7.5585847485579434</c:v>
                </c:pt>
                <c:pt idx="25">
                  <c:v>7.5573125080735393</c:v>
                </c:pt>
                <c:pt idx="26">
                  <c:v>7.5567380426380737</c:v>
                </c:pt>
                <c:pt idx="27">
                  <c:v>7.5562917876640148</c:v>
                </c:pt>
                <c:pt idx="28">
                  <c:v>7.5549849292811837</c:v>
                </c:pt>
                <c:pt idx="29">
                  <c:v>7.5546882473826358</c:v>
                </c:pt>
                <c:pt idx="30">
                  <c:v>7.5533521514333666</c:v>
                </c:pt>
                <c:pt idx="31">
                  <c:v>7.5528573792537035</c:v>
                </c:pt>
                <c:pt idx="32">
                  <c:v>7.5525734530980788</c:v>
                </c:pt>
                <c:pt idx="33">
                  <c:v>7.5515194746141425</c:v>
                </c:pt>
                <c:pt idx="34">
                  <c:v>7.5507664284249012</c:v>
                </c:pt>
                <c:pt idx="35">
                  <c:v>7.5502298609041159</c:v>
                </c:pt>
                <c:pt idx="36">
                  <c:v>7.5494629913137619</c:v>
                </c:pt>
                <c:pt idx="37">
                  <c:v>7.5486892316190843</c:v>
                </c:pt>
                <c:pt idx="38">
                  <c:v>7.5481050276645867</c:v>
                </c:pt>
                <c:pt idx="39">
                  <c:v>7.5472114017634482</c:v>
                </c:pt>
                <c:pt idx="40">
                  <c:v>7.5465002179087515</c:v>
                </c:pt>
                <c:pt idx="41">
                  <c:v>7.5458564372078527</c:v>
                </c:pt>
                <c:pt idx="42">
                  <c:v>7.5451019523882215</c:v>
                </c:pt>
                <c:pt idx="43">
                  <c:v>7.5445041540994788</c:v>
                </c:pt>
                <c:pt idx="44">
                  <c:v>7.5438052587109325</c:v>
                </c:pt>
                <c:pt idx="45">
                  <c:v>7.543382221075027</c:v>
                </c:pt>
                <c:pt idx="46">
                  <c:v>7.5423917633097179</c:v>
                </c:pt>
                <c:pt idx="47">
                  <c:v>7.5416567425055812</c:v>
                </c:pt>
                <c:pt idx="48">
                  <c:v>7.5413636584151895</c:v>
                </c:pt>
                <c:pt idx="49">
                  <c:v>7.5411692363118519</c:v>
                </c:pt>
                <c:pt idx="50">
                  <c:v>7.5404917353166763</c:v>
                </c:pt>
                <c:pt idx="51">
                  <c:v>7.5401182102983677</c:v>
                </c:pt>
                <c:pt idx="52">
                  <c:v>7.5396993202291656</c:v>
                </c:pt>
                <c:pt idx="53">
                  <c:v>7.5386567505673376</c:v>
                </c:pt>
                <c:pt idx="54">
                  <c:v>7.5384621909987448</c:v>
                </c:pt>
                <c:pt idx="55">
                  <c:v>7.5376433931530942</c:v>
                </c:pt>
                <c:pt idx="56">
                  <c:v>7.5373912100469402</c:v>
                </c:pt>
                <c:pt idx="57">
                  <c:v>7.537234197485871</c:v>
                </c:pt>
                <c:pt idx="58">
                  <c:v>7.5368072646542394</c:v>
                </c:pt>
                <c:pt idx="59">
                  <c:v>7.5364602228356832</c:v>
                </c:pt>
                <c:pt idx="60">
                  <c:v>7.5357064956697233</c:v>
                </c:pt>
                <c:pt idx="61">
                  <c:v>7.5353797304974313</c:v>
                </c:pt>
                <c:pt idx="62">
                  <c:v>7.5348232337283738</c:v>
                </c:pt>
                <c:pt idx="63">
                  <c:v>7.5346681002167548</c:v>
                </c:pt>
                <c:pt idx="64">
                  <c:v>7.5341654295874223</c:v>
                </c:pt>
                <c:pt idx="65">
                  <c:v>7.5339550500278634</c:v>
                </c:pt>
                <c:pt idx="66">
                  <c:v>7.5337270665115437</c:v>
                </c:pt>
                <c:pt idx="67">
                  <c:v>7.5329218232507538</c:v>
                </c:pt>
                <c:pt idx="68">
                  <c:v>7.5327422841246525</c:v>
                </c:pt>
                <c:pt idx="69">
                  <c:v>7.5323213380958753</c:v>
                </c:pt>
                <c:pt idx="70">
                  <c:v>7.5317252014141021</c:v>
                </c:pt>
                <c:pt idx="71">
                  <c:v>7.5312769329711005</c:v>
                </c:pt>
                <c:pt idx="72">
                  <c:v>7.5312052123622362</c:v>
                </c:pt>
                <c:pt idx="73">
                  <c:v>7.5308771030830606</c:v>
                </c:pt>
                <c:pt idx="74">
                  <c:v>7.530149551706586</c:v>
                </c:pt>
                <c:pt idx="75">
                  <c:v>7.5299362938186309</c:v>
                </c:pt>
                <c:pt idx="76">
                  <c:v>7.5300312336228945</c:v>
                </c:pt>
                <c:pt idx="77">
                  <c:v>7.5300630746552368</c:v>
                </c:pt>
                <c:pt idx="78">
                  <c:v>7.5294141280546425</c:v>
                </c:pt>
                <c:pt idx="79">
                  <c:v>7.529022668839608</c:v>
                </c:pt>
                <c:pt idx="80">
                  <c:v>7.528027725867859</c:v>
                </c:pt>
                <c:pt idx="81">
                  <c:v>7.5274807848323855</c:v>
                </c:pt>
                <c:pt idx="82">
                  <c:v>7.5273000685606579</c:v>
                </c:pt>
                <c:pt idx="83">
                  <c:v>7.5266385442298578</c:v>
                </c:pt>
                <c:pt idx="84">
                  <c:v>7.5265679368046383</c:v>
                </c:pt>
                <c:pt idx="85">
                  <c:v>7.5263873846101914</c:v>
                </c:pt>
                <c:pt idx="86">
                  <c:v>7.5264946285890506</c:v>
                </c:pt>
                <c:pt idx="87">
                  <c:v>7.5265555110665634</c:v>
                </c:pt>
                <c:pt idx="88">
                  <c:v>7.5270678688623933</c:v>
                </c:pt>
                <c:pt idx="89">
                  <c:v>7.527127401966152</c:v>
                </c:pt>
                <c:pt idx="90">
                  <c:v>7.525863559209153</c:v>
                </c:pt>
                <c:pt idx="91">
                  <c:v>7.5248167311479577</c:v>
                </c:pt>
                <c:pt idx="92">
                  <c:v>7.5244803919336238</c:v>
                </c:pt>
                <c:pt idx="93">
                  <c:v>7.5238943272171817</c:v>
                </c:pt>
                <c:pt idx="94">
                  <c:v>7.5234793341814807</c:v>
                </c:pt>
                <c:pt idx="95">
                  <c:v>7.5233556072120775</c:v>
                </c:pt>
                <c:pt idx="96">
                  <c:v>7.5225053951379159</c:v>
                </c:pt>
                <c:pt idx="97">
                  <c:v>7.5223352660535596</c:v>
                </c:pt>
                <c:pt idx="98">
                  <c:v>7.5224617600512556</c:v>
                </c:pt>
                <c:pt idx="99">
                  <c:v>7.5220792583015426</c:v>
                </c:pt>
                <c:pt idx="100">
                  <c:v>7.5218065386910844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3312811350035385"/>
                  <c:y val="-5.6990011665208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Cu_1stPhase!$B$1:$B$101</c:f>
              <c:numCache>
                <c:formatCode>General</c:formatCode>
                <c:ptCount val="101"/>
                <c:pt idx="0">
                  <c:v>1969.9267580000001</c:v>
                </c:pt>
                <c:pt idx="1">
                  <c:v>1965.417725</c:v>
                </c:pt>
                <c:pt idx="2">
                  <c:v>1969.028564</c:v>
                </c:pt>
                <c:pt idx="3">
                  <c:v>1966.4195560000001</c:v>
                </c:pt>
                <c:pt idx="4">
                  <c:v>1961.7052000000001</c:v>
                </c:pt>
                <c:pt idx="5">
                  <c:v>1959.460327</c:v>
                </c:pt>
                <c:pt idx="6">
                  <c:v>1957.979004</c:v>
                </c:pt>
                <c:pt idx="7">
                  <c:v>1951.459351</c:v>
                </c:pt>
                <c:pt idx="8">
                  <c:v>1949.080933</c:v>
                </c:pt>
                <c:pt idx="9">
                  <c:v>1945.971313</c:v>
                </c:pt>
                <c:pt idx="10">
                  <c:v>1944.219482</c:v>
                </c:pt>
                <c:pt idx="11">
                  <c:v>1941.849731</c:v>
                </c:pt>
                <c:pt idx="12">
                  <c:v>1938.5058590000001</c:v>
                </c:pt>
                <c:pt idx="13">
                  <c:v>1936.5196530000001</c:v>
                </c:pt>
                <c:pt idx="14">
                  <c:v>1934.3238530000001</c:v>
                </c:pt>
                <c:pt idx="15">
                  <c:v>1932.253784</c:v>
                </c:pt>
                <c:pt idx="16">
                  <c:v>1929.200317</c:v>
                </c:pt>
                <c:pt idx="17">
                  <c:v>1928.6429439999999</c:v>
                </c:pt>
                <c:pt idx="18">
                  <c:v>1926.4149170000001</c:v>
                </c:pt>
                <c:pt idx="19">
                  <c:v>1924.5977780000001</c:v>
                </c:pt>
                <c:pt idx="20">
                  <c:v>1923.4522710000001</c:v>
                </c:pt>
                <c:pt idx="21">
                  <c:v>1921.4785159999999</c:v>
                </c:pt>
                <c:pt idx="22">
                  <c:v>1920.2607419999999</c:v>
                </c:pt>
                <c:pt idx="23">
                  <c:v>1918.2022710000001</c:v>
                </c:pt>
                <c:pt idx="24">
                  <c:v>1917.130371</c:v>
                </c:pt>
                <c:pt idx="25">
                  <c:v>1914.692871</c:v>
                </c:pt>
                <c:pt idx="26">
                  <c:v>1913.5932620000001</c:v>
                </c:pt>
                <c:pt idx="27">
                  <c:v>1912.7395019999999</c:v>
                </c:pt>
                <c:pt idx="28">
                  <c:v>1910.2414550000001</c:v>
                </c:pt>
                <c:pt idx="29">
                  <c:v>1909.6748050000001</c:v>
                </c:pt>
                <c:pt idx="30">
                  <c:v>1907.125</c:v>
                </c:pt>
                <c:pt idx="31">
                  <c:v>1906.1816409999999</c:v>
                </c:pt>
                <c:pt idx="32">
                  <c:v>1905.6405030000001</c:v>
                </c:pt>
                <c:pt idx="33">
                  <c:v>1903.633057</c:v>
                </c:pt>
                <c:pt idx="34">
                  <c:v>1902.200073</c:v>
                </c:pt>
                <c:pt idx="35">
                  <c:v>1901.1796879999999</c:v>
                </c:pt>
                <c:pt idx="36">
                  <c:v>1899.7222899999999</c:v>
                </c:pt>
                <c:pt idx="37">
                  <c:v>1898.2529300000001</c:v>
                </c:pt>
                <c:pt idx="38">
                  <c:v>1897.1442870000001</c:v>
                </c:pt>
                <c:pt idx="39">
                  <c:v>1895.449707</c:v>
                </c:pt>
                <c:pt idx="40">
                  <c:v>1894.102173</c:v>
                </c:pt>
                <c:pt idx="41">
                  <c:v>1892.8831789999999</c:v>
                </c:pt>
                <c:pt idx="42">
                  <c:v>1891.4555660000001</c:v>
                </c:pt>
                <c:pt idx="43">
                  <c:v>1890.3251949999999</c:v>
                </c:pt>
                <c:pt idx="44">
                  <c:v>1889.0045170000001</c:v>
                </c:pt>
                <c:pt idx="45">
                  <c:v>1888.2055660000001</c:v>
                </c:pt>
                <c:pt idx="46">
                  <c:v>1886.3363039999999</c:v>
                </c:pt>
                <c:pt idx="47">
                  <c:v>1884.950317</c:v>
                </c:pt>
                <c:pt idx="48">
                  <c:v>1884.3979489999999</c:v>
                </c:pt>
                <c:pt idx="49">
                  <c:v>1884.031616</c:v>
                </c:pt>
                <c:pt idx="50">
                  <c:v>1882.755615</c:v>
                </c:pt>
                <c:pt idx="51">
                  <c:v>1882.05249</c:v>
                </c:pt>
                <c:pt idx="52">
                  <c:v>1881.2642820000001</c:v>
                </c:pt>
                <c:pt idx="53">
                  <c:v>1879.3039550000001</c:v>
                </c:pt>
                <c:pt idx="54">
                  <c:v>1878.9383539999999</c:v>
                </c:pt>
                <c:pt idx="55">
                  <c:v>1877.400513</c:v>
                </c:pt>
                <c:pt idx="56">
                  <c:v>1876.927124</c:v>
                </c:pt>
                <c:pt idx="57">
                  <c:v>1876.6324460000001</c:v>
                </c:pt>
                <c:pt idx="58">
                  <c:v>1875.8314210000001</c:v>
                </c:pt>
                <c:pt idx="59">
                  <c:v>1875.1805420000001</c:v>
                </c:pt>
                <c:pt idx="60">
                  <c:v>1873.7677000000001</c:v>
                </c:pt>
                <c:pt idx="61">
                  <c:v>1873.155518</c:v>
                </c:pt>
                <c:pt idx="62">
                  <c:v>1872.1134030000001</c:v>
                </c:pt>
                <c:pt idx="63">
                  <c:v>1871.8229980000001</c:v>
                </c:pt>
                <c:pt idx="64">
                  <c:v>1870.8823239999999</c:v>
                </c:pt>
                <c:pt idx="65">
                  <c:v>1870.4887699999999</c:v>
                </c:pt>
                <c:pt idx="66">
                  <c:v>1870.0623780000001</c:v>
                </c:pt>
                <c:pt idx="67">
                  <c:v>1868.557129</c:v>
                </c:pt>
                <c:pt idx="68">
                  <c:v>1868.2216800000001</c:v>
                </c:pt>
                <c:pt idx="69">
                  <c:v>1867.4354249999999</c:v>
                </c:pt>
                <c:pt idx="70">
                  <c:v>1866.32251</c:v>
                </c:pt>
                <c:pt idx="71">
                  <c:v>1865.4860839999999</c:v>
                </c:pt>
                <c:pt idx="72">
                  <c:v>1865.3522949999999</c:v>
                </c:pt>
                <c:pt idx="73">
                  <c:v>1864.740356</c:v>
                </c:pt>
                <c:pt idx="74">
                  <c:v>1863.384155</c:v>
                </c:pt>
                <c:pt idx="75">
                  <c:v>1862.9868160000001</c:v>
                </c:pt>
                <c:pt idx="76">
                  <c:v>1863.1636960000001</c:v>
                </c:pt>
                <c:pt idx="77">
                  <c:v>1863.2230219999999</c:v>
                </c:pt>
                <c:pt idx="78">
                  <c:v>1862.0142820000001</c:v>
                </c:pt>
                <c:pt idx="79">
                  <c:v>1861.2855219999999</c:v>
                </c:pt>
                <c:pt idx="80">
                  <c:v>1859.4345699999999</c:v>
                </c:pt>
                <c:pt idx="81">
                  <c:v>1858.4178469999999</c:v>
                </c:pt>
                <c:pt idx="82">
                  <c:v>1858.0820309999999</c:v>
                </c:pt>
                <c:pt idx="83">
                  <c:v>1856.8532709999999</c:v>
                </c:pt>
                <c:pt idx="84">
                  <c:v>1856.722168</c:v>
                </c:pt>
                <c:pt idx="85">
                  <c:v>1856.3869629999999</c:v>
                </c:pt>
                <c:pt idx="86">
                  <c:v>1856.5860600000001</c:v>
                </c:pt>
                <c:pt idx="87">
                  <c:v>1856.6990969999999</c:v>
                </c:pt>
                <c:pt idx="88">
                  <c:v>1857.650635</c:v>
                </c:pt>
                <c:pt idx="89">
                  <c:v>1857.7612300000001</c:v>
                </c:pt>
                <c:pt idx="90">
                  <c:v>1855.4147949999999</c:v>
                </c:pt>
                <c:pt idx="91">
                  <c:v>1853.4735109999999</c:v>
                </c:pt>
                <c:pt idx="92">
                  <c:v>1852.85022</c:v>
                </c:pt>
                <c:pt idx="93">
                  <c:v>1851.7646480000001</c:v>
                </c:pt>
                <c:pt idx="94">
                  <c:v>1850.9963379999999</c:v>
                </c:pt>
                <c:pt idx="95">
                  <c:v>1850.7673339999999</c:v>
                </c:pt>
                <c:pt idx="96">
                  <c:v>1849.1944579999999</c:v>
                </c:pt>
                <c:pt idx="97">
                  <c:v>1848.8798830000001</c:v>
                </c:pt>
                <c:pt idx="98">
                  <c:v>1849.1137699999999</c:v>
                </c:pt>
                <c:pt idx="99">
                  <c:v>1848.406616</c:v>
                </c:pt>
                <c:pt idx="100">
                  <c:v>1847.9025879999999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r>
                      <a:rPr lang="fr-CH" baseline="0"/>
                      <a:t/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</c:numCache>
            </c:numRef>
          </c:xVal>
          <c:yVal>
            <c:numRef>
              <c:f>PANI_1stPhase!$B$1:$B$196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PANI_1stPhase!$F$1:$F$101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PANI_1stPhase!$E$1:$E$101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PANI_1stPhase!$B$1:$B$101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>
        <c:manualLayout>
          <c:xMode val="edge"/>
          <c:yMode val="edge"/>
          <c:x val="0.3388193350831146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</c:numCache>
            </c:numRef>
          </c:xVal>
          <c:yVal>
            <c:numRef>
              <c:f>Cu_2ndPhase!$F$1:$F$193</c:f>
              <c:numCache>
                <c:formatCode>General</c:formatCode>
                <c:ptCount val="193"/>
                <c:pt idx="0">
                  <c:v>8.0755120117828181</c:v>
                </c:pt>
                <c:pt idx="1">
                  <c:v>8.0609829014162617</c:v>
                </c:pt>
                <c:pt idx="2">
                  <c:v>8.047445310584088</c:v>
                </c:pt>
                <c:pt idx="3">
                  <c:v>8.0388452356289513</c:v>
                </c:pt>
                <c:pt idx="4">
                  <c:v>8.0284780096309234</c:v>
                </c:pt>
                <c:pt idx="5">
                  <c:v>8.0203658131131288</c:v>
                </c:pt>
                <c:pt idx="6">
                  <c:v>8.0144350356099245</c:v>
                </c:pt>
                <c:pt idx="7">
                  <c:v>8.010278448509796</c:v>
                </c:pt>
                <c:pt idx="8">
                  <c:v>8.0056269778146145</c:v>
                </c:pt>
                <c:pt idx="9">
                  <c:v>7.9837527671790731</c:v>
                </c:pt>
                <c:pt idx="10">
                  <c:v>7.9728888793138806</c:v>
                </c:pt>
                <c:pt idx="11">
                  <c:v>7.9685650477719854</c:v>
                </c:pt>
                <c:pt idx="12">
                  <c:v>7.9627487138267199</c:v>
                </c:pt>
                <c:pt idx="13">
                  <c:v>7.9574421161298936</c:v>
                </c:pt>
                <c:pt idx="14">
                  <c:v>7.9562784034454728</c:v>
                </c:pt>
                <c:pt idx="15">
                  <c:v>7.9536169343161047</c:v>
                </c:pt>
                <c:pt idx="16">
                  <c:v>7.9506728108474309</c:v>
                </c:pt>
                <c:pt idx="17">
                  <c:v>7.9480250892000406</c:v>
                </c:pt>
                <c:pt idx="18">
                  <c:v>7.9449544524504248</c:v>
                </c:pt>
                <c:pt idx="19">
                  <c:v>7.9408882396482081</c:v>
                </c:pt>
                <c:pt idx="20">
                  <c:v>7.9374243077897608</c:v>
                </c:pt>
                <c:pt idx="21">
                  <c:v>7.9329670650270838</c:v>
                </c:pt>
                <c:pt idx="22">
                  <c:v>7.8576034637501113</c:v>
                </c:pt>
                <c:pt idx="23">
                  <c:v>7.8560183688071907</c:v>
                </c:pt>
                <c:pt idx="24">
                  <c:v>7.8540426535423977</c:v>
                </c:pt>
                <c:pt idx="25">
                  <c:v>7.8521414590338647</c:v>
                </c:pt>
                <c:pt idx="26">
                  <c:v>7.8508028976098414</c:v>
                </c:pt>
                <c:pt idx="27">
                  <c:v>7.8497886627916094</c:v>
                </c:pt>
                <c:pt idx="28">
                  <c:v>7.8481410744132099</c:v>
                </c:pt>
                <c:pt idx="29">
                  <c:v>7.8478665777643544</c:v>
                </c:pt>
                <c:pt idx="30">
                  <c:v>7.847105621751715</c:v>
                </c:pt>
                <c:pt idx="31">
                  <c:v>7.8457806513966872</c:v>
                </c:pt>
                <c:pt idx="32">
                  <c:v>7.8439665845298574</c:v>
                </c:pt>
                <c:pt idx="33">
                  <c:v>7.8426561383875688</c:v>
                </c:pt>
                <c:pt idx="34">
                  <c:v>7.8416494346173193</c:v>
                </c:pt>
                <c:pt idx="35">
                  <c:v>7.8400413265901046</c:v>
                </c:pt>
                <c:pt idx="36">
                  <c:v>7.8390115910283491</c:v>
                </c:pt>
                <c:pt idx="37">
                  <c:v>7.8375662112449644</c:v>
                </c:pt>
                <c:pt idx="38">
                  <c:v>7.8363843258282238</c:v>
                </c:pt>
                <c:pt idx="39">
                  <c:v>7.8361307039212127</c:v>
                </c:pt>
                <c:pt idx="40">
                  <c:v>7.8365568757918265</c:v>
                </c:pt>
                <c:pt idx="41">
                  <c:v>7.8359040389172749</c:v>
                </c:pt>
                <c:pt idx="42">
                  <c:v>7.8346947749758753</c:v>
                </c:pt>
                <c:pt idx="43">
                  <c:v>7.8338103909563443</c:v>
                </c:pt>
                <c:pt idx="44">
                  <c:v>7.8328467215453941</c:v>
                </c:pt>
                <c:pt idx="45">
                  <c:v>7.8322856047776792</c:v>
                </c:pt>
                <c:pt idx="46">
                  <c:v>7.8318926842362071</c:v>
                </c:pt>
                <c:pt idx="47">
                  <c:v>7.8315662952992282</c:v>
                </c:pt>
                <c:pt idx="48">
                  <c:v>7.8314621928708616</c:v>
                </c:pt>
                <c:pt idx="49">
                  <c:v>7.8306499380481744</c:v>
                </c:pt>
                <c:pt idx="50">
                  <c:v>7.8298316831294548</c:v>
                </c:pt>
                <c:pt idx="51">
                  <c:v>7.8293158898197941</c:v>
                </c:pt>
                <c:pt idx="52">
                  <c:v>7.8283348474343573</c:v>
                </c:pt>
                <c:pt idx="53">
                  <c:v>7.8281709874303074</c:v>
                </c:pt>
                <c:pt idx="54">
                  <c:v>7.826970928311666</c:v>
                </c:pt>
                <c:pt idx="55">
                  <c:v>7.8265384102468358</c:v>
                </c:pt>
                <c:pt idx="56">
                  <c:v>7.8264102059433727</c:v>
                </c:pt>
                <c:pt idx="57">
                  <c:v>7.8265033407465916</c:v>
                </c:pt>
                <c:pt idx="58">
                  <c:v>7.8250533157543245</c:v>
                </c:pt>
                <c:pt idx="59">
                  <c:v>7.8242950034550622</c:v>
                </c:pt>
                <c:pt idx="60">
                  <c:v>7.8241254996969705</c:v>
                </c:pt>
                <c:pt idx="61">
                  <c:v>7.8228054957354782</c:v>
                </c:pt>
                <c:pt idx="62">
                  <c:v>7.8221307992087485</c:v>
                </c:pt>
                <c:pt idx="63">
                  <c:v>7.8206565816252978</c:v>
                </c:pt>
                <c:pt idx="64">
                  <c:v>7.8205638808724958</c:v>
                </c:pt>
                <c:pt idx="65">
                  <c:v>7.8201526013644536</c:v>
                </c:pt>
                <c:pt idx="66">
                  <c:v>7.8201561306725766</c:v>
                </c:pt>
                <c:pt idx="67">
                  <c:v>7.8200332830219752</c:v>
                </c:pt>
                <c:pt idx="68">
                  <c:v>7.8184057202809294</c:v>
                </c:pt>
                <c:pt idx="69">
                  <c:v>7.8185241526194922</c:v>
                </c:pt>
                <c:pt idx="70">
                  <c:v>7.8174882275205864</c:v>
                </c:pt>
                <c:pt idx="71">
                  <c:v>7.8170111678710494</c:v>
                </c:pt>
                <c:pt idx="72">
                  <c:v>7.8160427810789166</c:v>
                </c:pt>
                <c:pt idx="73">
                  <c:v>7.8163954328751419</c:v>
                </c:pt>
                <c:pt idx="74">
                  <c:v>7.8146415758588645</c:v>
                </c:pt>
                <c:pt idx="75">
                  <c:v>7.8142931370192041</c:v>
                </c:pt>
                <c:pt idx="76">
                  <c:v>7.8133378077464819</c:v>
                </c:pt>
                <c:pt idx="77">
                  <c:v>7.813498096281533</c:v>
                </c:pt>
                <c:pt idx="78">
                  <c:v>7.8127941761182624</c:v>
                </c:pt>
                <c:pt idx="79">
                  <c:v>7.8122673435101246</c:v>
                </c:pt>
                <c:pt idx="80">
                  <c:v>7.809550935808522</c:v>
                </c:pt>
                <c:pt idx="81">
                  <c:v>7.8091864451326796</c:v>
                </c:pt>
                <c:pt idx="82">
                  <c:v>7.8092971544242085</c:v>
                </c:pt>
                <c:pt idx="83">
                  <c:v>7.8079069028628503</c:v>
                </c:pt>
                <c:pt idx="84">
                  <c:v>7.808504477654199</c:v>
                </c:pt>
                <c:pt idx="85">
                  <c:v>7.808104877466703</c:v>
                </c:pt>
                <c:pt idx="86">
                  <c:v>7.8051988097311353</c:v>
                </c:pt>
                <c:pt idx="87">
                  <c:v>7.8051352180454883</c:v>
                </c:pt>
                <c:pt idx="88">
                  <c:v>7.8050402709689832</c:v>
                </c:pt>
                <c:pt idx="89">
                  <c:v>7.805417717376165</c:v>
                </c:pt>
                <c:pt idx="90">
                  <c:v>7.8045116266917063</c:v>
                </c:pt>
                <c:pt idx="91">
                  <c:v>7.8047248108154124</c:v>
                </c:pt>
                <c:pt idx="92">
                  <c:v>7.8048576167043056</c:v>
                </c:pt>
                <c:pt idx="93">
                  <c:v>7.8039856921765391</c:v>
                </c:pt>
                <c:pt idx="94">
                  <c:v>7.8029648087956458</c:v>
                </c:pt>
                <c:pt idx="95">
                  <c:v>7.80347682619007</c:v>
                </c:pt>
                <c:pt idx="96">
                  <c:v>7.80321681182361</c:v>
                </c:pt>
                <c:pt idx="97">
                  <c:v>7.8016175545185602</c:v>
                </c:pt>
                <c:pt idx="98">
                  <c:v>7.8022321728951418</c:v>
                </c:pt>
                <c:pt idx="99">
                  <c:v>7.802149427291095</c:v>
                </c:pt>
                <c:pt idx="100">
                  <c:v>7.8006046463784022</c:v>
                </c:pt>
                <c:pt idx="101">
                  <c:v>7.8014096008117937</c:v>
                </c:pt>
                <c:pt idx="102">
                  <c:v>7.8007761843256347</c:v>
                </c:pt>
                <c:pt idx="103">
                  <c:v>7.7997631239768763</c:v>
                </c:pt>
                <c:pt idx="104">
                  <c:v>7.8000582476112479</c:v>
                </c:pt>
                <c:pt idx="105">
                  <c:v>7.7987550455886563</c:v>
                </c:pt>
                <c:pt idx="106">
                  <c:v>7.7984795742228714</c:v>
                </c:pt>
                <c:pt idx="107">
                  <c:v>7.7980971943921222</c:v>
                </c:pt>
                <c:pt idx="108">
                  <c:v>7.7971777227294172</c:v>
                </c:pt>
                <c:pt idx="109">
                  <c:v>7.7960649039506897</c:v>
                </c:pt>
                <c:pt idx="110">
                  <c:v>7.7962232650563372</c:v>
                </c:pt>
                <c:pt idx="111">
                  <c:v>7.7963790918186069</c:v>
                </c:pt>
                <c:pt idx="112">
                  <c:v>7.7962577059110156</c:v>
                </c:pt>
                <c:pt idx="113">
                  <c:v>7.7951232554140892</c:v>
                </c:pt>
                <c:pt idx="114">
                  <c:v>7.7954589421967047</c:v>
                </c:pt>
                <c:pt idx="115">
                  <c:v>7.7950766122303055</c:v>
                </c:pt>
                <c:pt idx="116">
                  <c:v>7.7951492900944261</c:v>
                </c:pt>
                <c:pt idx="117">
                  <c:v>7.7947269189659254</c:v>
                </c:pt>
                <c:pt idx="118">
                  <c:v>7.7928801062973383</c:v>
                </c:pt>
                <c:pt idx="119">
                  <c:v>7.7944443003582018</c:v>
                </c:pt>
                <c:pt idx="120">
                  <c:v>7.7928541131639868</c:v>
                </c:pt>
                <c:pt idx="121">
                  <c:v>7.7925600805958073</c:v>
                </c:pt>
                <c:pt idx="122">
                  <c:v>7.7922552752194463</c:v>
                </c:pt>
                <c:pt idx="123">
                  <c:v>7.7920343746475407</c:v>
                </c:pt>
                <c:pt idx="124">
                  <c:v>7.7918275450311345</c:v>
                </c:pt>
                <c:pt idx="125">
                  <c:v>7.7920405256134799</c:v>
                </c:pt>
                <c:pt idx="126">
                  <c:v>7.7910477418565733</c:v>
                </c:pt>
                <c:pt idx="127">
                  <c:v>7.7897285927201398</c:v>
                </c:pt>
                <c:pt idx="128">
                  <c:v>7.7900032515561115</c:v>
                </c:pt>
                <c:pt idx="129">
                  <c:v>7.7895906284653789</c:v>
                </c:pt>
                <c:pt idx="130">
                  <c:v>7.7895985126616853</c:v>
                </c:pt>
                <c:pt idx="131">
                  <c:v>7.7895460513427635</c:v>
                </c:pt>
                <c:pt idx="132">
                  <c:v>7.7902895523782218</c:v>
                </c:pt>
                <c:pt idx="133">
                  <c:v>7.7902361173247021</c:v>
                </c:pt>
                <c:pt idx="134">
                  <c:v>7.7886810031959195</c:v>
                </c:pt>
                <c:pt idx="135">
                  <c:v>7.7893138340311729</c:v>
                </c:pt>
                <c:pt idx="136">
                  <c:v>7.7887228877092758</c:v>
                </c:pt>
                <c:pt idx="137">
                  <c:v>7.788921257028969</c:v>
                </c:pt>
                <c:pt idx="138">
                  <c:v>7.7886052228881386</c:v>
                </c:pt>
                <c:pt idx="139">
                  <c:v>7.7880150721271111</c:v>
                </c:pt>
                <c:pt idx="140">
                  <c:v>7.7870189913007959</c:v>
                </c:pt>
                <c:pt idx="141">
                  <c:v>7.7880991983011478</c:v>
                </c:pt>
                <c:pt idx="142">
                  <c:v>7.7868512595117494</c:v>
                </c:pt>
                <c:pt idx="143">
                  <c:v>7.7875102680539303</c:v>
                </c:pt>
                <c:pt idx="144">
                  <c:v>7.7861183831954941</c:v>
                </c:pt>
                <c:pt idx="145">
                  <c:v>7.7860682750944488</c:v>
                </c:pt>
                <c:pt idx="146">
                  <c:v>7.786977238344968</c:v>
                </c:pt>
                <c:pt idx="147">
                  <c:v>7.7869767319158187</c:v>
                </c:pt>
                <c:pt idx="148">
                  <c:v>7.7863607744789514</c:v>
                </c:pt>
                <c:pt idx="149">
                  <c:v>7.7854438407018423</c:v>
                </c:pt>
                <c:pt idx="150">
                  <c:v>7.7853198003124389</c:v>
                </c:pt>
                <c:pt idx="151">
                  <c:v>7.7859681523318045</c:v>
                </c:pt>
                <c:pt idx="152">
                  <c:v>7.7852258970683694</c:v>
                </c:pt>
                <c:pt idx="153">
                  <c:v>7.7839685715859721</c:v>
                </c:pt>
                <c:pt idx="154">
                  <c:v>7.7838737277278733</c:v>
                </c:pt>
                <c:pt idx="155">
                  <c:v>7.7839556619514294</c:v>
                </c:pt>
                <c:pt idx="156">
                  <c:v>7.7849088957125998</c:v>
                </c:pt>
                <c:pt idx="157">
                  <c:v>7.7830770126148527</c:v>
                </c:pt>
                <c:pt idx="158">
                  <c:v>7.7832516851199189</c:v>
                </c:pt>
                <c:pt idx="159">
                  <c:v>7.7840514122829205</c:v>
                </c:pt>
                <c:pt idx="160">
                  <c:v>7.783903716953894</c:v>
                </c:pt>
                <c:pt idx="161">
                  <c:v>7.7827555637125716</c:v>
                </c:pt>
                <c:pt idx="162">
                  <c:v>7.7834236830679746</c:v>
                </c:pt>
                <c:pt idx="163">
                  <c:v>7.7820541022533556</c:v>
                </c:pt>
                <c:pt idx="164">
                  <c:v>7.7820054191479899</c:v>
                </c:pt>
                <c:pt idx="165">
                  <c:v>7.7817747040902416</c:v>
                </c:pt>
                <c:pt idx="166">
                  <c:v>7.782189444267531</c:v>
                </c:pt>
                <c:pt idx="167">
                  <c:v>7.7818252318263017</c:v>
                </c:pt>
                <c:pt idx="168">
                  <c:v>7.7814585429713308</c:v>
                </c:pt>
                <c:pt idx="169">
                  <c:v>7.7818023111920445</c:v>
                </c:pt>
                <c:pt idx="170">
                  <c:v>7.7814071814739867</c:v>
                </c:pt>
                <c:pt idx="171">
                  <c:v>7.7810484949378456</c:v>
                </c:pt>
                <c:pt idx="172">
                  <c:v>7.7815672696889058</c:v>
                </c:pt>
                <c:pt idx="173">
                  <c:v>7.7813049602919975</c:v>
                </c:pt>
                <c:pt idx="174">
                  <c:v>7.7801438173901447</c:v>
                </c:pt>
                <c:pt idx="175">
                  <c:v>7.7804952804703769</c:v>
                </c:pt>
                <c:pt idx="176">
                  <c:v>7.7809444016544216</c:v>
                </c:pt>
                <c:pt idx="177">
                  <c:v>7.7804995646356447</c:v>
                </c:pt>
                <c:pt idx="178">
                  <c:v>7.7795842830358053</c:v>
                </c:pt>
                <c:pt idx="179">
                  <c:v>7.7808272459585863</c:v>
                </c:pt>
                <c:pt idx="180">
                  <c:v>7.7795864270730544</c:v>
                </c:pt>
                <c:pt idx="181">
                  <c:v>7.7794482813782624</c:v>
                </c:pt>
                <c:pt idx="182">
                  <c:v>7.7805568885440675</c:v>
                </c:pt>
                <c:pt idx="183">
                  <c:v>7.7809103472834709</c:v>
                </c:pt>
                <c:pt idx="184">
                  <c:v>7.7853949165593823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  <c:max val="8.1"/>
          <c:min val="7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</c:numCache>
            </c:numRef>
          </c:xVal>
          <c:yVal>
            <c:numRef>
              <c:f>Cu_2ndPhase!$B$1:$B$196</c:f>
              <c:numCache>
                <c:formatCode>General</c:formatCode>
                <c:ptCount val="196"/>
                <c:pt idx="0">
                  <c:v>3214.7729490000002</c:v>
                </c:pt>
                <c:pt idx="1">
                  <c:v>3168.4028320000002</c:v>
                </c:pt>
                <c:pt idx="2">
                  <c:v>3125.7993160000001</c:v>
                </c:pt>
                <c:pt idx="3">
                  <c:v>3099.032471</c:v>
                </c:pt>
                <c:pt idx="4">
                  <c:v>3067.070068</c:v>
                </c:pt>
                <c:pt idx="5">
                  <c:v>3042.290039</c:v>
                </c:pt>
                <c:pt idx="6">
                  <c:v>3024.3002929999998</c:v>
                </c:pt>
                <c:pt idx="7">
                  <c:v>3011.755615</c:v>
                </c:pt>
                <c:pt idx="8">
                  <c:v>2997.7790530000002</c:v>
                </c:pt>
                <c:pt idx="9">
                  <c:v>2932.9169919999999</c:v>
                </c:pt>
                <c:pt idx="10">
                  <c:v>2901.2265630000002</c:v>
                </c:pt>
                <c:pt idx="11">
                  <c:v>2888.7092290000001</c:v>
                </c:pt>
                <c:pt idx="12">
                  <c:v>2871.9562989999999</c:v>
                </c:pt>
                <c:pt idx="13">
                  <c:v>2856.7563479999999</c:v>
                </c:pt>
                <c:pt idx="14">
                  <c:v>2853.4338379999999</c:v>
                </c:pt>
                <c:pt idx="15">
                  <c:v>2845.8496089999999</c:v>
                </c:pt>
                <c:pt idx="16">
                  <c:v>2837.4833979999999</c:v>
                </c:pt>
                <c:pt idx="17">
                  <c:v>2829.9804690000001</c:v>
                </c:pt>
                <c:pt idx="18">
                  <c:v>2821.3039549999999</c:v>
                </c:pt>
                <c:pt idx="19">
                  <c:v>2809.8552249999998</c:v>
                </c:pt>
                <c:pt idx="20">
                  <c:v>2800.1389159999999</c:v>
                </c:pt>
                <c:pt idx="21">
                  <c:v>2787.6857909999999</c:v>
                </c:pt>
                <c:pt idx="22">
                  <c:v>2585.3171390000002</c:v>
                </c:pt>
                <c:pt idx="23">
                  <c:v>2581.2224120000001</c:v>
                </c:pt>
                <c:pt idx="24">
                  <c:v>2576.1276859999998</c:v>
                </c:pt>
                <c:pt idx="25">
                  <c:v>2571.2346189999998</c:v>
                </c:pt>
                <c:pt idx="26">
                  <c:v>2567.7951659999999</c:v>
                </c:pt>
                <c:pt idx="27">
                  <c:v>2565.1921390000002</c:v>
                </c:pt>
                <c:pt idx="28">
                  <c:v>2560.9692380000001</c:v>
                </c:pt>
                <c:pt idx="29">
                  <c:v>2560.266357</c:v>
                </c:pt>
                <c:pt idx="30">
                  <c:v>2558.3188479999999</c:v>
                </c:pt>
                <c:pt idx="31">
                  <c:v>2554.9313959999999</c:v>
                </c:pt>
                <c:pt idx="32">
                  <c:v>2550.3007809999999</c:v>
                </c:pt>
                <c:pt idx="33">
                  <c:v>2546.9609380000002</c:v>
                </c:pt>
                <c:pt idx="34">
                  <c:v>2544.398193</c:v>
                </c:pt>
                <c:pt idx="35">
                  <c:v>2540.3098140000002</c:v>
                </c:pt>
                <c:pt idx="36">
                  <c:v>2537.6953130000002</c:v>
                </c:pt>
                <c:pt idx="37">
                  <c:v>2534.030029</c:v>
                </c:pt>
                <c:pt idx="38">
                  <c:v>2531.036865</c:v>
                </c:pt>
                <c:pt idx="39">
                  <c:v>2530.3950199999999</c:v>
                </c:pt>
                <c:pt idx="40">
                  <c:v>2531.4736330000001</c:v>
                </c:pt>
                <c:pt idx="41">
                  <c:v>2529.8215329999998</c:v>
                </c:pt>
                <c:pt idx="42">
                  <c:v>2526.7641600000002</c:v>
                </c:pt>
                <c:pt idx="43">
                  <c:v>2524.530518</c:v>
                </c:pt>
                <c:pt idx="44">
                  <c:v>2522.0988769999999</c:v>
                </c:pt>
                <c:pt idx="45">
                  <c:v>2520.6840820000002</c:v>
                </c:pt>
                <c:pt idx="46">
                  <c:v>2519.6938479999999</c:v>
                </c:pt>
                <c:pt idx="47">
                  <c:v>2518.8715820000002</c:v>
                </c:pt>
                <c:pt idx="48">
                  <c:v>2518.609375</c:v>
                </c:pt>
                <c:pt idx="49">
                  <c:v>2516.564453</c:v>
                </c:pt>
                <c:pt idx="50">
                  <c:v>2514.5061040000001</c:v>
                </c:pt>
                <c:pt idx="51">
                  <c:v>2513.2094729999999</c:v>
                </c:pt>
                <c:pt idx="52">
                  <c:v>2510.7451169999999</c:v>
                </c:pt>
                <c:pt idx="53">
                  <c:v>2510.33374</c:v>
                </c:pt>
                <c:pt idx="54">
                  <c:v>2507.3229980000001</c:v>
                </c:pt>
                <c:pt idx="55">
                  <c:v>2506.2387699999999</c:v>
                </c:pt>
                <c:pt idx="56">
                  <c:v>2505.9174800000001</c:v>
                </c:pt>
                <c:pt idx="57">
                  <c:v>2506.1508789999998</c:v>
                </c:pt>
                <c:pt idx="58">
                  <c:v>2502.5195309999999</c:v>
                </c:pt>
                <c:pt idx="59">
                  <c:v>2500.6225589999999</c:v>
                </c:pt>
                <c:pt idx="60">
                  <c:v>2500.1987300000001</c:v>
                </c:pt>
                <c:pt idx="61">
                  <c:v>2496.900635</c:v>
                </c:pt>
                <c:pt idx="62">
                  <c:v>2495.2165530000002</c:v>
                </c:pt>
                <c:pt idx="63">
                  <c:v>2491.5407709999999</c:v>
                </c:pt>
                <c:pt idx="64">
                  <c:v>2491.3098140000002</c:v>
                </c:pt>
                <c:pt idx="65">
                  <c:v>2490.2854000000002</c:v>
                </c:pt>
                <c:pt idx="66">
                  <c:v>2490.2941890000002</c:v>
                </c:pt>
                <c:pt idx="67">
                  <c:v>2489.9882809999999</c:v>
                </c:pt>
                <c:pt idx="68">
                  <c:v>2485.9389649999998</c:v>
                </c:pt>
                <c:pt idx="69">
                  <c:v>2486.2333979999999</c:v>
                </c:pt>
                <c:pt idx="70">
                  <c:v>2483.6591800000001</c:v>
                </c:pt>
                <c:pt idx="71">
                  <c:v>2482.4746089999999</c:v>
                </c:pt>
                <c:pt idx="72">
                  <c:v>2480.0717770000001</c:v>
                </c:pt>
                <c:pt idx="73">
                  <c:v>2480.9465329999998</c:v>
                </c:pt>
                <c:pt idx="74">
                  <c:v>2476.5991210000002</c:v>
                </c:pt>
                <c:pt idx="75">
                  <c:v>2475.736328</c:v>
                </c:pt>
                <c:pt idx="76">
                  <c:v>2473.3723140000002</c:v>
                </c:pt>
                <c:pt idx="77">
                  <c:v>2473.7687989999999</c:v>
                </c:pt>
                <c:pt idx="78">
                  <c:v>2472.0280760000001</c:v>
                </c:pt>
                <c:pt idx="79">
                  <c:v>2470.7260740000002</c:v>
                </c:pt>
                <c:pt idx="80">
                  <c:v>2464.023682</c:v>
                </c:pt>
                <c:pt idx="81">
                  <c:v>2463.125732</c:v>
                </c:pt>
                <c:pt idx="82">
                  <c:v>2463.3984380000002</c:v>
                </c:pt>
                <c:pt idx="83">
                  <c:v>2459.9760740000002</c:v>
                </c:pt>
                <c:pt idx="84">
                  <c:v>2461.4465329999998</c:v>
                </c:pt>
                <c:pt idx="85">
                  <c:v>2460.463135</c:v>
                </c:pt>
                <c:pt idx="86">
                  <c:v>2453.3232419999999</c:v>
                </c:pt>
                <c:pt idx="87">
                  <c:v>2453.1672359999998</c:v>
                </c:pt>
                <c:pt idx="88">
                  <c:v>2452.9343260000001</c:v>
                </c:pt>
                <c:pt idx="89">
                  <c:v>2453.8603520000001</c:v>
                </c:pt>
                <c:pt idx="90">
                  <c:v>2451.6379390000002</c:v>
                </c:pt>
                <c:pt idx="91">
                  <c:v>2452.1606449999999</c:v>
                </c:pt>
                <c:pt idx="92">
                  <c:v>2452.486328</c:v>
                </c:pt>
                <c:pt idx="93">
                  <c:v>2450.3488769999999</c:v>
                </c:pt>
                <c:pt idx="94">
                  <c:v>2447.8486330000001</c:v>
                </c:pt>
                <c:pt idx="95">
                  <c:v>2449.1022950000001</c:v>
                </c:pt>
                <c:pt idx="96">
                  <c:v>2448.4655760000001</c:v>
                </c:pt>
                <c:pt idx="97">
                  <c:v>2444.5529790000001</c:v>
                </c:pt>
                <c:pt idx="98">
                  <c:v>2446.0559079999998</c:v>
                </c:pt>
                <c:pt idx="99">
                  <c:v>2445.8535160000001</c:v>
                </c:pt>
                <c:pt idx="100">
                  <c:v>2442.078125</c:v>
                </c:pt>
                <c:pt idx="101">
                  <c:v>2444.0446780000002</c:v>
                </c:pt>
                <c:pt idx="102">
                  <c:v>2442.4970699999999</c:v>
                </c:pt>
                <c:pt idx="103">
                  <c:v>2440.0239259999998</c:v>
                </c:pt>
                <c:pt idx="104">
                  <c:v>2440.7441410000001</c:v>
                </c:pt>
                <c:pt idx="105">
                  <c:v>2437.5654300000001</c:v>
                </c:pt>
                <c:pt idx="106">
                  <c:v>2436.8940429999998</c:v>
                </c:pt>
                <c:pt idx="107">
                  <c:v>2435.9624020000001</c:v>
                </c:pt>
                <c:pt idx="108">
                  <c:v>2433.7236330000001</c:v>
                </c:pt>
                <c:pt idx="109">
                  <c:v>2431.016846</c:v>
                </c:pt>
                <c:pt idx="110">
                  <c:v>2431.4018550000001</c:v>
                </c:pt>
                <c:pt idx="111">
                  <c:v>2431.7807619999999</c:v>
                </c:pt>
                <c:pt idx="112">
                  <c:v>2431.485596</c:v>
                </c:pt>
                <c:pt idx="113">
                  <c:v>2428.72876</c:v>
                </c:pt>
                <c:pt idx="114">
                  <c:v>2429.5441890000002</c:v>
                </c:pt>
                <c:pt idx="115">
                  <c:v>2428.6154790000001</c:v>
                </c:pt>
                <c:pt idx="116">
                  <c:v>2428.7919919999999</c:v>
                </c:pt>
                <c:pt idx="117">
                  <c:v>2427.766357</c:v>
                </c:pt>
                <c:pt idx="118">
                  <c:v>2423.286865</c:v>
                </c:pt>
                <c:pt idx="119">
                  <c:v>2427.0803219999998</c:v>
                </c:pt>
                <c:pt idx="120">
                  <c:v>2423.2238769999999</c:v>
                </c:pt>
                <c:pt idx="121">
                  <c:v>2422.5114749999998</c:v>
                </c:pt>
                <c:pt idx="122">
                  <c:v>2421.773193</c:v>
                </c:pt>
                <c:pt idx="123">
                  <c:v>2421.2382809999999</c:v>
                </c:pt>
                <c:pt idx="124">
                  <c:v>2420.7375489999999</c:v>
                </c:pt>
                <c:pt idx="125">
                  <c:v>2421.2531739999999</c:v>
                </c:pt>
                <c:pt idx="126">
                  <c:v>2418.850586</c:v>
                </c:pt>
                <c:pt idx="127">
                  <c:v>2415.661865</c:v>
                </c:pt>
                <c:pt idx="128">
                  <c:v>2416.3254390000002</c:v>
                </c:pt>
                <c:pt idx="129">
                  <c:v>2415.3286130000001</c:v>
                </c:pt>
                <c:pt idx="130">
                  <c:v>2415.3476559999999</c:v>
                </c:pt>
                <c:pt idx="131">
                  <c:v>2415.2209469999998</c:v>
                </c:pt>
                <c:pt idx="132">
                  <c:v>2417.0173340000001</c:v>
                </c:pt>
                <c:pt idx="133">
                  <c:v>2416.8881839999999</c:v>
                </c:pt>
                <c:pt idx="134">
                  <c:v>2413.132568</c:v>
                </c:pt>
                <c:pt idx="135">
                  <c:v>2414.6601559999999</c:v>
                </c:pt>
                <c:pt idx="136">
                  <c:v>2413.233643</c:v>
                </c:pt>
                <c:pt idx="137">
                  <c:v>2413.7124020000001</c:v>
                </c:pt>
                <c:pt idx="138">
                  <c:v>2412.9497070000002</c:v>
                </c:pt>
                <c:pt idx="139">
                  <c:v>2411.5261230000001</c:v>
                </c:pt>
                <c:pt idx="140">
                  <c:v>2409.1252439999998</c:v>
                </c:pt>
                <c:pt idx="141">
                  <c:v>2411.7290039999998</c:v>
                </c:pt>
                <c:pt idx="142">
                  <c:v>2408.7211910000001</c:v>
                </c:pt>
                <c:pt idx="143">
                  <c:v>2410.3090820000002</c:v>
                </c:pt>
                <c:pt idx="144">
                  <c:v>2406.9565429999998</c:v>
                </c:pt>
                <c:pt idx="145">
                  <c:v>2406.8359380000002</c:v>
                </c:pt>
                <c:pt idx="146">
                  <c:v>2409.0246579999998</c:v>
                </c:pt>
                <c:pt idx="147">
                  <c:v>2409.0234380000002</c:v>
                </c:pt>
                <c:pt idx="148">
                  <c:v>2407.540039</c:v>
                </c:pt>
                <c:pt idx="149">
                  <c:v>2405.3334960000002</c:v>
                </c:pt>
                <c:pt idx="150">
                  <c:v>2405.0351559999999</c:v>
                </c:pt>
                <c:pt idx="151">
                  <c:v>2406.594971</c:v>
                </c:pt>
                <c:pt idx="152">
                  <c:v>2404.8093260000001</c:v>
                </c:pt>
                <c:pt idx="153">
                  <c:v>2401.7875979999999</c:v>
                </c:pt>
                <c:pt idx="154">
                  <c:v>2401.5598140000002</c:v>
                </c:pt>
                <c:pt idx="155">
                  <c:v>2401.7565920000002</c:v>
                </c:pt>
                <c:pt idx="156">
                  <c:v>2404.0471189999998</c:v>
                </c:pt>
                <c:pt idx="157">
                  <c:v>2399.6472170000002</c:v>
                </c:pt>
                <c:pt idx="158">
                  <c:v>2400.0664059999999</c:v>
                </c:pt>
                <c:pt idx="159">
                  <c:v>2401.9865719999998</c:v>
                </c:pt>
                <c:pt idx="160">
                  <c:v>2401.631836</c:v>
                </c:pt>
                <c:pt idx="161">
                  <c:v>2398.8759770000001</c:v>
                </c:pt>
                <c:pt idx="162">
                  <c:v>2400.4792480000001</c:v>
                </c:pt>
                <c:pt idx="163">
                  <c:v>2397.1938479999999</c:v>
                </c:pt>
                <c:pt idx="164">
                  <c:v>2397.0771479999999</c:v>
                </c:pt>
                <c:pt idx="165">
                  <c:v>2396.5241700000001</c:v>
                </c:pt>
                <c:pt idx="166">
                  <c:v>2397.5183109999998</c:v>
                </c:pt>
                <c:pt idx="167">
                  <c:v>2396.6452640000002</c:v>
                </c:pt>
                <c:pt idx="168">
                  <c:v>2395.7666020000001</c:v>
                </c:pt>
                <c:pt idx="169">
                  <c:v>2396.5903320000002</c:v>
                </c:pt>
                <c:pt idx="170">
                  <c:v>2395.6435550000001</c:v>
                </c:pt>
                <c:pt idx="171">
                  <c:v>2394.7844239999999</c:v>
                </c:pt>
                <c:pt idx="172">
                  <c:v>2396.0270999999998</c:v>
                </c:pt>
                <c:pt idx="173">
                  <c:v>2395.398682</c:v>
                </c:pt>
                <c:pt idx="174">
                  <c:v>2392.6188959999999</c:v>
                </c:pt>
                <c:pt idx="175">
                  <c:v>2393.459961</c:v>
                </c:pt>
                <c:pt idx="176">
                  <c:v>2394.5351559999999</c:v>
                </c:pt>
                <c:pt idx="177">
                  <c:v>2393.4702149999998</c:v>
                </c:pt>
                <c:pt idx="178">
                  <c:v>2391.280518</c:v>
                </c:pt>
                <c:pt idx="179">
                  <c:v>2394.2546390000002</c:v>
                </c:pt>
                <c:pt idx="180">
                  <c:v>2391.2856449999999</c:v>
                </c:pt>
                <c:pt idx="181">
                  <c:v>2390.9553219999998</c:v>
                </c:pt>
                <c:pt idx="182">
                  <c:v>2393.607422</c:v>
                </c:pt>
                <c:pt idx="183">
                  <c:v>2394.4536130000001</c:v>
                </c:pt>
                <c:pt idx="184">
                  <c:v>2405.2158199999999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Cu_2ndPhase!$F$1:$F$101</c:f>
              <c:numCache>
                <c:formatCode>General</c:formatCode>
                <c:ptCount val="101"/>
                <c:pt idx="0">
                  <c:v>8.0755120117828181</c:v>
                </c:pt>
                <c:pt idx="1">
                  <c:v>8.0609829014162617</c:v>
                </c:pt>
                <c:pt idx="2">
                  <c:v>8.047445310584088</c:v>
                </c:pt>
                <c:pt idx="3">
                  <c:v>8.0388452356289513</c:v>
                </c:pt>
                <c:pt idx="4">
                  <c:v>8.0284780096309234</c:v>
                </c:pt>
                <c:pt idx="5">
                  <c:v>8.0203658131131288</c:v>
                </c:pt>
                <c:pt idx="6">
                  <c:v>8.0144350356099245</c:v>
                </c:pt>
                <c:pt idx="7">
                  <c:v>8.010278448509796</c:v>
                </c:pt>
                <c:pt idx="8">
                  <c:v>8.0056269778146145</c:v>
                </c:pt>
                <c:pt idx="9">
                  <c:v>7.9837527671790731</c:v>
                </c:pt>
                <c:pt idx="10">
                  <c:v>7.9728888793138806</c:v>
                </c:pt>
                <c:pt idx="11">
                  <c:v>7.9685650477719854</c:v>
                </c:pt>
                <c:pt idx="12">
                  <c:v>7.9627487138267199</c:v>
                </c:pt>
                <c:pt idx="13">
                  <c:v>7.9574421161298936</c:v>
                </c:pt>
                <c:pt idx="14">
                  <c:v>7.9562784034454728</c:v>
                </c:pt>
                <c:pt idx="15">
                  <c:v>7.9536169343161047</c:v>
                </c:pt>
                <c:pt idx="16">
                  <c:v>7.9506728108474309</c:v>
                </c:pt>
                <c:pt idx="17">
                  <c:v>7.9480250892000406</c:v>
                </c:pt>
                <c:pt idx="18">
                  <c:v>7.9449544524504248</c:v>
                </c:pt>
                <c:pt idx="19">
                  <c:v>7.9408882396482081</c:v>
                </c:pt>
                <c:pt idx="20">
                  <c:v>7.9374243077897608</c:v>
                </c:pt>
                <c:pt idx="21">
                  <c:v>7.9329670650270838</c:v>
                </c:pt>
                <c:pt idx="22">
                  <c:v>7.8576034637501113</c:v>
                </c:pt>
                <c:pt idx="23">
                  <c:v>7.8560183688071907</c:v>
                </c:pt>
                <c:pt idx="24">
                  <c:v>7.8540426535423977</c:v>
                </c:pt>
                <c:pt idx="25">
                  <c:v>7.8521414590338647</c:v>
                </c:pt>
                <c:pt idx="26">
                  <c:v>7.8508028976098414</c:v>
                </c:pt>
                <c:pt idx="27">
                  <c:v>7.8497886627916094</c:v>
                </c:pt>
                <c:pt idx="28">
                  <c:v>7.8481410744132099</c:v>
                </c:pt>
                <c:pt idx="29">
                  <c:v>7.8478665777643544</c:v>
                </c:pt>
                <c:pt idx="30">
                  <c:v>7.847105621751715</c:v>
                </c:pt>
                <c:pt idx="31">
                  <c:v>7.8457806513966872</c:v>
                </c:pt>
                <c:pt idx="32">
                  <c:v>7.8439665845298574</c:v>
                </c:pt>
                <c:pt idx="33">
                  <c:v>7.8426561383875688</c:v>
                </c:pt>
                <c:pt idx="34">
                  <c:v>7.8416494346173193</c:v>
                </c:pt>
                <c:pt idx="35">
                  <c:v>7.8400413265901046</c:v>
                </c:pt>
                <c:pt idx="36">
                  <c:v>7.8390115910283491</c:v>
                </c:pt>
                <c:pt idx="37">
                  <c:v>7.8375662112449644</c:v>
                </c:pt>
                <c:pt idx="38">
                  <c:v>7.8363843258282238</c:v>
                </c:pt>
                <c:pt idx="39">
                  <c:v>7.8361307039212127</c:v>
                </c:pt>
                <c:pt idx="40">
                  <c:v>7.8365568757918265</c:v>
                </c:pt>
                <c:pt idx="41">
                  <c:v>7.8359040389172749</c:v>
                </c:pt>
                <c:pt idx="42">
                  <c:v>7.8346947749758753</c:v>
                </c:pt>
                <c:pt idx="43">
                  <c:v>7.8338103909563443</c:v>
                </c:pt>
                <c:pt idx="44">
                  <c:v>7.8328467215453941</c:v>
                </c:pt>
                <c:pt idx="45">
                  <c:v>7.8322856047776792</c:v>
                </c:pt>
                <c:pt idx="46">
                  <c:v>7.8318926842362071</c:v>
                </c:pt>
                <c:pt idx="47">
                  <c:v>7.8315662952992282</c:v>
                </c:pt>
                <c:pt idx="48">
                  <c:v>7.8314621928708616</c:v>
                </c:pt>
                <c:pt idx="49">
                  <c:v>7.8306499380481744</c:v>
                </c:pt>
                <c:pt idx="50">
                  <c:v>7.8298316831294548</c:v>
                </c:pt>
                <c:pt idx="51">
                  <c:v>7.8293158898197941</c:v>
                </c:pt>
                <c:pt idx="52">
                  <c:v>7.8283348474343573</c:v>
                </c:pt>
                <c:pt idx="53">
                  <c:v>7.8281709874303074</c:v>
                </c:pt>
                <c:pt idx="54">
                  <c:v>7.826970928311666</c:v>
                </c:pt>
                <c:pt idx="55">
                  <c:v>7.8265384102468358</c:v>
                </c:pt>
                <c:pt idx="56">
                  <c:v>7.8264102059433727</c:v>
                </c:pt>
                <c:pt idx="57">
                  <c:v>7.8265033407465916</c:v>
                </c:pt>
                <c:pt idx="58">
                  <c:v>7.8250533157543245</c:v>
                </c:pt>
                <c:pt idx="59">
                  <c:v>7.8242950034550622</c:v>
                </c:pt>
                <c:pt idx="60">
                  <c:v>7.8241254996969705</c:v>
                </c:pt>
                <c:pt idx="61">
                  <c:v>7.8228054957354782</c:v>
                </c:pt>
                <c:pt idx="62">
                  <c:v>7.8221307992087485</c:v>
                </c:pt>
                <c:pt idx="63">
                  <c:v>7.8206565816252978</c:v>
                </c:pt>
                <c:pt idx="64">
                  <c:v>7.8205638808724958</c:v>
                </c:pt>
                <c:pt idx="65">
                  <c:v>7.8201526013644536</c:v>
                </c:pt>
                <c:pt idx="66">
                  <c:v>7.8201561306725766</c:v>
                </c:pt>
                <c:pt idx="67">
                  <c:v>7.8200332830219752</c:v>
                </c:pt>
                <c:pt idx="68">
                  <c:v>7.8184057202809294</c:v>
                </c:pt>
                <c:pt idx="69">
                  <c:v>7.8185241526194922</c:v>
                </c:pt>
                <c:pt idx="70">
                  <c:v>7.8174882275205864</c:v>
                </c:pt>
                <c:pt idx="71">
                  <c:v>7.8170111678710494</c:v>
                </c:pt>
                <c:pt idx="72">
                  <c:v>7.8160427810789166</c:v>
                </c:pt>
                <c:pt idx="73">
                  <c:v>7.8163954328751419</c:v>
                </c:pt>
                <c:pt idx="74">
                  <c:v>7.8146415758588645</c:v>
                </c:pt>
                <c:pt idx="75">
                  <c:v>7.8142931370192041</c:v>
                </c:pt>
                <c:pt idx="76">
                  <c:v>7.8133378077464819</c:v>
                </c:pt>
                <c:pt idx="77">
                  <c:v>7.813498096281533</c:v>
                </c:pt>
                <c:pt idx="78">
                  <c:v>7.8127941761182624</c:v>
                </c:pt>
                <c:pt idx="79">
                  <c:v>7.8122673435101246</c:v>
                </c:pt>
                <c:pt idx="80">
                  <c:v>7.809550935808522</c:v>
                </c:pt>
                <c:pt idx="81">
                  <c:v>7.8091864451326796</c:v>
                </c:pt>
                <c:pt idx="82">
                  <c:v>7.8092971544242085</c:v>
                </c:pt>
                <c:pt idx="83">
                  <c:v>7.8079069028628503</c:v>
                </c:pt>
                <c:pt idx="84">
                  <c:v>7.808504477654199</c:v>
                </c:pt>
                <c:pt idx="85">
                  <c:v>7.808104877466703</c:v>
                </c:pt>
                <c:pt idx="86">
                  <c:v>7.8051988097311353</c:v>
                </c:pt>
                <c:pt idx="87">
                  <c:v>7.8051352180454883</c:v>
                </c:pt>
                <c:pt idx="88">
                  <c:v>7.8050402709689832</c:v>
                </c:pt>
                <c:pt idx="89">
                  <c:v>7.805417717376165</c:v>
                </c:pt>
                <c:pt idx="90">
                  <c:v>7.8045116266917063</c:v>
                </c:pt>
                <c:pt idx="91">
                  <c:v>7.8047248108154124</c:v>
                </c:pt>
                <c:pt idx="92">
                  <c:v>7.8048576167043056</c:v>
                </c:pt>
                <c:pt idx="93">
                  <c:v>7.8039856921765391</c:v>
                </c:pt>
                <c:pt idx="94">
                  <c:v>7.8029648087956458</c:v>
                </c:pt>
                <c:pt idx="95">
                  <c:v>7.80347682619007</c:v>
                </c:pt>
                <c:pt idx="96">
                  <c:v>7.80321681182361</c:v>
                </c:pt>
                <c:pt idx="97">
                  <c:v>7.8016175545185602</c:v>
                </c:pt>
                <c:pt idx="98">
                  <c:v>7.8022321728951418</c:v>
                </c:pt>
                <c:pt idx="99">
                  <c:v>7.802149427291095</c:v>
                </c:pt>
                <c:pt idx="100">
                  <c:v>7.8006046463784022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752448764414579"/>
                  <c:y val="3.34558180227471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Cu_2ndPhase!$B$1:$B$101</c:f>
              <c:numCache>
                <c:formatCode>General</c:formatCode>
                <c:ptCount val="101"/>
                <c:pt idx="0">
                  <c:v>3214.7729490000002</c:v>
                </c:pt>
                <c:pt idx="1">
                  <c:v>3168.4028320000002</c:v>
                </c:pt>
                <c:pt idx="2">
                  <c:v>3125.7993160000001</c:v>
                </c:pt>
                <c:pt idx="3">
                  <c:v>3099.032471</c:v>
                </c:pt>
                <c:pt idx="4">
                  <c:v>3067.070068</c:v>
                </c:pt>
                <c:pt idx="5">
                  <c:v>3042.290039</c:v>
                </c:pt>
                <c:pt idx="6">
                  <c:v>3024.3002929999998</c:v>
                </c:pt>
                <c:pt idx="7">
                  <c:v>3011.755615</c:v>
                </c:pt>
                <c:pt idx="8">
                  <c:v>2997.7790530000002</c:v>
                </c:pt>
                <c:pt idx="9">
                  <c:v>2932.9169919999999</c:v>
                </c:pt>
                <c:pt idx="10">
                  <c:v>2901.2265630000002</c:v>
                </c:pt>
                <c:pt idx="11">
                  <c:v>2888.7092290000001</c:v>
                </c:pt>
                <c:pt idx="12">
                  <c:v>2871.9562989999999</c:v>
                </c:pt>
                <c:pt idx="13">
                  <c:v>2856.7563479999999</c:v>
                </c:pt>
                <c:pt idx="14">
                  <c:v>2853.4338379999999</c:v>
                </c:pt>
                <c:pt idx="15">
                  <c:v>2845.8496089999999</c:v>
                </c:pt>
                <c:pt idx="16">
                  <c:v>2837.4833979999999</c:v>
                </c:pt>
                <c:pt idx="17">
                  <c:v>2829.9804690000001</c:v>
                </c:pt>
                <c:pt idx="18">
                  <c:v>2821.3039549999999</c:v>
                </c:pt>
                <c:pt idx="19">
                  <c:v>2809.8552249999998</c:v>
                </c:pt>
                <c:pt idx="20">
                  <c:v>2800.1389159999999</c:v>
                </c:pt>
                <c:pt idx="21">
                  <c:v>2787.6857909999999</c:v>
                </c:pt>
                <c:pt idx="22">
                  <c:v>2585.3171390000002</c:v>
                </c:pt>
                <c:pt idx="23">
                  <c:v>2581.2224120000001</c:v>
                </c:pt>
                <c:pt idx="24">
                  <c:v>2576.1276859999998</c:v>
                </c:pt>
                <c:pt idx="25">
                  <c:v>2571.2346189999998</c:v>
                </c:pt>
                <c:pt idx="26">
                  <c:v>2567.7951659999999</c:v>
                </c:pt>
                <c:pt idx="27">
                  <c:v>2565.1921390000002</c:v>
                </c:pt>
                <c:pt idx="28">
                  <c:v>2560.9692380000001</c:v>
                </c:pt>
                <c:pt idx="29">
                  <c:v>2560.266357</c:v>
                </c:pt>
                <c:pt idx="30">
                  <c:v>2558.3188479999999</c:v>
                </c:pt>
                <c:pt idx="31">
                  <c:v>2554.9313959999999</c:v>
                </c:pt>
                <c:pt idx="32">
                  <c:v>2550.3007809999999</c:v>
                </c:pt>
                <c:pt idx="33">
                  <c:v>2546.9609380000002</c:v>
                </c:pt>
                <c:pt idx="34">
                  <c:v>2544.398193</c:v>
                </c:pt>
                <c:pt idx="35">
                  <c:v>2540.3098140000002</c:v>
                </c:pt>
                <c:pt idx="36">
                  <c:v>2537.6953130000002</c:v>
                </c:pt>
                <c:pt idx="37">
                  <c:v>2534.030029</c:v>
                </c:pt>
                <c:pt idx="38">
                  <c:v>2531.036865</c:v>
                </c:pt>
                <c:pt idx="39">
                  <c:v>2530.3950199999999</c:v>
                </c:pt>
                <c:pt idx="40">
                  <c:v>2531.4736330000001</c:v>
                </c:pt>
                <c:pt idx="41">
                  <c:v>2529.8215329999998</c:v>
                </c:pt>
                <c:pt idx="42">
                  <c:v>2526.7641600000002</c:v>
                </c:pt>
                <c:pt idx="43">
                  <c:v>2524.530518</c:v>
                </c:pt>
                <c:pt idx="44">
                  <c:v>2522.0988769999999</c:v>
                </c:pt>
                <c:pt idx="45">
                  <c:v>2520.6840820000002</c:v>
                </c:pt>
                <c:pt idx="46">
                  <c:v>2519.6938479999999</c:v>
                </c:pt>
                <c:pt idx="47">
                  <c:v>2518.8715820000002</c:v>
                </c:pt>
                <c:pt idx="48">
                  <c:v>2518.609375</c:v>
                </c:pt>
                <c:pt idx="49">
                  <c:v>2516.564453</c:v>
                </c:pt>
                <c:pt idx="50">
                  <c:v>2514.5061040000001</c:v>
                </c:pt>
                <c:pt idx="51">
                  <c:v>2513.2094729999999</c:v>
                </c:pt>
                <c:pt idx="52">
                  <c:v>2510.7451169999999</c:v>
                </c:pt>
                <c:pt idx="53">
                  <c:v>2510.33374</c:v>
                </c:pt>
                <c:pt idx="54">
                  <c:v>2507.3229980000001</c:v>
                </c:pt>
                <c:pt idx="55">
                  <c:v>2506.2387699999999</c:v>
                </c:pt>
                <c:pt idx="56">
                  <c:v>2505.9174800000001</c:v>
                </c:pt>
                <c:pt idx="57">
                  <c:v>2506.1508789999998</c:v>
                </c:pt>
                <c:pt idx="58">
                  <c:v>2502.5195309999999</c:v>
                </c:pt>
                <c:pt idx="59">
                  <c:v>2500.6225589999999</c:v>
                </c:pt>
                <c:pt idx="60">
                  <c:v>2500.1987300000001</c:v>
                </c:pt>
                <c:pt idx="61">
                  <c:v>2496.900635</c:v>
                </c:pt>
                <c:pt idx="62">
                  <c:v>2495.2165530000002</c:v>
                </c:pt>
                <c:pt idx="63">
                  <c:v>2491.5407709999999</c:v>
                </c:pt>
                <c:pt idx="64">
                  <c:v>2491.3098140000002</c:v>
                </c:pt>
                <c:pt idx="65">
                  <c:v>2490.2854000000002</c:v>
                </c:pt>
                <c:pt idx="66">
                  <c:v>2490.2941890000002</c:v>
                </c:pt>
                <c:pt idx="67">
                  <c:v>2489.9882809999999</c:v>
                </c:pt>
                <c:pt idx="68">
                  <c:v>2485.9389649999998</c:v>
                </c:pt>
                <c:pt idx="69">
                  <c:v>2486.2333979999999</c:v>
                </c:pt>
                <c:pt idx="70">
                  <c:v>2483.6591800000001</c:v>
                </c:pt>
                <c:pt idx="71">
                  <c:v>2482.4746089999999</c:v>
                </c:pt>
                <c:pt idx="72">
                  <c:v>2480.0717770000001</c:v>
                </c:pt>
                <c:pt idx="73">
                  <c:v>2480.9465329999998</c:v>
                </c:pt>
                <c:pt idx="74">
                  <c:v>2476.5991210000002</c:v>
                </c:pt>
                <c:pt idx="75">
                  <c:v>2475.736328</c:v>
                </c:pt>
                <c:pt idx="76">
                  <c:v>2473.3723140000002</c:v>
                </c:pt>
                <c:pt idx="77">
                  <c:v>2473.7687989999999</c:v>
                </c:pt>
                <c:pt idx="78">
                  <c:v>2472.0280760000001</c:v>
                </c:pt>
                <c:pt idx="79">
                  <c:v>2470.7260740000002</c:v>
                </c:pt>
                <c:pt idx="80">
                  <c:v>2464.023682</c:v>
                </c:pt>
                <c:pt idx="81">
                  <c:v>2463.125732</c:v>
                </c:pt>
                <c:pt idx="82">
                  <c:v>2463.3984380000002</c:v>
                </c:pt>
                <c:pt idx="83">
                  <c:v>2459.9760740000002</c:v>
                </c:pt>
                <c:pt idx="84">
                  <c:v>2461.4465329999998</c:v>
                </c:pt>
                <c:pt idx="85">
                  <c:v>2460.463135</c:v>
                </c:pt>
                <c:pt idx="86">
                  <c:v>2453.3232419999999</c:v>
                </c:pt>
                <c:pt idx="87">
                  <c:v>2453.1672359999998</c:v>
                </c:pt>
                <c:pt idx="88">
                  <c:v>2452.9343260000001</c:v>
                </c:pt>
                <c:pt idx="89">
                  <c:v>2453.8603520000001</c:v>
                </c:pt>
                <c:pt idx="90">
                  <c:v>2451.6379390000002</c:v>
                </c:pt>
                <c:pt idx="91">
                  <c:v>2452.1606449999999</c:v>
                </c:pt>
                <c:pt idx="92">
                  <c:v>2452.486328</c:v>
                </c:pt>
                <c:pt idx="93">
                  <c:v>2450.3488769999999</c:v>
                </c:pt>
                <c:pt idx="94">
                  <c:v>2447.8486330000001</c:v>
                </c:pt>
                <c:pt idx="95">
                  <c:v>2449.1022950000001</c:v>
                </c:pt>
                <c:pt idx="96">
                  <c:v>2448.4655760000001</c:v>
                </c:pt>
                <c:pt idx="97">
                  <c:v>2444.5529790000001</c:v>
                </c:pt>
                <c:pt idx="98">
                  <c:v>2446.0559079999998</c:v>
                </c:pt>
                <c:pt idx="99">
                  <c:v>2445.8535160000001</c:v>
                </c:pt>
                <c:pt idx="100">
                  <c:v>2442.078125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</c:numCache>
            </c:numRef>
          </c:xVal>
          <c:yVal>
            <c:numRef>
              <c:f>PANI_2ndPhase!$B$1:$B$196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PANI_2ndPhase!$F$1:$F$101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0 - 1000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PANI_2ndPhase!$E$1:$E$101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PANI_2ndPhase!$B$1:$B$101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Cu_3rdPhase!$E$1:$E$196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Cu_3rdPhase!$B$1:$B$196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PANI_3rdPhase!$F$1:$F$193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PANI_3rdPhase!$E$1:$E$196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</c:numCache>
            </c:numRef>
          </c:xVal>
          <c:yVal>
            <c:numRef>
              <c:f>PANI_3rdPhase!$B$1:$B$196</c:f>
              <c:numCache>
                <c:formatCode>General</c:formatCode>
                <c:ptCount val="19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77010</xdr:rowOff>
    </xdr:from>
    <xdr:to>
      <xdr:col>12</xdr:col>
      <xdr:colOff>561975</xdr:colOff>
      <xdr:row>33</xdr:row>
      <xdr:rowOff>152631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5</xdr:row>
      <xdr:rowOff>0</xdr:rowOff>
    </xdr:from>
    <xdr:to>
      <xdr:col>18</xdr:col>
      <xdr:colOff>198905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552682</xdr:colOff>
      <xdr:row>19</xdr:row>
      <xdr:rowOff>76432</xdr:rowOff>
    </xdr:from>
    <xdr:to>
      <xdr:col>18</xdr:col>
      <xdr:colOff>199137</xdr:colOff>
      <xdr:row>33</xdr:row>
      <xdr:rowOff>152632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866</xdr:colOff>
      <xdr:row>19</xdr:row>
      <xdr:rowOff>77066</xdr:rowOff>
    </xdr:from>
    <xdr:to>
      <xdr:col>13</xdr:col>
      <xdr:colOff>250758</xdr:colOff>
      <xdr:row>33</xdr:row>
      <xdr:rowOff>153266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760639</xdr:colOff>
      <xdr:row>19</xdr:row>
      <xdr:rowOff>69396</xdr:rowOff>
    </xdr:from>
    <xdr:to>
      <xdr:col>12</xdr:col>
      <xdr:colOff>551089</xdr:colOff>
      <xdr:row>33</xdr:row>
      <xdr:rowOff>145596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549729</xdr:colOff>
      <xdr:row>4</xdr:row>
      <xdr:rowOff>185057</xdr:rowOff>
    </xdr:from>
    <xdr:to>
      <xdr:col>18</xdr:col>
      <xdr:colOff>194823</xdr:colOff>
      <xdr:row>19</xdr:row>
      <xdr:rowOff>70757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548368</xdr:colOff>
      <xdr:row>19</xdr:row>
      <xdr:rowOff>69396</xdr:rowOff>
    </xdr:from>
    <xdr:to>
      <xdr:col>18</xdr:col>
      <xdr:colOff>193462</xdr:colOff>
      <xdr:row>33</xdr:row>
      <xdr:rowOff>145596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761499</xdr:colOff>
      <xdr:row>19</xdr:row>
      <xdr:rowOff>75698</xdr:rowOff>
    </xdr:from>
    <xdr:to>
      <xdr:col>13</xdr:col>
      <xdr:colOff>249391</xdr:colOff>
      <xdr:row>33</xdr:row>
      <xdr:rowOff>151898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4329</xdr:colOff>
      <xdr:row>5</xdr:row>
      <xdr:rowOff>4330</xdr:rowOff>
    </xdr:from>
    <xdr:to>
      <xdr:col>12</xdr:col>
      <xdr:colOff>556779</xdr:colOff>
      <xdr:row>19</xdr:row>
      <xdr:rowOff>80530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757670</xdr:colOff>
      <xdr:row>19</xdr:row>
      <xdr:rowOff>71871</xdr:rowOff>
    </xdr:from>
    <xdr:to>
      <xdr:col>12</xdr:col>
      <xdr:colOff>548120</xdr:colOff>
      <xdr:row>33</xdr:row>
      <xdr:rowOff>148071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2956</xdr:colOff>
      <xdr:row>19</xdr:row>
      <xdr:rowOff>79156</xdr:rowOff>
    </xdr:from>
    <xdr:to>
      <xdr:col>13</xdr:col>
      <xdr:colOff>252848</xdr:colOff>
      <xdr:row>33</xdr:row>
      <xdr:rowOff>155356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topLeftCell="C1" zoomScale="85" zoomScaleNormal="85" workbookViewId="0">
      <selection activeCell="J3" sqref="J3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1.5703125" bestFit="1" customWidth="1"/>
    <col min="14" max="14" width="16.7109375" bestFit="1" customWidth="1"/>
  </cols>
  <sheetData>
    <row r="1" spans="1:11" x14ac:dyDescent="0.25">
      <c r="A1">
        <v>1000</v>
      </c>
      <c r="B1">
        <v>1969.9267580000001</v>
      </c>
      <c r="C1">
        <v>-15.393017</v>
      </c>
      <c r="D1" t="s">
        <v>6</v>
      </c>
      <c r="E1">
        <v>0</v>
      </c>
      <c r="F1">
        <f t="shared" ref="F1:F32" si="0">LN(B1)</f>
        <v>7.5857516423606866</v>
      </c>
      <c r="I1" s="1" t="s">
        <v>0</v>
      </c>
      <c r="J1" s="1" t="s">
        <v>5</v>
      </c>
    </row>
    <row r="2" spans="1:11" x14ac:dyDescent="0.25">
      <c r="A2">
        <v>1000</v>
      </c>
      <c r="B2">
        <v>1965.417725</v>
      </c>
      <c r="C2">
        <v>-15.417674</v>
      </c>
      <c r="D2" t="s">
        <v>7</v>
      </c>
      <c r="E2">
        <v>10</v>
      </c>
      <c r="F2">
        <f t="shared" si="0"/>
        <v>7.5834600844080633</v>
      </c>
      <c r="H2" t="s">
        <v>1</v>
      </c>
      <c r="I2">
        <f>1/(0.00005)</f>
        <v>20000</v>
      </c>
      <c r="J2">
        <f>1/(0.00006)</f>
        <v>16666.666666666668</v>
      </c>
      <c r="K2" s="3" t="s">
        <v>2</v>
      </c>
    </row>
    <row r="3" spans="1:11" x14ac:dyDescent="0.25">
      <c r="A3">
        <v>1000</v>
      </c>
      <c r="B3">
        <v>1969.028564</v>
      </c>
      <c r="C3">
        <v>-15.458313</v>
      </c>
      <c r="D3" t="s">
        <v>8</v>
      </c>
      <c r="E3">
        <v>20</v>
      </c>
      <c r="F3">
        <f t="shared" si="0"/>
        <v>7.585295585390174</v>
      </c>
      <c r="I3">
        <f>I2/60</f>
        <v>333.33333333333331</v>
      </c>
      <c r="J3">
        <f>J2/60</f>
        <v>277.77777777777777</v>
      </c>
      <c r="K3" s="3" t="s">
        <v>3</v>
      </c>
    </row>
    <row r="4" spans="1:11" x14ac:dyDescent="0.25">
      <c r="A4">
        <v>1000</v>
      </c>
      <c r="B4">
        <v>1966.4195560000001</v>
      </c>
      <c r="C4">
        <v>-15.384124999999999</v>
      </c>
      <c r="D4" t="s">
        <v>9</v>
      </c>
      <c r="E4">
        <v>30</v>
      </c>
      <c r="F4">
        <f t="shared" si="0"/>
        <v>7.5839696838396167</v>
      </c>
      <c r="I4">
        <f>I3/60</f>
        <v>5.5555555555555554</v>
      </c>
      <c r="J4">
        <f>J3/60</f>
        <v>4.6296296296296298</v>
      </c>
      <c r="K4" s="3" t="s">
        <v>4</v>
      </c>
    </row>
    <row r="5" spans="1:11" x14ac:dyDescent="0.25">
      <c r="A5">
        <v>1000</v>
      </c>
      <c r="B5">
        <v>1961.7052000000001</v>
      </c>
      <c r="C5">
        <v>-15.230157999999999</v>
      </c>
      <c r="D5" t="s">
        <v>10</v>
      </c>
      <c r="E5">
        <v>40</v>
      </c>
      <c r="F5">
        <f t="shared" si="0"/>
        <v>7.5815693739939212</v>
      </c>
    </row>
    <row r="6" spans="1:11" x14ac:dyDescent="0.25">
      <c r="A6">
        <v>1000</v>
      </c>
      <c r="B6">
        <v>1959.460327</v>
      </c>
      <c r="C6">
        <v>-15.203533999999999</v>
      </c>
      <c r="D6" t="s">
        <v>11</v>
      </c>
      <c r="E6">
        <v>50</v>
      </c>
      <c r="F6">
        <f t="shared" si="0"/>
        <v>7.5804243709432715</v>
      </c>
    </row>
    <row r="7" spans="1:11" x14ac:dyDescent="0.25">
      <c r="A7">
        <v>1000</v>
      </c>
      <c r="B7">
        <v>1957.979004</v>
      </c>
      <c r="C7">
        <v>-15.198111000000001</v>
      </c>
      <c r="D7" t="s">
        <v>12</v>
      </c>
      <c r="E7">
        <v>60</v>
      </c>
      <c r="F7">
        <f t="shared" si="0"/>
        <v>7.5796680998460362</v>
      </c>
    </row>
    <row r="8" spans="1:11" x14ac:dyDescent="0.25">
      <c r="A8">
        <v>1000</v>
      </c>
      <c r="B8">
        <v>1951.459351</v>
      </c>
      <c r="C8">
        <v>-14.931378</v>
      </c>
      <c r="D8" t="s">
        <v>13</v>
      </c>
      <c r="E8">
        <v>70</v>
      </c>
      <c r="F8">
        <f t="shared" si="0"/>
        <v>7.5763327567854875</v>
      </c>
    </row>
    <row r="9" spans="1:11" x14ac:dyDescent="0.25">
      <c r="A9">
        <v>1000</v>
      </c>
      <c r="B9">
        <v>1949.080933</v>
      </c>
      <c r="C9">
        <v>-14.843145</v>
      </c>
      <c r="D9" t="s">
        <v>14</v>
      </c>
      <c r="E9">
        <v>80</v>
      </c>
      <c r="F9">
        <f t="shared" si="0"/>
        <v>7.5751132240430454</v>
      </c>
    </row>
    <row r="10" spans="1:11" x14ac:dyDescent="0.25">
      <c r="A10">
        <v>1000</v>
      </c>
      <c r="B10">
        <v>1945.971313</v>
      </c>
      <c r="C10">
        <v>-14.749573</v>
      </c>
      <c r="D10" t="s">
        <v>15</v>
      </c>
      <c r="E10">
        <v>90</v>
      </c>
      <c r="F10">
        <f t="shared" si="0"/>
        <v>7.5735165211162245</v>
      </c>
    </row>
    <row r="11" spans="1:11" x14ac:dyDescent="0.25">
      <c r="A11">
        <v>1000</v>
      </c>
      <c r="B11">
        <v>1944.219482</v>
      </c>
      <c r="C11">
        <v>-14.711105</v>
      </c>
      <c r="D11" t="s">
        <v>16</v>
      </c>
      <c r="E11">
        <v>100</v>
      </c>
      <c r="F11">
        <f t="shared" si="0"/>
        <v>7.572615880910778</v>
      </c>
    </row>
    <row r="12" spans="1:11" x14ac:dyDescent="0.25">
      <c r="A12">
        <v>1000</v>
      </c>
      <c r="B12">
        <v>1941.849731</v>
      </c>
      <c r="C12">
        <v>-14.588037</v>
      </c>
      <c r="D12" t="s">
        <v>17</v>
      </c>
      <c r="E12">
        <v>110</v>
      </c>
      <c r="F12">
        <f t="shared" si="0"/>
        <v>7.5713962673816031</v>
      </c>
    </row>
    <row r="13" spans="1:11" x14ac:dyDescent="0.25">
      <c r="A13">
        <v>1000</v>
      </c>
      <c r="B13">
        <v>1938.5058590000001</v>
      </c>
      <c r="C13">
        <v>-14.456011</v>
      </c>
      <c r="D13" t="s">
        <v>18</v>
      </c>
      <c r="E13">
        <v>120</v>
      </c>
      <c r="F13">
        <f t="shared" si="0"/>
        <v>7.5696727795464476</v>
      </c>
    </row>
    <row r="14" spans="1:11" x14ac:dyDescent="0.25">
      <c r="A14">
        <v>1000</v>
      </c>
      <c r="B14">
        <v>1936.5196530000001</v>
      </c>
      <c r="C14">
        <v>-14.357041000000001</v>
      </c>
      <c r="D14" t="s">
        <v>19</v>
      </c>
      <c r="E14">
        <v>130</v>
      </c>
      <c r="F14">
        <f t="shared" si="0"/>
        <v>7.5686476476252302</v>
      </c>
    </row>
    <row r="15" spans="1:11" x14ac:dyDescent="0.25">
      <c r="A15">
        <v>1000</v>
      </c>
      <c r="B15">
        <v>1934.3238530000001</v>
      </c>
      <c r="C15">
        <v>-14.263674</v>
      </c>
      <c r="D15" t="s">
        <v>20</v>
      </c>
      <c r="E15">
        <v>140</v>
      </c>
      <c r="F15">
        <f t="shared" si="0"/>
        <v>7.5675131144248429</v>
      </c>
    </row>
    <row r="16" spans="1:11" x14ac:dyDescent="0.25">
      <c r="A16">
        <v>1000</v>
      </c>
      <c r="B16">
        <v>1932.253784</v>
      </c>
      <c r="C16">
        <v>-14.208949</v>
      </c>
      <c r="D16" t="s">
        <v>21</v>
      </c>
      <c r="E16">
        <v>150</v>
      </c>
      <c r="F16">
        <f t="shared" si="0"/>
        <v>7.5664423643237875</v>
      </c>
    </row>
    <row r="17" spans="1:6" x14ac:dyDescent="0.25">
      <c r="A17">
        <v>1000</v>
      </c>
      <c r="B17">
        <v>1929.200317</v>
      </c>
      <c r="C17">
        <v>-14.119761</v>
      </c>
      <c r="D17" t="s">
        <v>22</v>
      </c>
      <c r="E17">
        <v>160</v>
      </c>
      <c r="F17">
        <f t="shared" si="0"/>
        <v>7.564860852511619</v>
      </c>
    </row>
    <row r="18" spans="1:6" x14ac:dyDescent="0.25">
      <c r="A18">
        <v>1000</v>
      </c>
      <c r="B18">
        <v>1928.6429439999999</v>
      </c>
      <c r="C18">
        <v>-14.062333000000001</v>
      </c>
      <c r="D18" t="s">
        <v>23</v>
      </c>
      <c r="E18">
        <v>170</v>
      </c>
      <c r="F18">
        <f t="shared" si="0"/>
        <v>7.5645718967577587</v>
      </c>
    </row>
    <row r="19" spans="1:6" x14ac:dyDescent="0.25">
      <c r="A19">
        <v>1000</v>
      </c>
      <c r="B19">
        <v>1926.4149170000001</v>
      </c>
      <c r="C19">
        <v>-13.980658</v>
      </c>
      <c r="D19" t="s">
        <v>24</v>
      </c>
      <c r="E19">
        <v>180</v>
      </c>
      <c r="F19">
        <f t="shared" si="0"/>
        <v>7.5634159985438236</v>
      </c>
    </row>
    <row r="20" spans="1:6" x14ac:dyDescent="0.25">
      <c r="A20">
        <v>1000</v>
      </c>
      <c r="B20">
        <v>1924.5977780000001</v>
      </c>
      <c r="C20">
        <v>-13.923420999999999</v>
      </c>
      <c r="D20" t="s">
        <v>25</v>
      </c>
      <c r="E20">
        <v>190</v>
      </c>
      <c r="F20">
        <f t="shared" si="0"/>
        <v>7.5624722783960179</v>
      </c>
    </row>
    <row r="21" spans="1:6" x14ac:dyDescent="0.25">
      <c r="A21">
        <v>1000</v>
      </c>
      <c r="B21">
        <v>1923.4522710000001</v>
      </c>
      <c r="C21">
        <v>-13.863956999999999</v>
      </c>
      <c r="D21" t="s">
        <v>26</v>
      </c>
      <c r="E21">
        <v>200</v>
      </c>
      <c r="F21">
        <f t="shared" si="0"/>
        <v>7.5618769082634838</v>
      </c>
    </row>
    <row r="22" spans="1:6" x14ac:dyDescent="0.25">
      <c r="A22">
        <v>1000</v>
      </c>
      <c r="B22">
        <v>1921.4785159999999</v>
      </c>
      <c r="C22">
        <v>-13.78862</v>
      </c>
      <c r="D22" t="s">
        <v>27</v>
      </c>
      <c r="E22">
        <v>210</v>
      </c>
      <c r="F22">
        <f t="shared" si="0"/>
        <v>7.5608502290940969</v>
      </c>
    </row>
    <row r="23" spans="1:6" x14ac:dyDescent="0.25">
      <c r="A23">
        <v>1000</v>
      </c>
      <c r="B23">
        <v>1920.2607419999999</v>
      </c>
      <c r="C23">
        <v>-13.760123999999999</v>
      </c>
      <c r="D23" t="s">
        <v>28</v>
      </c>
      <c r="E23">
        <v>220</v>
      </c>
      <c r="F23">
        <f t="shared" si="0"/>
        <v>7.5602162589264177</v>
      </c>
    </row>
    <row r="24" spans="1:6" x14ac:dyDescent="0.25">
      <c r="A24">
        <v>1000</v>
      </c>
      <c r="B24">
        <v>1918.2022710000001</v>
      </c>
      <c r="C24">
        <v>-13.650964999999999</v>
      </c>
      <c r="D24" t="s">
        <v>29</v>
      </c>
      <c r="E24">
        <v>230</v>
      </c>
      <c r="F24">
        <f t="shared" si="0"/>
        <v>7.5591437092155775</v>
      </c>
    </row>
    <row r="25" spans="1:6" x14ac:dyDescent="0.25">
      <c r="A25">
        <v>1000</v>
      </c>
      <c r="B25">
        <v>1917.130371</v>
      </c>
      <c r="C25">
        <v>-13.632127000000001</v>
      </c>
      <c r="D25" t="s">
        <v>30</v>
      </c>
      <c r="E25">
        <v>240</v>
      </c>
      <c r="F25">
        <f t="shared" si="0"/>
        <v>7.5585847485579434</v>
      </c>
    </row>
    <row r="26" spans="1:6" x14ac:dyDescent="0.25">
      <c r="A26">
        <v>1000</v>
      </c>
      <c r="B26">
        <v>1914.692871</v>
      </c>
      <c r="C26">
        <v>-13.533799</v>
      </c>
      <c r="D26" t="s">
        <v>31</v>
      </c>
      <c r="E26">
        <v>250</v>
      </c>
      <c r="F26">
        <f t="shared" si="0"/>
        <v>7.5573125080735393</v>
      </c>
    </row>
    <row r="27" spans="1:6" x14ac:dyDescent="0.25">
      <c r="A27">
        <v>1000</v>
      </c>
      <c r="B27">
        <v>1913.5932620000001</v>
      </c>
      <c r="C27">
        <v>-13.477449999999999</v>
      </c>
      <c r="D27" t="s">
        <v>32</v>
      </c>
      <c r="E27">
        <v>260</v>
      </c>
      <c r="F27">
        <f t="shared" si="0"/>
        <v>7.5567380426380737</v>
      </c>
    </row>
    <row r="28" spans="1:6" x14ac:dyDescent="0.25">
      <c r="A28">
        <v>1000</v>
      </c>
      <c r="B28">
        <v>1912.7395019999999</v>
      </c>
      <c r="C28">
        <v>-13.433954999999999</v>
      </c>
      <c r="D28" t="s">
        <v>33</v>
      </c>
      <c r="E28">
        <v>270</v>
      </c>
      <c r="F28">
        <f t="shared" si="0"/>
        <v>7.5562917876640148</v>
      </c>
    </row>
    <row r="29" spans="1:6" x14ac:dyDescent="0.25">
      <c r="A29">
        <v>1000</v>
      </c>
      <c r="B29">
        <v>1910.2414550000001</v>
      </c>
      <c r="C29">
        <v>-13.366611000000001</v>
      </c>
      <c r="D29" t="s">
        <v>34</v>
      </c>
      <c r="E29">
        <v>280</v>
      </c>
      <c r="F29">
        <f t="shared" si="0"/>
        <v>7.5549849292811837</v>
      </c>
    </row>
    <row r="30" spans="1:6" x14ac:dyDescent="0.25">
      <c r="A30">
        <v>1000</v>
      </c>
      <c r="B30">
        <v>1909.6748050000001</v>
      </c>
      <c r="C30">
        <v>-13.330397</v>
      </c>
      <c r="D30" t="s">
        <v>35</v>
      </c>
      <c r="E30">
        <v>290</v>
      </c>
      <c r="F30">
        <f t="shared" si="0"/>
        <v>7.5546882473826358</v>
      </c>
    </row>
    <row r="31" spans="1:6" x14ac:dyDescent="0.25">
      <c r="A31">
        <v>1000</v>
      </c>
      <c r="B31">
        <v>1907.125</v>
      </c>
      <c r="C31">
        <v>-13.26357</v>
      </c>
      <c r="D31" t="s">
        <v>36</v>
      </c>
      <c r="E31">
        <v>300</v>
      </c>
      <c r="F31">
        <f t="shared" si="0"/>
        <v>7.5533521514333666</v>
      </c>
    </row>
    <row r="32" spans="1:6" x14ac:dyDescent="0.25">
      <c r="A32">
        <v>1000</v>
      </c>
      <c r="B32">
        <v>1906.1816409999999</v>
      </c>
      <c r="C32">
        <v>-13.201359999999999</v>
      </c>
      <c r="D32" t="s">
        <v>37</v>
      </c>
      <c r="E32">
        <v>310</v>
      </c>
      <c r="F32">
        <f t="shared" si="0"/>
        <v>7.5528573792537035</v>
      </c>
    </row>
    <row r="33" spans="1:6" x14ac:dyDescent="0.25">
      <c r="A33">
        <v>1000</v>
      </c>
      <c r="B33">
        <v>1905.6405030000001</v>
      </c>
      <c r="C33">
        <v>-13.163644</v>
      </c>
      <c r="D33" t="s">
        <v>38</v>
      </c>
      <c r="E33">
        <v>320</v>
      </c>
      <c r="F33">
        <f t="shared" ref="F33:F64" si="1">LN(B33)</f>
        <v>7.5525734530980788</v>
      </c>
    </row>
    <row r="34" spans="1:6" x14ac:dyDescent="0.25">
      <c r="A34">
        <v>1000</v>
      </c>
      <c r="B34">
        <v>1903.633057</v>
      </c>
      <c r="C34">
        <v>-13.064920000000001</v>
      </c>
      <c r="D34" t="s">
        <v>39</v>
      </c>
      <c r="E34">
        <v>330</v>
      </c>
      <c r="F34">
        <f t="shared" si="1"/>
        <v>7.5515194746141425</v>
      </c>
    </row>
    <row r="35" spans="1:6" x14ac:dyDescent="0.25">
      <c r="A35">
        <v>1000</v>
      </c>
      <c r="B35">
        <v>1902.200073</v>
      </c>
      <c r="C35">
        <v>-13.034882</v>
      </c>
      <c r="D35" t="s">
        <v>40</v>
      </c>
      <c r="E35">
        <v>340</v>
      </c>
      <c r="F35">
        <f t="shared" si="1"/>
        <v>7.5507664284249012</v>
      </c>
    </row>
    <row r="36" spans="1:6" x14ac:dyDescent="0.25">
      <c r="A36">
        <v>1000</v>
      </c>
      <c r="B36">
        <v>1901.1796879999999</v>
      </c>
      <c r="C36">
        <v>-12.986442</v>
      </c>
      <c r="D36" t="s">
        <v>41</v>
      </c>
      <c r="E36">
        <v>350</v>
      </c>
      <c r="F36">
        <f t="shared" si="1"/>
        <v>7.5502298609041159</v>
      </c>
    </row>
    <row r="37" spans="1:6" x14ac:dyDescent="0.25">
      <c r="A37">
        <v>1000</v>
      </c>
      <c r="B37">
        <v>1899.7222899999999</v>
      </c>
      <c r="C37">
        <v>-12.918891</v>
      </c>
      <c r="D37" t="s">
        <v>42</v>
      </c>
      <c r="E37">
        <v>360</v>
      </c>
      <c r="F37">
        <f t="shared" si="1"/>
        <v>7.5494629913137619</v>
      </c>
    </row>
    <row r="38" spans="1:6" x14ac:dyDescent="0.25">
      <c r="A38">
        <v>1000</v>
      </c>
      <c r="B38">
        <v>1898.2529300000001</v>
      </c>
      <c r="C38">
        <v>-12.882063</v>
      </c>
      <c r="D38" t="s">
        <v>43</v>
      </c>
      <c r="E38">
        <v>370</v>
      </c>
      <c r="F38">
        <f t="shared" si="1"/>
        <v>7.5486892316190843</v>
      </c>
    </row>
    <row r="39" spans="1:6" x14ac:dyDescent="0.25">
      <c r="A39">
        <v>1000</v>
      </c>
      <c r="B39">
        <v>1897.1442870000001</v>
      </c>
      <c r="C39">
        <v>-12.815018</v>
      </c>
      <c r="D39" t="s">
        <v>44</v>
      </c>
      <c r="E39">
        <v>380</v>
      </c>
      <c r="F39">
        <f t="shared" si="1"/>
        <v>7.5481050276645867</v>
      </c>
    </row>
    <row r="40" spans="1:6" x14ac:dyDescent="0.25">
      <c r="A40">
        <v>1000</v>
      </c>
      <c r="B40">
        <v>1895.449707</v>
      </c>
      <c r="C40">
        <v>-12.762029</v>
      </c>
      <c r="D40" t="s">
        <v>45</v>
      </c>
      <c r="E40">
        <v>390</v>
      </c>
      <c r="F40">
        <f t="shared" si="1"/>
        <v>7.5472114017634482</v>
      </c>
    </row>
    <row r="41" spans="1:6" x14ac:dyDescent="0.25">
      <c r="A41">
        <v>1000</v>
      </c>
      <c r="B41">
        <v>1894.102173</v>
      </c>
      <c r="C41">
        <v>-12.709626999999999</v>
      </c>
      <c r="D41" t="s">
        <v>46</v>
      </c>
      <c r="E41">
        <v>400</v>
      </c>
      <c r="F41">
        <f t="shared" si="1"/>
        <v>7.5465002179087515</v>
      </c>
    </row>
    <row r="42" spans="1:6" x14ac:dyDescent="0.25">
      <c r="A42">
        <v>1000</v>
      </c>
      <c r="B42">
        <v>1892.8831789999999</v>
      </c>
      <c r="C42">
        <v>-12.622201</v>
      </c>
      <c r="D42" t="s">
        <v>47</v>
      </c>
      <c r="E42">
        <v>410</v>
      </c>
      <c r="F42">
        <f t="shared" si="1"/>
        <v>7.5458564372078527</v>
      </c>
    </row>
    <row r="43" spans="1:6" x14ac:dyDescent="0.25">
      <c r="A43">
        <v>1000</v>
      </c>
      <c r="B43">
        <v>1891.4555660000001</v>
      </c>
      <c r="C43">
        <v>-12.583911000000001</v>
      </c>
      <c r="D43" t="s">
        <v>48</v>
      </c>
      <c r="E43">
        <v>420</v>
      </c>
      <c r="F43">
        <f t="shared" si="1"/>
        <v>7.5451019523882215</v>
      </c>
    </row>
    <row r="44" spans="1:6" x14ac:dyDescent="0.25">
      <c r="A44">
        <v>1000</v>
      </c>
      <c r="B44">
        <v>1890.3251949999999</v>
      </c>
      <c r="C44">
        <v>-12.532945</v>
      </c>
      <c r="D44" t="s">
        <v>49</v>
      </c>
      <c r="E44">
        <v>430</v>
      </c>
      <c r="F44">
        <f t="shared" si="1"/>
        <v>7.5445041540994788</v>
      </c>
    </row>
    <row r="45" spans="1:6" x14ac:dyDescent="0.25">
      <c r="A45">
        <v>1000</v>
      </c>
      <c r="B45">
        <v>1889.0045170000001</v>
      </c>
      <c r="C45">
        <v>-12.459165</v>
      </c>
      <c r="D45" t="s">
        <v>50</v>
      </c>
      <c r="E45">
        <v>440</v>
      </c>
      <c r="F45">
        <f t="shared" si="1"/>
        <v>7.5438052587109325</v>
      </c>
    </row>
    <row r="46" spans="1:6" x14ac:dyDescent="0.25">
      <c r="A46">
        <v>1000</v>
      </c>
      <c r="B46">
        <v>1888.2055660000001</v>
      </c>
      <c r="C46">
        <v>-12.436543</v>
      </c>
      <c r="D46" t="s">
        <v>51</v>
      </c>
      <c r="E46">
        <v>450</v>
      </c>
      <c r="F46">
        <f t="shared" si="1"/>
        <v>7.543382221075027</v>
      </c>
    </row>
    <row r="47" spans="1:6" x14ac:dyDescent="0.25">
      <c r="A47">
        <v>1000</v>
      </c>
      <c r="B47">
        <v>1886.3363039999999</v>
      </c>
      <c r="C47">
        <v>-12.369922000000001</v>
      </c>
      <c r="D47" t="s">
        <v>52</v>
      </c>
      <c r="E47">
        <v>460</v>
      </c>
      <c r="F47">
        <f t="shared" si="1"/>
        <v>7.5423917633097179</v>
      </c>
    </row>
    <row r="48" spans="1:6" x14ac:dyDescent="0.25">
      <c r="A48">
        <v>1000</v>
      </c>
      <c r="B48">
        <v>1884.950317</v>
      </c>
      <c r="C48">
        <v>-12.333189000000001</v>
      </c>
      <c r="D48" t="s">
        <v>53</v>
      </c>
      <c r="E48">
        <v>470</v>
      </c>
      <c r="F48">
        <f t="shared" si="1"/>
        <v>7.5416567425055812</v>
      </c>
    </row>
    <row r="49" spans="1:6" x14ac:dyDescent="0.25">
      <c r="A49">
        <v>1000</v>
      </c>
      <c r="B49">
        <v>1884.3979489999999</v>
      </c>
      <c r="C49">
        <v>-12.302371000000001</v>
      </c>
      <c r="D49" t="s">
        <v>54</v>
      </c>
      <c r="E49">
        <v>480</v>
      </c>
      <c r="F49">
        <f t="shared" si="1"/>
        <v>7.5413636584151895</v>
      </c>
    </row>
    <row r="50" spans="1:6" x14ac:dyDescent="0.25">
      <c r="A50">
        <v>1000</v>
      </c>
      <c r="B50">
        <v>1884.031616</v>
      </c>
      <c r="C50">
        <v>-12.272672999999999</v>
      </c>
      <c r="D50" t="s">
        <v>55</v>
      </c>
      <c r="E50">
        <v>490</v>
      </c>
      <c r="F50">
        <f t="shared" si="1"/>
        <v>7.5411692363118519</v>
      </c>
    </row>
    <row r="51" spans="1:6" x14ac:dyDescent="0.25">
      <c r="A51">
        <v>1000</v>
      </c>
      <c r="B51">
        <v>1882.755615</v>
      </c>
      <c r="C51">
        <v>-12.213620000000001</v>
      </c>
      <c r="D51" t="s">
        <v>56</v>
      </c>
      <c r="E51">
        <v>500</v>
      </c>
      <c r="F51">
        <f t="shared" si="1"/>
        <v>7.5404917353166763</v>
      </c>
    </row>
    <row r="52" spans="1:6" x14ac:dyDescent="0.25">
      <c r="A52">
        <v>1000</v>
      </c>
      <c r="B52">
        <v>1882.05249</v>
      </c>
      <c r="C52">
        <v>-12.213551000000001</v>
      </c>
      <c r="D52" t="s">
        <v>57</v>
      </c>
      <c r="E52">
        <v>510</v>
      </c>
      <c r="F52">
        <f t="shared" si="1"/>
        <v>7.5401182102983677</v>
      </c>
    </row>
    <row r="53" spans="1:6" x14ac:dyDescent="0.25">
      <c r="A53">
        <v>1000</v>
      </c>
      <c r="B53">
        <v>1881.2642820000001</v>
      </c>
      <c r="C53">
        <v>-12.139771</v>
      </c>
      <c r="D53" t="s">
        <v>58</v>
      </c>
      <c r="E53">
        <v>520</v>
      </c>
      <c r="F53">
        <f t="shared" si="1"/>
        <v>7.5396993202291656</v>
      </c>
    </row>
    <row r="54" spans="1:6" x14ac:dyDescent="0.25">
      <c r="A54">
        <v>1000</v>
      </c>
      <c r="B54">
        <v>1879.3039550000001</v>
      </c>
      <c r="C54">
        <v>-12.112765</v>
      </c>
      <c r="D54" t="s">
        <v>59</v>
      </c>
      <c r="E54">
        <v>530</v>
      </c>
      <c r="F54">
        <f t="shared" si="1"/>
        <v>7.5386567505673376</v>
      </c>
    </row>
    <row r="55" spans="1:6" x14ac:dyDescent="0.25">
      <c r="A55">
        <v>1000</v>
      </c>
      <c r="B55">
        <v>1878.9383539999999</v>
      </c>
      <c r="C55">
        <v>-12.067795</v>
      </c>
      <c r="D55" t="s">
        <v>60</v>
      </c>
      <c r="E55">
        <v>540</v>
      </c>
      <c r="F55">
        <f t="shared" si="1"/>
        <v>7.5384621909987448</v>
      </c>
    </row>
    <row r="56" spans="1:6" x14ac:dyDescent="0.25">
      <c r="A56">
        <v>1000</v>
      </c>
      <c r="B56">
        <v>1877.400513</v>
      </c>
      <c r="C56">
        <v>-12.019273</v>
      </c>
      <c r="D56" t="s">
        <v>61</v>
      </c>
      <c r="E56">
        <v>550</v>
      </c>
      <c r="F56">
        <f t="shared" si="1"/>
        <v>7.5376433931530942</v>
      </c>
    </row>
    <row r="57" spans="1:6" x14ac:dyDescent="0.25">
      <c r="A57">
        <v>1000</v>
      </c>
      <c r="B57">
        <v>1876.927124</v>
      </c>
      <c r="C57">
        <v>-12.006405000000001</v>
      </c>
      <c r="D57" t="s">
        <v>62</v>
      </c>
      <c r="E57">
        <v>560</v>
      </c>
      <c r="F57">
        <f t="shared" si="1"/>
        <v>7.5373912100469402</v>
      </c>
    </row>
    <row r="58" spans="1:6" x14ac:dyDescent="0.25">
      <c r="A58">
        <v>1000</v>
      </c>
      <c r="B58">
        <v>1876.6324460000001</v>
      </c>
      <c r="C58">
        <v>-11.957433</v>
      </c>
      <c r="D58" t="s">
        <v>63</v>
      </c>
      <c r="E58">
        <v>570</v>
      </c>
      <c r="F58">
        <f t="shared" si="1"/>
        <v>7.537234197485871</v>
      </c>
    </row>
    <row r="59" spans="1:6" x14ac:dyDescent="0.25">
      <c r="A59">
        <v>1000</v>
      </c>
      <c r="B59">
        <v>1875.8314210000001</v>
      </c>
      <c r="C59">
        <v>-11.911466000000001</v>
      </c>
      <c r="D59" t="s">
        <v>64</v>
      </c>
      <c r="E59">
        <v>580</v>
      </c>
      <c r="F59">
        <f t="shared" si="1"/>
        <v>7.5368072646542394</v>
      </c>
    </row>
    <row r="60" spans="1:6" x14ac:dyDescent="0.25">
      <c r="A60">
        <v>1000</v>
      </c>
      <c r="B60">
        <v>1875.1805420000001</v>
      </c>
      <c r="C60">
        <v>-11.872287999999999</v>
      </c>
      <c r="D60" t="s">
        <v>65</v>
      </c>
      <c r="E60">
        <v>590</v>
      </c>
      <c r="F60">
        <f t="shared" si="1"/>
        <v>7.5364602228356832</v>
      </c>
    </row>
    <row r="61" spans="1:6" x14ac:dyDescent="0.25">
      <c r="A61">
        <v>1000</v>
      </c>
      <c r="B61">
        <v>1873.7677000000001</v>
      </c>
      <c r="C61">
        <v>-11.828738</v>
      </c>
      <c r="D61" t="s">
        <v>66</v>
      </c>
      <c r="E61">
        <v>600</v>
      </c>
      <c r="F61">
        <f t="shared" si="1"/>
        <v>7.5357064956697233</v>
      </c>
    </row>
    <row r="62" spans="1:6" x14ac:dyDescent="0.25">
      <c r="A62">
        <v>1000</v>
      </c>
      <c r="B62">
        <v>1873.155518</v>
      </c>
      <c r="C62">
        <v>-11.816606999999999</v>
      </c>
      <c r="D62" t="s">
        <v>67</v>
      </c>
      <c r="E62">
        <v>610</v>
      </c>
      <c r="F62">
        <f t="shared" si="1"/>
        <v>7.5353797304974313</v>
      </c>
    </row>
    <row r="63" spans="1:6" x14ac:dyDescent="0.25">
      <c r="A63">
        <v>1000</v>
      </c>
      <c r="B63">
        <v>1872.1134030000001</v>
      </c>
      <c r="C63">
        <v>-11.770462999999999</v>
      </c>
      <c r="D63" t="s">
        <v>68</v>
      </c>
      <c r="E63">
        <v>620</v>
      </c>
      <c r="F63">
        <f t="shared" si="1"/>
        <v>7.5348232337283738</v>
      </c>
    </row>
    <row r="64" spans="1:6" x14ac:dyDescent="0.25">
      <c r="A64">
        <v>1000</v>
      </c>
      <c r="B64">
        <v>1871.8229980000001</v>
      </c>
      <c r="C64">
        <v>-11.776624</v>
      </c>
      <c r="D64" t="s">
        <v>69</v>
      </c>
      <c r="E64">
        <v>630</v>
      </c>
      <c r="F64">
        <f t="shared" si="1"/>
        <v>7.5346681002167548</v>
      </c>
    </row>
    <row r="65" spans="1:6" x14ac:dyDescent="0.25">
      <c r="A65">
        <v>1000</v>
      </c>
      <c r="B65">
        <v>1870.8823239999999</v>
      </c>
      <c r="C65">
        <v>-11.745956</v>
      </c>
      <c r="D65" t="s">
        <v>70</v>
      </c>
      <c r="E65">
        <v>640</v>
      </c>
      <c r="F65">
        <f t="shared" ref="F65:F96" si="2">LN(B65)</f>
        <v>7.5341654295874223</v>
      </c>
    </row>
    <row r="66" spans="1:6" x14ac:dyDescent="0.25">
      <c r="A66">
        <v>1000</v>
      </c>
      <c r="B66">
        <v>1870.4887699999999</v>
      </c>
      <c r="C66">
        <v>-11.721532</v>
      </c>
      <c r="D66" t="s">
        <v>71</v>
      </c>
      <c r="E66">
        <v>650</v>
      </c>
      <c r="F66">
        <f t="shared" si="2"/>
        <v>7.5339550500278634</v>
      </c>
    </row>
    <row r="67" spans="1:6" x14ac:dyDescent="0.25">
      <c r="A67">
        <v>1000</v>
      </c>
      <c r="B67">
        <v>1870.0623780000001</v>
      </c>
      <c r="C67">
        <v>-11.662532000000001</v>
      </c>
      <c r="D67" t="s">
        <v>72</v>
      </c>
      <c r="E67">
        <v>660</v>
      </c>
      <c r="F67">
        <f t="shared" si="2"/>
        <v>7.5337270665115437</v>
      </c>
    </row>
    <row r="68" spans="1:6" x14ac:dyDescent="0.25">
      <c r="A68">
        <v>1000</v>
      </c>
      <c r="B68">
        <v>1868.557129</v>
      </c>
      <c r="C68">
        <v>-11.636168</v>
      </c>
      <c r="D68" t="s">
        <v>73</v>
      </c>
      <c r="E68">
        <v>670</v>
      </c>
      <c r="F68">
        <f t="shared" si="2"/>
        <v>7.5329218232507538</v>
      </c>
    </row>
    <row r="69" spans="1:6" x14ac:dyDescent="0.25">
      <c r="A69">
        <v>1000</v>
      </c>
      <c r="B69">
        <v>1868.2216800000001</v>
      </c>
      <c r="C69">
        <v>-11.610595999999999</v>
      </c>
      <c r="D69" t="s">
        <v>74</v>
      </c>
      <c r="E69">
        <v>680</v>
      </c>
      <c r="F69">
        <f t="shared" si="2"/>
        <v>7.5327422841246525</v>
      </c>
    </row>
    <row r="70" spans="1:6" x14ac:dyDescent="0.25">
      <c r="A70">
        <v>1000</v>
      </c>
      <c r="B70">
        <v>1867.4354249999999</v>
      </c>
      <c r="C70">
        <v>-11.586717999999999</v>
      </c>
      <c r="D70" t="s">
        <v>75</v>
      </c>
      <c r="E70">
        <v>690</v>
      </c>
      <c r="F70">
        <f t="shared" si="2"/>
        <v>7.5323213380958753</v>
      </c>
    </row>
    <row r="71" spans="1:6" x14ac:dyDescent="0.25">
      <c r="A71">
        <v>1000</v>
      </c>
      <c r="B71">
        <v>1866.32251</v>
      </c>
      <c r="C71">
        <v>-11.511695</v>
      </c>
      <c r="D71" t="s">
        <v>76</v>
      </c>
      <c r="E71">
        <v>700</v>
      </c>
      <c r="F71">
        <f t="shared" si="2"/>
        <v>7.5317252014141021</v>
      </c>
    </row>
    <row r="72" spans="1:6" x14ac:dyDescent="0.25">
      <c r="A72">
        <v>1000</v>
      </c>
      <c r="B72">
        <v>1865.4860839999999</v>
      </c>
      <c r="C72">
        <v>-11.489004</v>
      </c>
      <c r="D72" t="s">
        <v>77</v>
      </c>
      <c r="E72">
        <v>710</v>
      </c>
      <c r="F72">
        <f t="shared" si="2"/>
        <v>7.5312769329711005</v>
      </c>
    </row>
    <row r="73" spans="1:6" x14ac:dyDescent="0.25">
      <c r="A73">
        <v>1000</v>
      </c>
      <c r="B73">
        <v>1865.3522949999999</v>
      </c>
      <c r="C73">
        <v>-11.486888</v>
      </c>
      <c r="D73" t="s">
        <v>78</v>
      </c>
      <c r="E73">
        <v>720</v>
      </c>
      <c r="F73">
        <f t="shared" si="2"/>
        <v>7.5312052123622362</v>
      </c>
    </row>
    <row r="74" spans="1:6" x14ac:dyDescent="0.25">
      <c r="A74">
        <v>1000</v>
      </c>
      <c r="B74">
        <v>1864.740356</v>
      </c>
      <c r="C74">
        <v>-11.466984</v>
      </c>
      <c r="D74" t="s">
        <v>79</v>
      </c>
      <c r="E74">
        <v>730</v>
      </c>
      <c r="F74">
        <f t="shared" si="2"/>
        <v>7.5308771030830606</v>
      </c>
    </row>
    <row r="75" spans="1:6" x14ac:dyDescent="0.25">
      <c r="A75">
        <v>1000</v>
      </c>
      <c r="B75">
        <v>1863.384155</v>
      </c>
      <c r="C75">
        <v>-11.417356</v>
      </c>
      <c r="D75" t="s">
        <v>80</v>
      </c>
      <c r="E75">
        <v>740</v>
      </c>
      <c r="F75">
        <f t="shared" si="2"/>
        <v>7.530149551706586</v>
      </c>
    </row>
    <row r="76" spans="1:6" x14ac:dyDescent="0.25">
      <c r="A76">
        <v>1000</v>
      </c>
      <c r="B76">
        <v>1862.9868160000001</v>
      </c>
      <c r="C76">
        <v>-11.410622</v>
      </c>
      <c r="D76" t="s">
        <v>81</v>
      </c>
      <c r="E76">
        <v>750</v>
      </c>
      <c r="F76">
        <f t="shared" si="2"/>
        <v>7.5299362938186309</v>
      </c>
    </row>
    <row r="77" spans="1:6" x14ac:dyDescent="0.25">
      <c r="A77">
        <v>1000</v>
      </c>
      <c r="B77">
        <v>1863.1636960000001</v>
      </c>
      <c r="C77">
        <v>-11.429624</v>
      </c>
      <c r="D77" t="s">
        <v>82</v>
      </c>
      <c r="E77">
        <v>760</v>
      </c>
      <c r="F77">
        <f t="shared" si="2"/>
        <v>7.5300312336228945</v>
      </c>
    </row>
    <row r="78" spans="1:6" x14ac:dyDescent="0.25">
      <c r="A78">
        <v>1000</v>
      </c>
      <c r="B78">
        <v>1863.2230219999999</v>
      </c>
      <c r="C78">
        <v>-11.395567</v>
      </c>
      <c r="D78" t="s">
        <v>83</v>
      </c>
      <c r="E78">
        <v>770</v>
      </c>
      <c r="F78">
        <f t="shared" si="2"/>
        <v>7.5300630746552368</v>
      </c>
    </row>
    <row r="79" spans="1:6" x14ac:dyDescent="0.25">
      <c r="A79">
        <v>1000</v>
      </c>
      <c r="B79">
        <v>1862.0142820000001</v>
      </c>
      <c r="C79">
        <v>-11.337783999999999</v>
      </c>
      <c r="D79" t="s">
        <v>84</v>
      </c>
      <c r="E79">
        <v>780</v>
      </c>
      <c r="F79">
        <f t="shared" si="2"/>
        <v>7.5294141280546425</v>
      </c>
    </row>
    <row r="80" spans="1:6" x14ac:dyDescent="0.25">
      <c r="A80">
        <v>1000</v>
      </c>
      <c r="B80">
        <v>1861.2855219999999</v>
      </c>
      <c r="C80">
        <v>-11.25727</v>
      </c>
      <c r="D80" t="s">
        <v>85</v>
      </c>
      <c r="E80">
        <v>790</v>
      </c>
      <c r="F80">
        <f t="shared" si="2"/>
        <v>7.529022668839608</v>
      </c>
    </row>
    <row r="81" spans="1:6" x14ac:dyDescent="0.25">
      <c r="A81">
        <v>1000</v>
      </c>
      <c r="B81">
        <v>1859.4345699999999</v>
      </c>
      <c r="C81">
        <v>-11.17024</v>
      </c>
      <c r="D81" t="s">
        <v>86</v>
      </c>
      <c r="E81">
        <v>800</v>
      </c>
      <c r="F81">
        <f t="shared" si="2"/>
        <v>7.528027725867859</v>
      </c>
    </row>
    <row r="82" spans="1:6" x14ac:dyDescent="0.25">
      <c r="A82">
        <v>1000</v>
      </c>
      <c r="B82">
        <v>1858.4178469999999</v>
      </c>
      <c r="C82">
        <v>-11.098371999999999</v>
      </c>
      <c r="D82" t="s">
        <v>87</v>
      </c>
      <c r="E82">
        <v>810</v>
      </c>
      <c r="F82">
        <f t="shared" si="2"/>
        <v>7.5274807848323855</v>
      </c>
    </row>
    <row r="83" spans="1:6" x14ac:dyDescent="0.25">
      <c r="A83">
        <v>1000</v>
      </c>
      <c r="B83">
        <v>1858.0820309999999</v>
      </c>
      <c r="C83">
        <v>-11.049946</v>
      </c>
      <c r="D83" t="s">
        <v>88</v>
      </c>
      <c r="E83">
        <v>820</v>
      </c>
      <c r="F83">
        <f t="shared" si="2"/>
        <v>7.5273000685606579</v>
      </c>
    </row>
    <row r="84" spans="1:6" x14ac:dyDescent="0.25">
      <c r="A84">
        <v>1000</v>
      </c>
      <c r="B84">
        <v>1856.8532709999999</v>
      </c>
      <c r="C84">
        <v>-11.005318000000001</v>
      </c>
      <c r="D84" t="s">
        <v>89</v>
      </c>
      <c r="E84">
        <v>830</v>
      </c>
      <c r="F84">
        <f t="shared" si="2"/>
        <v>7.5266385442298578</v>
      </c>
    </row>
    <row r="85" spans="1:6" x14ac:dyDescent="0.25">
      <c r="A85">
        <v>1000</v>
      </c>
      <c r="B85">
        <v>1856.722168</v>
      </c>
      <c r="C85">
        <v>-10.995426999999999</v>
      </c>
      <c r="D85" t="s">
        <v>90</v>
      </c>
      <c r="E85">
        <v>840</v>
      </c>
      <c r="F85">
        <f t="shared" si="2"/>
        <v>7.5265679368046383</v>
      </c>
    </row>
    <row r="86" spans="1:6" x14ac:dyDescent="0.25">
      <c r="A86">
        <v>1000</v>
      </c>
      <c r="B86">
        <v>1856.3869629999999</v>
      </c>
      <c r="C86">
        <v>-11.002449</v>
      </c>
      <c r="D86" t="s">
        <v>91</v>
      </c>
      <c r="E86">
        <v>850</v>
      </c>
      <c r="F86">
        <f t="shared" si="2"/>
        <v>7.5263873846101914</v>
      </c>
    </row>
    <row r="87" spans="1:6" x14ac:dyDescent="0.25">
      <c r="A87">
        <v>1000</v>
      </c>
      <c r="B87">
        <v>1856.5860600000001</v>
      </c>
      <c r="C87">
        <v>-11.041176999999999</v>
      </c>
      <c r="D87" t="s">
        <v>92</v>
      </c>
      <c r="E87">
        <v>860</v>
      </c>
      <c r="F87">
        <f t="shared" si="2"/>
        <v>7.5264946285890506</v>
      </c>
    </row>
    <row r="88" spans="1:6" x14ac:dyDescent="0.25">
      <c r="A88">
        <v>1000</v>
      </c>
      <c r="B88">
        <v>1856.6990969999999</v>
      </c>
      <c r="C88">
        <v>-11.109396</v>
      </c>
      <c r="D88" t="s">
        <v>93</v>
      </c>
      <c r="E88">
        <v>870</v>
      </c>
      <c r="F88">
        <f t="shared" si="2"/>
        <v>7.5265555110665634</v>
      </c>
    </row>
    <row r="89" spans="1:6" x14ac:dyDescent="0.25">
      <c r="A89">
        <v>1000</v>
      </c>
      <c r="B89">
        <v>1857.650635</v>
      </c>
      <c r="C89">
        <v>-11.159829999999999</v>
      </c>
      <c r="D89" t="s">
        <v>94</v>
      </c>
      <c r="E89">
        <v>880</v>
      </c>
      <c r="F89">
        <f t="shared" si="2"/>
        <v>7.5270678688623933</v>
      </c>
    </row>
    <row r="90" spans="1:6" x14ac:dyDescent="0.25">
      <c r="A90">
        <v>1000</v>
      </c>
      <c r="B90">
        <v>1857.7612300000001</v>
      </c>
      <c r="C90">
        <v>-11.157385</v>
      </c>
      <c r="D90" t="s">
        <v>95</v>
      </c>
      <c r="E90">
        <v>890</v>
      </c>
      <c r="F90">
        <f t="shared" si="2"/>
        <v>7.527127401966152</v>
      </c>
    </row>
    <row r="91" spans="1:6" x14ac:dyDescent="0.25">
      <c r="A91">
        <v>1000</v>
      </c>
      <c r="B91">
        <v>1855.4147949999999</v>
      </c>
      <c r="C91">
        <v>-11.017694000000001</v>
      </c>
      <c r="D91" t="s">
        <v>96</v>
      </c>
      <c r="E91">
        <v>900</v>
      </c>
      <c r="F91">
        <f t="shared" si="2"/>
        <v>7.525863559209153</v>
      </c>
    </row>
    <row r="92" spans="1:6" x14ac:dyDescent="0.25">
      <c r="A92">
        <v>1000</v>
      </c>
      <c r="B92">
        <v>1853.4735109999999</v>
      </c>
      <c r="C92">
        <v>-10.877375000000001</v>
      </c>
      <c r="D92" t="s">
        <v>97</v>
      </c>
      <c r="E92">
        <v>910</v>
      </c>
      <c r="F92">
        <f t="shared" si="2"/>
        <v>7.5248167311479577</v>
      </c>
    </row>
    <row r="93" spans="1:6" x14ac:dyDescent="0.25">
      <c r="A93">
        <v>1000</v>
      </c>
      <c r="B93">
        <v>1852.85022</v>
      </c>
      <c r="C93">
        <v>-10.814728000000001</v>
      </c>
      <c r="D93" t="s">
        <v>98</v>
      </c>
      <c r="E93">
        <v>920</v>
      </c>
      <c r="F93">
        <f t="shared" si="2"/>
        <v>7.5244803919336238</v>
      </c>
    </row>
    <row r="94" spans="1:6" x14ac:dyDescent="0.25">
      <c r="A94">
        <v>1000</v>
      </c>
      <c r="B94">
        <v>1851.7646480000001</v>
      </c>
      <c r="C94">
        <v>-10.724392</v>
      </c>
      <c r="D94" t="s">
        <v>99</v>
      </c>
      <c r="E94">
        <v>930</v>
      </c>
      <c r="F94">
        <f t="shared" si="2"/>
        <v>7.5238943272171817</v>
      </c>
    </row>
    <row r="95" spans="1:6" x14ac:dyDescent="0.25">
      <c r="A95">
        <v>1000</v>
      </c>
      <c r="B95">
        <v>1850.9963379999999</v>
      </c>
      <c r="C95">
        <v>-10.692494</v>
      </c>
      <c r="D95" t="s">
        <v>100</v>
      </c>
      <c r="E95">
        <v>940</v>
      </c>
      <c r="F95">
        <f t="shared" si="2"/>
        <v>7.5234793341814807</v>
      </c>
    </row>
    <row r="96" spans="1:6" x14ac:dyDescent="0.25">
      <c r="A96">
        <v>1000</v>
      </c>
      <c r="B96">
        <v>1850.7673339999999</v>
      </c>
      <c r="C96">
        <v>-10.644233</v>
      </c>
      <c r="D96" t="s">
        <v>101</v>
      </c>
      <c r="E96">
        <v>950</v>
      </c>
      <c r="F96">
        <f t="shared" si="2"/>
        <v>7.5233556072120775</v>
      </c>
    </row>
    <row r="97" spans="1:6" x14ac:dyDescent="0.25">
      <c r="A97">
        <v>1000</v>
      </c>
      <c r="B97">
        <v>1849.1944579999999</v>
      </c>
      <c r="C97">
        <v>-10.587187</v>
      </c>
      <c r="D97" t="s">
        <v>102</v>
      </c>
      <c r="E97">
        <v>960</v>
      </c>
      <c r="F97">
        <f t="shared" ref="F97:F118" si="3">LN(B97)</f>
        <v>7.5225053951379159</v>
      </c>
    </row>
    <row r="98" spans="1:6" x14ac:dyDescent="0.25">
      <c r="A98">
        <v>1000</v>
      </c>
      <c r="B98">
        <v>1848.8798830000001</v>
      </c>
      <c r="C98">
        <v>-10.568747</v>
      </c>
      <c r="D98" t="s">
        <v>103</v>
      </c>
      <c r="E98">
        <v>970</v>
      </c>
      <c r="F98">
        <f t="shared" si="3"/>
        <v>7.5223352660535596</v>
      </c>
    </row>
    <row r="99" spans="1:6" x14ac:dyDescent="0.25">
      <c r="A99">
        <v>1000</v>
      </c>
      <c r="B99">
        <v>1849.1137699999999</v>
      </c>
      <c r="C99">
        <v>-10.538174</v>
      </c>
      <c r="D99" t="s">
        <v>104</v>
      </c>
      <c r="E99">
        <v>980</v>
      </c>
      <c r="F99">
        <f t="shared" si="3"/>
        <v>7.5224617600512556</v>
      </c>
    </row>
    <row r="100" spans="1:6" x14ac:dyDescent="0.25">
      <c r="A100">
        <v>1000</v>
      </c>
      <c r="B100">
        <v>1848.406616</v>
      </c>
      <c r="C100">
        <v>-10.512778000000001</v>
      </c>
      <c r="D100" t="s">
        <v>105</v>
      </c>
      <c r="E100">
        <v>990</v>
      </c>
      <c r="F100">
        <f t="shared" si="3"/>
        <v>7.5220792583015426</v>
      </c>
    </row>
    <row r="101" spans="1:6" x14ac:dyDescent="0.25">
      <c r="A101">
        <v>1000</v>
      </c>
      <c r="B101">
        <v>1847.9025879999999</v>
      </c>
      <c r="C101">
        <v>-10.470677999999999</v>
      </c>
      <c r="D101" t="s">
        <v>106</v>
      </c>
      <c r="E101">
        <v>1000</v>
      </c>
      <c r="F101">
        <f t="shared" si="3"/>
        <v>7.5218065386910844</v>
      </c>
    </row>
    <row r="102" spans="1:6" x14ac:dyDescent="0.25">
      <c r="A102">
        <v>1000</v>
      </c>
      <c r="B102">
        <v>1847.0297849999999</v>
      </c>
      <c r="C102">
        <v>-10.441444000000001</v>
      </c>
      <c r="D102" t="s">
        <v>107</v>
      </c>
      <c r="E102">
        <v>1010</v>
      </c>
      <c r="F102">
        <f t="shared" si="3"/>
        <v>7.5213341062197294</v>
      </c>
    </row>
    <row r="103" spans="1:6" x14ac:dyDescent="0.25">
      <c r="A103">
        <v>1000</v>
      </c>
      <c r="B103">
        <v>1846.806763</v>
      </c>
      <c r="C103">
        <v>-10.408374</v>
      </c>
      <c r="D103" t="s">
        <v>108</v>
      </c>
      <c r="E103">
        <v>1020</v>
      </c>
      <c r="F103">
        <f t="shared" si="3"/>
        <v>7.5212133526360923</v>
      </c>
    </row>
    <row r="104" spans="1:6" x14ac:dyDescent="0.25">
      <c r="A104">
        <v>1000</v>
      </c>
      <c r="B104">
        <v>1845.935669</v>
      </c>
      <c r="C104">
        <v>-10.37914</v>
      </c>
      <c r="D104" t="s">
        <v>109</v>
      </c>
      <c r="E104">
        <v>1030</v>
      </c>
      <c r="F104">
        <f t="shared" si="3"/>
        <v>7.5207415655931564</v>
      </c>
    </row>
    <row r="105" spans="1:6" x14ac:dyDescent="0.25">
      <c r="A105">
        <v>1000</v>
      </c>
      <c r="B105">
        <v>1845.7364500000001</v>
      </c>
      <c r="C105">
        <v>-10.350548</v>
      </c>
      <c r="D105" t="s">
        <v>110</v>
      </c>
      <c r="E105">
        <v>1040</v>
      </c>
      <c r="F105">
        <f t="shared" si="3"/>
        <v>7.5206336367231099</v>
      </c>
    </row>
    <row r="106" spans="1:6" x14ac:dyDescent="0.25">
      <c r="A106">
        <v>1000</v>
      </c>
      <c r="B106">
        <v>1845.1800539999999</v>
      </c>
      <c r="C106">
        <v>-10.317121999999999</v>
      </c>
      <c r="D106" t="s">
        <v>111</v>
      </c>
      <c r="E106">
        <v>1050</v>
      </c>
      <c r="F106">
        <f t="shared" si="3"/>
        <v>7.5203321419569118</v>
      </c>
    </row>
    <row r="107" spans="1:6" x14ac:dyDescent="0.25">
      <c r="A107">
        <v>1000</v>
      </c>
      <c r="B107">
        <v>1844.5076899999999</v>
      </c>
      <c r="C107">
        <v>-10.275798999999999</v>
      </c>
      <c r="D107" t="s">
        <v>112</v>
      </c>
      <c r="E107">
        <v>1060</v>
      </c>
      <c r="F107">
        <f t="shared" si="3"/>
        <v>7.5199676861795712</v>
      </c>
    </row>
    <row r="108" spans="1:6" x14ac:dyDescent="0.25">
      <c r="A108">
        <v>1000</v>
      </c>
      <c r="B108">
        <v>1845.261841</v>
      </c>
      <c r="C108">
        <v>-10.282151000000001</v>
      </c>
      <c r="D108" t="s">
        <v>113</v>
      </c>
      <c r="E108">
        <v>1070</v>
      </c>
      <c r="F108">
        <f t="shared" si="3"/>
        <v>7.5203764656462369</v>
      </c>
    </row>
    <row r="109" spans="1:6" x14ac:dyDescent="0.25">
      <c r="A109">
        <v>1000</v>
      </c>
      <c r="B109">
        <v>1844.6072999999999</v>
      </c>
      <c r="C109">
        <v>-10.225801000000001</v>
      </c>
      <c r="D109" t="s">
        <v>114</v>
      </c>
      <c r="E109">
        <v>1080</v>
      </c>
      <c r="F109">
        <f t="shared" si="3"/>
        <v>7.5200216882913482</v>
      </c>
    </row>
    <row r="110" spans="1:6" x14ac:dyDescent="0.25">
      <c r="A110">
        <v>1000</v>
      </c>
      <c r="B110">
        <v>1843.1329350000001</v>
      </c>
      <c r="C110">
        <v>-10.191241</v>
      </c>
      <c r="D110" t="s">
        <v>115</v>
      </c>
      <c r="E110">
        <v>1090</v>
      </c>
      <c r="F110">
        <f t="shared" si="3"/>
        <v>7.5192220847484732</v>
      </c>
    </row>
    <row r="111" spans="1:6" x14ac:dyDescent="0.25">
      <c r="A111">
        <v>1000</v>
      </c>
      <c r="B111">
        <v>1843.0466309999999</v>
      </c>
      <c r="C111">
        <v>-10.183249</v>
      </c>
      <c r="D111" t="s">
        <v>116</v>
      </c>
      <c r="E111">
        <v>1100</v>
      </c>
      <c r="F111">
        <f t="shared" si="3"/>
        <v>7.5191752590317815</v>
      </c>
    </row>
    <row r="112" spans="1:6" x14ac:dyDescent="0.25">
      <c r="A112">
        <v>1000</v>
      </c>
      <c r="B112">
        <v>1842.490967</v>
      </c>
      <c r="C112">
        <v>-10.157007999999999</v>
      </c>
      <c r="D112" t="s">
        <v>117</v>
      </c>
      <c r="E112">
        <v>1110</v>
      </c>
      <c r="F112">
        <f t="shared" si="3"/>
        <v>7.5188737214734553</v>
      </c>
    </row>
    <row r="113" spans="1:6" x14ac:dyDescent="0.25">
      <c r="A113">
        <v>1000</v>
      </c>
      <c r="B113">
        <v>1842.954712</v>
      </c>
      <c r="C113">
        <v>-10.154795999999999</v>
      </c>
      <c r="D113" t="s">
        <v>118</v>
      </c>
      <c r="E113">
        <v>1120</v>
      </c>
      <c r="F113">
        <f t="shared" si="3"/>
        <v>7.5191253843890635</v>
      </c>
    </row>
    <row r="114" spans="1:6" x14ac:dyDescent="0.25">
      <c r="A114">
        <v>1000</v>
      </c>
      <c r="B114">
        <v>1842.3865969999999</v>
      </c>
      <c r="C114">
        <v>-10.11365</v>
      </c>
      <c r="D114" t="s">
        <v>119</v>
      </c>
      <c r="E114">
        <v>1130</v>
      </c>
      <c r="F114">
        <f t="shared" si="3"/>
        <v>7.5188170737296884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134"/>
  <sheetViews>
    <sheetView zoomScale="85" zoomScaleNormal="85" workbookViewId="0">
      <selection sqref="A1:D1048576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</cols>
  <sheetData>
    <row r="1" spans="5:12" x14ac:dyDescent="0.25">
      <c r="E1">
        <v>0</v>
      </c>
      <c r="F1" t="e">
        <f>LN(B1)</f>
        <v>#NUM!</v>
      </c>
      <c r="I1" s="1" t="s">
        <v>0</v>
      </c>
      <c r="J1" s="1" t="s">
        <v>5</v>
      </c>
      <c r="L1" s="2"/>
    </row>
    <row r="2" spans="5:12" x14ac:dyDescent="0.25">
      <c r="E2">
        <v>10</v>
      </c>
      <c r="F2" t="e">
        <f t="shared" ref="F2:F65" si="0">LN(B2)</f>
        <v>#NUM!</v>
      </c>
      <c r="H2" t="s">
        <v>1</v>
      </c>
      <c r="I2">
        <f>1/(0.000002)</f>
        <v>500000</v>
      </c>
      <c r="J2">
        <f>1/(0.00003)</f>
        <v>33333.333333333336</v>
      </c>
      <c r="L2" s="2"/>
    </row>
    <row r="3" spans="5:12" x14ac:dyDescent="0.25">
      <c r="E3">
        <v>20</v>
      </c>
      <c r="F3" t="e">
        <f t="shared" si="0"/>
        <v>#NUM!</v>
      </c>
      <c r="I3">
        <f>I2/60</f>
        <v>8333.3333333333339</v>
      </c>
      <c r="J3">
        <f>J2/60</f>
        <v>555.55555555555554</v>
      </c>
      <c r="K3" s="3" t="s">
        <v>3</v>
      </c>
    </row>
    <row r="4" spans="5:12" x14ac:dyDescent="0.25">
      <c r="E4">
        <v>30</v>
      </c>
      <c r="F4" t="e">
        <f t="shared" si="0"/>
        <v>#NUM!</v>
      </c>
      <c r="I4">
        <f>I3/60</f>
        <v>138.88888888888889</v>
      </c>
      <c r="J4">
        <f>J3/60</f>
        <v>9.2592592592592595</v>
      </c>
      <c r="K4" s="3" t="s">
        <v>4</v>
      </c>
    </row>
    <row r="5" spans="5:12" x14ac:dyDescent="0.25">
      <c r="E5">
        <v>40</v>
      </c>
      <c r="F5" t="e">
        <f t="shared" si="0"/>
        <v>#NUM!</v>
      </c>
    </row>
    <row r="6" spans="5:12" x14ac:dyDescent="0.25">
      <c r="E6">
        <v>50</v>
      </c>
      <c r="F6" t="e">
        <f t="shared" si="0"/>
        <v>#NUM!</v>
      </c>
    </row>
    <row r="7" spans="5:12" x14ac:dyDescent="0.25">
      <c r="E7">
        <v>60</v>
      </c>
      <c r="F7" t="e">
        <f t="shared" si="0"/>
        <v>#NUM!</v>
      </c>
    </row>
    <row r="8" spans="5:12" x14ac:dyDescent="0.25">
      <c r="E8">
        <v>70</v>
      </c>
      <c r="F8" t="e">
        <f t="shared" si="0"/>
        <v>#NUM!</v>
      </c>
    </row>
    <row r="9" spans="5:12" x14ac:dyDescent="0.25">
      <c r="E9">
        <v>80</v>
      </c>
      <c r="F9" t="e">
        <f t="shared" si="0"/>
        <v>#NUM!</v>
      </c>
    </row>
    <row r="10" spans="5:12" x14ac:dyDescent="0.25">
      <c r="E10">
        <v>90</v>
      </c>
      <c r="F10" t="e">
        <f t="shared" si="0"/>
        <v>#NUM!</v>
      </c>
    </row>
    <row r="11" spans="5:12" x14ac:dyDescent="0.25">
      <c r="E11">
        <v>100</v>
      </c>
      <c r="F11" t="e">
        <f t="shared" si="0"/>
        <v>#NUM!</v>
      </c>
    </row>
    <row r="12" spans="5:12" x14ac:dyDescent="0.25">
      <c r="E12">
        <v>110</v>
      </c>
      <c r="F12" t="e">
        <f t="shared" si="0"/>
        <v>#NUM!</v>
      </c>
    </row>
    <row r="13" spans="5:12" x14ac:dyDescent="0.25">
      <c r="E13">
        <v>120</v>
      </c>
      <c r="F13" t="e">
        <f t="shared" si="0"/>
        <v>#NUM!</v>
      </c>
    </row>
    <row r="14" spans="5:12" x14ac:dyDescent="0.25">
      <c r="E14">
        <v>130</v>
      </c>
      <c r="F14" t="e">
        <f t="shared" si="0"/>
        <v>#NUM!</v>
      </c>
    </row>
    <row r="15" spans="5:12" x14ac:dyDescent="0.25">
      <c r="E15">
        <v>140</v>
      </c>
      <c r="F15" t="e">
        <f t="shared" si="0"/>
        <v>#NUM!</v>
      </c>
    </row>
    <row r="16" spans="5:12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  <row r="28" spans="5:6" x14ac:dyDescent="0.25">
      <c r="E28">
        <v>270</v>
      </c>
      <c r="F28" t="e">
        <f t="shared" si="0"/>
        <v>#NUM!</v>
      </c>
    </row>
    <row r="29" spans="5:6" x14ac:dyDescent="0.25">
      <c r="E29">
        <v>280</v>
      </c>
      <c r="F29" t="e">
        <f t="shared" si="0"/>
        <v>#NUM!</v>
      </c>
    </row>
    <row r="30" spans="5:6" x14ac:dyDescent="0.25">
      <c r="E30">
        <v>290</v>
      </c>
      <c r="F30" t="e">
        <f t="shared" si="0"/>
        <v>#NUM!</v>
      </c>
    </row>
    <row r="31" spans="5:6" x14ac:dyDescent="0.25">
      <c r="E31">
        <v>300</v>
      </c>
      <c r="F31" t="e">
        <f t="shared" si="0"/>
        <v>#NUM!</v>
      </c>
    </row>
    <row r="32" spans="5:6" x14ac:dyDescent="0.25">
      <c r="E32">
        <v>310</v>
      </c>
      <c r="F32" t="e">
        <f t="shared" si="0"/>
        <v>#NUM!</v>
      </c>
    </row>
    <row r="33" spans="5:6" x14ac:dyDescent="0.25">
      <c r="E33">
        <v>320</v>
      </c>
      <c r="F33" t="e">
        <f t="shared" si="0"/>
        <v>#NUM!</v>
      </c>
    </row>
    <row r="34" spans="5:6" x14ac:dyDescent="0.25">
      <c r="E34">
        <v>330</v>
      </c>
      <c r="F34" t="e">
        <f t="shared" si="0"/>
        <v>#NUM!</v>
      </c>
    </row>
    <row r="35" spans="5:6" x14ac:dyDescent="0.25">
      <c r="E35">
        <v>340</v>
      </c>
      <c r="F35" t="e">
        <f t="shared" si="0"/>
        <v>#NUM!</v>
      </c>
    </row>
    <row r="36" spans="5:6" x14ac:dyDescent="0.25">
      <c r="E36">
        <v>350</v>
      </c>
      <c r="F36" t="e">
        <f t="shared" si="0"/>
        <v>#NUM!</v>
      </c>
    </row>
    <row r="37" spans="5:6" x14ac:dyDescent="0.25">
      <c r="E37">
        <v>360</v>
      </c>
      <c r="F37" t="e">
        <f t="shared" si="0"/>
        <v>#NUM!</v>
      </c>
    </row>
    <row r="38" spans="5:6" x14ac:dyDescent="0.25">
      <c r="E38">
        <v>370</v>
      </c>
      <c r="F38" t="e">
        <f t="shared" si="0"/>
        <v>#NUM!</v>
      </c>
    </row>
    <row r="39" spans="5:6" x14ac:dyDescent="0.25">
      <c r="E39">
        <v>380</v>
      </c>
      <c r="F39" t="e">
        <f t="shared" si="0"/>
        <v>#NUM!</v>
      </c>
    </row>
    <row r="40" spans="5:6" x14ac:dyDescent="0.25">
      <c r="E40">
        <v>390</v>
      </c>
      <c r="F40" t="e">
        <f t="shared" si="0"/>
        <v>#NUM!</v>
      </c>
    </row>
    <row r="41" spans="5:6" x14ac:dyDescent="0.25">
      <c r="E41">
        <v>400</v>
      </c>
      <c r="F41" t="e">
        <f t="shared" si="0"/>
        <v>#NUM!</v>
      </c>
    </row>
    <row r="42" spans="5:6" x14ac:dyDescent="0.25">
      <c r="E42">
        <v>410</v>
      </c>
      <c r="F42" t="e">
        <f t="shared" si="0"/>
        <v>#NUM!</v>
      </c>
    </row>
    <row r="43" spans="5:6" x14ac:dyDescent="0.25">
      <c r="E43">
        <v>420</v>
      </c>
      <c r="F43" t="e">
        <f t="shared" si="0"/>
        <v>#NUM!</v>
      </c>
    </row>
    <row r="44" spans="5:6" x14ac:dyDescent="0.25">
      <c r="E44">
        <v>430</v>
      </c>
      <c r="F44" t="e">
        <f t="shared" si="0"/>
        <v>#NUM!</v>
      </c>
    </row>
    <row r="45" spans="5:6" x14ac:dyDescent="0.25">
      <c r="E45">
        <v>440</v>
      </c>
      <c r="F45" t="e">
        <f t="shared" si="0"/>
        <v>#NUM!</v>
      </c>
    </row>
    <row r="46" spans="5:6" x14ac:dyDescent="0.25">
      <c r="E46">
        <v>450</v>
      </c>
      <c r="F46" t="e">
        <f t="shared" si="0"/>
        <v>#NUM!</v>
      </c>
    </row>
    <row r="47" spans="5:6" x14ac:dyDescent="0.25">
      <c r="E47">
        <v>460</v>
      </c>
      <c r="F47" t="e">
        <f t="shared" si="0"/>
        <v>#NUM!</v>
      </c>
    </row>
    <row r="48" spans="5:6" x14ac:dyDescent="0.25">
      <c r="E48">
        <v>470</v>
      </c>
      <c r="F48" t="e">
        <f t="shared" si="0"/>
        <v>#NUM!</v>
      </c>
    </row>
    <row r="49" spans="5:6" x14ac:dyDescent="0.25">
      <c r="E49">
        <v>480</v>
      </c>
      <c r="F49" t="e">
        <f t="shared" si="0"/>
        <v>#NUM!</v>
      </c>
    </row>
    <row r="50" spans="5:6" x14ac:dyDescent="0.25">
      <c r="E50">
        <v>490</v>
      </c>
      <c r="F50" t="e">
        <f t="shared" si="0"/>
        <v>#NUM!</v>
      </c>
    </row>
    <row r="51" spans="5:6" x14ac:dyDescent="0.25">
      <c r="E51">
        <v>500</v>
      </c>
      <c r="F51" t="e">
        <f t="shared" si="0"/>
        <v>#NUM!</v>
      </c>
    </row>
    <row r="52" spans="5:6" x14ac:dyDescent="0.25">
      <c r="E52">
        <v>510</v>
      </c>
      <c r="F52" t="e">
        <f t="shared" si="0"/>
        <v>#NUM!</v>
      </c>
    </row>
    <row r="53" spans="5:6" x14ac:dyDescent="0.25">
      <c r="E53">
        <v>520</v>
      </c>
      <c r="F53" t="e">
        <f t="shared" si="0"/>
        <v>#NUM!</v>
      </c>
    </row>
    <row r="54" spans="5:6" x14ac:dyDescent="0.25">
      <c r="E54">
        <v>530</v>
      </c>
      <c r="F54" t="e">
        <f t="shared" si="0"/>
        <v>#NUM!</v>
      </c>
    </row>
    <row r="55" spans="5:6" x14ac:dyDescent="0.25">
      <c r="E55">
        <v>540</v>
      </c>
      <c r="F55" t="e">
        <f t="shared" si="0"/>
        <v>#NUM!</v>
      </c>
    </row>
    <row r="56" spans="5:6" x14ac:dyDescent="0.25">
      <c r="E56">
        <v>550</v>
      </c>
      <c r="F56" t="e">
        <f t="shared" si="0"/>
        <v>#NUM!</v>
      </c>
    </row>
    <row r="57" spans="5:6" x14ac:dyDescent="0.25">
      <c r="E57">
        <v>560</v>
      </c>
      <c r="F57" t="e">
        <f t="shared" si="0"/>
        <v>#NUM!</v>
      </c>
    </row>
    <row r="58" spans="5:6" x14ac:dyDescent="0.25">
      <c r="E58">
        <v>570</v>
      </c>
      <c r="F58" t="e">
        <f t="shared" si="0"/>
        <v>#NUM!</v>
      </c>
    </row>
    <row r="59" spans="5:6" x14ac:dyDescent="0.25">
      <c r="E59">
        <v>580</v>
      </c>
      <c r="F59" t="e">
        <f t="shared" si="0"/>
        <v>#NUM!</v>
      </c>
    </row>
    <row r="60" spans="5:6" x14ac:dyDescent="0.25">
      <c r="E60">
        <v>590</v>
      </c>
      <c r="F60" t="e">
        <f t="shared" si="0"/>
        <v>#NUM!</v>
      </c>
    </row>
    <row r="61" spans="5:6" x14ac:dyDescent="0.25">
      <c r="E61">
        <v>600</v>
      </c>
      <c r="F61" t="e">
        <f t="shared" si="0"/>
        <v>#NUM!</v>
      </c>
    </row>
    <row r="62" spans="5:6" x14ac:dyDescent="0.25">
      <c r="E62">
        <v>610</v>
      </c>
      <c r="F62" t="e">
        <f t="shared" si="0"/>
        <v>#NUM!</v>
      </c>
    </row>
    <row r="63" spans="5:6" x14ac:dyDescent="0.25">
      <c r="E63">
        <v>620</v>
      </c>
      <c r="F63" t="e">
        <f t="shared" si="0"/>
        <v>#NUM!</v>
      </c>
    </row>
    <row r="64" spans="5:6" x14ac:dyDescent="0.25">
      <c r="E64">
        <v>630</v>
      </c>
      <c r="F64" t="e">
        <f t="shared" si="0"/>
        <v>#NUM!</v>
      </c>
    </row>
    <row r="65" spans="5:6" x14ac:dyDescent="0.25">
      <c r="E65">
        <v>640</v>
      </c>
      <c r="F65" t="e">
        <f t="shared" si="0"/>
        <v>#NUM!</v>
      </c>
    </row>
    <row r="66" spans="5:6" x14ac:dyDescent="0.25">
      <c r="E66">
        <v>650</v>
      </c>
      <c r="F66" t="e">
        <f t="shared" ref="F66:F124" si="1">LN(B66)</f>
        <v>#NUM!</v>
      </c>
    </row>
    <row r="67" spans="5:6" x14ac:dyDescent="0.25">
      <c r="E67">
        <v>660</v>
      </c>
      <c r="F67" t="e">
        <f t="shared" si="1"/>
        <v>#NUM!</v>
      </c>
    </row>
    <row r="68" spans="5:6" x14ac:dyDescent="0.25">
      <c r="E68">
        <v>670</v>
      </c>
      <c r="F68" t="e">
        <f t="shared" si="1"/>
        <v>#NUM!</v>
      </c>
    </row>
    <row r="69" spans="5:6" x14ac:dyDescent="0.25">
      <c r="E69">
        <v>680</v>
      </c>
      <c r="F69" t="e">
        <f t="shared" si="1"/>
        <v>#NUM!</v>
      </c>
    </row>
    <row r="70" spans="5:6" x14ac:dyDescent="0.25">
      <c r="E70">
        <v>690</v>
      </c>
      <c r="F70" t="e">
        <f t="shared" si="1"/>
        <v>#NUM!</v>
      </c>
    </row>
    <row r="71" spans="5:6" x14ac:dyDescent="0.25">
      <c r="E71">
        <v>700</v>
      </c>
      <c r="F71" t="e">
        <f t="shared" si="1"/>
        <v>#NUM!</v>
      </c>
    </row>
    <row r="72" spans="5:6" x14ac:dyDescent="0.25">
      <c r="E72">
        <v>710</v>
      </c>
      <c r="F72" t="e">
        <f t="shared" si="1"/>
        <v>#NUM!</v>
      </c>
    </row>
    <row r="73" spans="5:6" x14ac:dyDescent="0.25">
      <c r="E73">
        <v>720</v>
      </c>
      <c r="F73" t="e">
        <f t="shared" si="1"/>
        <v>#NUM!</v>
      </c>
    </row>
    <row r="74" spans="5:6" x14ac:dyDescent="0.25">
      <c r="E74">
        <v>730</v>
      </c>
      <c r="F74" t="e">
        <f t="shared" si="1"/>
        <v>#NUM!</v>
      </c>
    </row>
    <row r="75" spans="5:6" x14ac:dyDescent="0.25">
      <c r="E75">
        <v>740</v>
      </c>
      <c r="F75" t="e">
        <f t="shared" si="1"/>
        <v>#NUM!</v>
      </c>
    </row>
    <row r="76" spans="5:6" x14ac:dyDescent="0.25">
      <c r="E76">
        <v>750</v>
      </c>
      <c r="F76" t="e">
        <f t="shared" si="1"/>
        <v>#NUM!</v>
      </c>
    </row>
    <row r="77" spans="5:6" x14ac:dyDescent="0.25">
      <c r="E77">
        <v>760</v>
      </c>
      <c r="F77" t="e">
        <f t="shared" si="1"/>
        <v>#NUM!</v>
      </c>
    </row>
    <row r="78" spans="5:6" x14ac:dyDescent="0.25">
      <c r="E78">
        <v>770</v>
      </c>
      <c r="F78" t="e">
        <f t="shared" si="1"/>
        <v>#NUM!</v>
      </c>
    </row>
    <row r="79" spans="5:6" x14ac:dyDescent="0.25">
      <c r="E79">
        <v>780</v>
      </c>
      <c r="F79" t="e">
        <f t="shared" si="1"/>
        <v>#NUM!</v>
      </c>
    </row>
    <row r="80" spans="5:6" x14ac:dyDescent="0.25">
      <c r="E80">
        <v>790</v>
      </c>
      <c r="F80" t="e">
        <f t="shared" si="1"/>
        <v>#NUM!</v>
      </c>
    </row>
    <row r="81" spans="5:6" x14ac:dyDescent="0.25">
      <c r="E81">
        <v>800</v>
      </c>
      <c r="F81" t="e">
        <f t="shared" si="1"/>
        <v>#NUM!</v>
      </c>
    </row>
    <row r="82" spans="5:6" x14ac:dyDescent="0.25">
      <c r="E82">
        <v>810</v>
      </c>
      <c r="F82" t="e">
        <f t="shared" si="1"/>
        <v>#NUM!</v>
      </c>
    </row>
    <row r="83" spans="5:6" x14ac:dyDescent="0.25">
      <c r="E83">
        <v>820</v>
      </c>
      <c r="F83" t="e">
        <f t="shared" si="1"/>
        <v>#NUM!</v>
      </c>
    </row>
    <row r="84" spans="5:6" x14ac:dyDescent="0.25">
      <c r="E84">
        <v>830</v>
      </c>
      <c r="F84" t="e">
        <f t="shared" si="1"/>
        <v>#NUM!</v>
      </c>
    </row>
    <row r="85" spans="5:6" x14ac:dyDescent="0.25">
      <c r="E85">
        <v>840</v>
      </c>
      <c r="F85" t="e">
        <f t="shared" si="1"/>
        <v>#NUM!</v>
      </c>
    </row>
    <row r="86" spans="5:6" x14ac:dyDescent="0.25">
      <c r="E86">
        <v>850</v>
      </c>
      <c r="F86" t="e">
        <f t="shared" si="1"/>
        <v>#NUM!</v>
      </c>
    </row>
    <row r="87" spans="5:6" x14ac:dyDescent="0.25">
      <c r="E87">
        <v>860</v>
      </c>
      <c r="F87" t="e">
        <f t="shared" si="1"/>
        <v>#NUM!</v>
      </c>
    </row>
    <row r="88" spans="5:6" x14ac:dyDescent="0.25">
      <c r="E88">
        <v>870</v>
      </c>
      <c r="F88" t="e">
        <f t="shared" si="1"/>
        <v>#NUM!</v>
      </c>
    </row>
    <row r="89" spans="5:6" x14ac:dyDescent="0.25">
      <c r="E89">
        <v>880</v>
      </c>
      <c r="F89" t="e">
        <f t="shared" si="1"/>
        <v>#NUM!</v>
      </c>
    </row>
    <row r="90" spans="5:6" x14ac:dyDescent="0.25">
      <c r="E90">
        <v>890</v>
      </c>
      <c r="F90" t="e">
        <f t="shared" si="1"/>
        <v>#NUM!</v>
      </c>
    </row>
    <row r="91" spans="5:6" x14ac:dyDescent="0.25">
      <c r="E91">
        <v>900</v>
      </c>
      <c r="F91" t="e">
        <f t="shared" si="1"/>
        <v>#NUM!</v>
      </c>
    </row>
    <row r="92" spans="5:6" x14ac:dyDescent="0.25">
      <c r="E92">
        <v>910</v>
      </c>
      <c r="F92" t="e">
        <f t="shared" si="1"/>
        <v>#NUM!</v>
      </c>
    </row>
    <row r="93" spans="5:6" x14ac:dyDescent="0.25">
      <c r="E93">
        <v>920</v>
      </c>
      <c r="F93" t="e">
        <f t="shared" si="1"/>
        <v>#NUM!</v>
      </c>
    </row>
    <row r="94" spans="5:6" x14ac:dyDescent="0.25">
      <c r="E94">
        <v>930</v>
      </c>
      <c r="F94" t="e">
        <f t="shared" si="1"/>
        <v>#NUM!</v>
      </c>
    </row>
    <row r="95" spans="5:6" x14ac:dyDescent="0.25">
      <c r="E95">
        <v>940</v>
      </c>
      <c r="F95" t="e">
        <f t="shared" si="1"/>
        <v>#NUM!</v>
      </c>
    </row>
    <row r="96" spans="5:6" x14ac:dyDescent="0.25">
      <c r="E96">
        <v>950</v>
      </c>
      <c r="F96" t="e">
        <f t="shared" si="1"/>
        <v>#NUM!</v>
      </c>
    </row>
    <row r="97" spans="5:6" x14ac:dyDescent="0.25">
      <c r="E97">
        <v>960</v>
      </c>
      <c r="F97" t="e">
        <f t="shared" si="1"/>
        <v>#NUM!</v>
      </c>
    </row>
    <row r="98" spans="5:6" x14ac:dyDescent="0.25">
      <c r="E98">
        <v>970</v>
      </c>
      <c r="F98" t="e">
        <f t="shared" si="1"/>
        <v>#NUM!</v>
      </c>
    </row>
    <row r="99" spans="5:6" x14ac:dyDescent="0.25">
      <c r="E99">
        <v>980</v>
      </c>
      <c r="F99" t="e">
        <f t="shared" si="1"/>
        <v>#NUM!</v>
      </c>
    </row>
    <row r="100" spans="5:6" x14ac:dyDescent="0.25">
      <c r="E100">
        <v>990</v>
      </c>
      <c r="F100" t="e">
        <f t="shared" si="1"/>
        <v>#NUM!</v>
      </c>
    </row>
    <row r="101" spans="5:6" x14ac:dyDescent="0.25">
      <c r="E101">
        <v>1000</v>
      </c>
      <c r="F101" t="e">
        <f t="shared" si="1"/>
        <v>#NUM!</v>
      </c>
    </row>
    <row r="102" spans="5:6" x14ac:dyDescent="0.25">
      <c r="E102">
        <v>1010</v>
      </c>
      <c r="F102" t="e">
        <f t="shared" si="1"/>
        <v>#NUM!</v>
      </c>
    </row>
    <row r="103" spans="5:6" x14ac:dyDescent="0.25">
      <c r="E103">
        <v>1020</v>
      </c>
      <c r="F103" t="e">
        <f t="shared" si="1"/>
        <v>#NUM!</v>
      </c>
    </row>
    <row r="104" spans="5:6" x14ac:dyDescent="0.25">
      <c r="E104">
        <v>1030</v>
      </c>
      <c r="F104" t="e">
        <f t="shared" si="1"/>
        <v>#NUM!</v>
      </c>
    </row>
    <row r="105" spans="5:6" x14ac:dyDescent="0.25">
      <c r="E105">
        <v>1040</v>
      </c>
      <c r="F105" t="e">
        <f t="shared" si="1"/>
        <v>#NUM!</v>
      </c>
    </row>
    <row r="106" spans="5:6" x14ac:dyDescent="0.25">
      <c r="E106">
        <v>1050</v>
      </c>
      <c r="F106" t="e">
        <f t="shared" si="1"/>
        <v>#NUM!</v>
      </c>
    </row>
    <row r="107" spans="5:6" x14ac:dyDescent="0.25">
      <c r="E107">
        <v>1060</v>
      </c>
      <c r="F107" t="e">
        <f t="shared" si="1"/>
        <v>#NUM!</v>
      </c>
    </row>
    <row r="108" spans="5:6" x14ac:dyDescent="0.25">
      <c r="E108">
        <v>1070</v>
      </c>
      <c r="F108" t="e">
        <f t="shared" si="1"/>
        <v>#NUM!</v>
      </c>
    </row>
    <row r="109" spans="5:6" x14ac:dyDescent="0.25">
      <c r="E109">
        <v>1080</v>
      </c>
      <c r="F109" t="e">
        <f t="shared" si="1"/>
        <v>#NUM!</v>
      </c>
    </row>
    <row r="110" spans="5:6" x14ac:dyDescent="0.25">
      <c r="E110">
        <v>1090</v>
      </c>
      <c r="F110" t="e">
        <f t="shared" si="1"/>
        <v>#NUM!</v>
      </c>
    </row>
    <row r="111" spans="5:6" x14ac:dyDescent="0.25">
      <c r="E111">
        <v>1100</v>
      </c>
      <c r="F111" t="e">
        <f t="shared" si="1"/>
        <v>#NUM!</v>
      </c>
    </row>
    <row r="112" spans="5:6" x14ac:dyDescent="0.25">
      <c r="E112">
        <v>1110</v>
      </c>
      <c r="F112" t="e">
        <f t="shared" si="1"/>
        <v>#NUM!</v>
      </c>
    </row>
    <row r="113" spans="5:6" x14ac:dyDescent="0.25">
      <c r="E113">
        <v>1120</v>
      </c>
      <c r="F113" t="e">
        <f t="shared" si="1"/>
        <v>#NUM!</v>
      </c>
    </row>
    <row r="114" spans="5:6" x14ac:dyDescent="0.25">
      <c r="E114">
        <v>1130</v>
      </c>
      <c r="F114" t="e">
        <f t="shared" si="1"/>
        <v>#NUM!</v>
      </c>
    </row>
    <row r="115" spans="5:6" x14ac:dyDescent="0.25">
      <c r="E115">
        <v>1140</v>
      </c>
      <c r="F115" t="e">
        <f t="shared" si="1"/>
        <v>#NUM!</v>
      </c>
    </row>
    <row r="116" spans="5:6" x14ac:dyDescent="0.25">
      <c r="E116">
        <v>1150</v>
      </c>
      <c r="F116" t="e">
        <f t="shared" si="1"/>
        <v>#NUM!</v>
      </c>
    </row>
    <row r="117" spans="5:6" x14ac:dyDescent="0.25">
      <c r="E117">
        <v>1160</v>
      </c>
      <c r="F117" t="e">
        <f t="shared" si="1"/>
        <v>#NUM!</v>
      </c>
    </row>
    <row r="118" spans="5:6" x14ac:dyDescent="0.25">
      <c r="E118">
        <v>1170</v>
      </c>
      <c r="F118" t="e">
        <f t="shared" si="1"/>
        <v>#NUM!</v>
      </c>
    </row>
    <row r="119" spans="5:6" x14ac:dyDescent="0.25">
      <c r="E119">
        <v>1180</v>
      </c>
      <c r="F119" t="e">
        <f t="shared" si="1"/>
        <v>#NUM!</v>
      </c>
    </row>
    <row r="120" spans="5:6" x14ac:dyDescent="0.25">
      <c r="E120">
        <v>1190</v>
      </c>
      <c r="F120" t="e">
        <f t="shared" si="1"/>
        <v>#NUM!</v>
      </c>
    </row>
    <row r="121" spans="5:6" x14ac:dyDescent="0.25">
      <c r="E121">
        <v>1200</v>
      </c>
      <c r="F121" t="e">
        <f t="shared" si="1"/>
        <v>#NUM!</v>
      </c>
    </row>
    <row r="122" spans="5:6" x14ac:dyDescent="0.25">
      <c r="E122">
        <v>1210</v>
      </c>
      <c r="F122" t="e">
        <f t="shared" si="1"/>
        <v>#NUM!</v>
      </c>
    </row>
    <row r="123" spans="5:6" x14ac:dyDescent="0.25">
      <c r="E123">
        <v>1220</v>
      </c>
      <c r="F123" t="e">
        <f t="shared" si="1"/>
        <v>#NUM!</v>
      </c>
    </row>
    <row r="124" spans="5:6" x14ac:dyDescent="0.25">
      <c r="E124">
        <v>1230</v>
      </c>
      <c r="F124" t="e">
        <f t="shared" si="1"/>
        <v>#NUM!</v>
      </c>
    </row>
    <row r="125" spans="5:6" x14ac:dyDescent="0.25">
      <c r="E125">
        <v>1240</v>
      </c>
      <c r="F125" t="e">
        <f t="shared" ref="F125:F134" si="2">LN(B125)</f>
        <v>#NUM!</v>
      </c>
    </row>
    <row r="126" spans="5:6" x14ac:dyDescent="0.25">
      <c r="E126">
        <v>1250</v>
      </c>
      <c r="F126" t="e">
        <f t="shared" si="2"/>
        <v>#NUM!</v>
      </c>
    </row>
    <row r="127" spans="5:6" x14ac:dyDescent="0.25">
      <c r="E127">
        <v>1260</v>
      </c>
      <c r="F127" t="e">
        <f t="shared" si="2"/>
        <v>#NUM!</v>
      </c>
    </row>
    <row r="128" spans="5:6" x14ac:dyDescent="0.25">
      <c r="E128">
        <v>1270</v>
      </c>
      <c r="F128" t="e">
        <f t="shared" si="2"/>
        <v>#NUM!</v>
      </c>
    </row>
    <row r="129" spans="5:6" x14ac:dyDescent="0.25">
      <c r="E129">
        <v>1280</v>
      </c>
      <c r="F129" t="e">
        <f t="shared" si="2"/>
        <v>#NUM!</v>
      </c>
    </row>
    <row r="130" spans="5:6" x14ac:dyDescent="0.25">
      <c r="E130">
        <v>1290</v>
      </c>
      <c r="F130" t="e">
        <f t="shared" si="2"/>
        <v>#NUM!</v>
      </c>
    </row>
    <row r="131" spans="5:6" x14ac:dyDescent="0.25">
      <c r="E131">
        <v>1300</v>
      </c>
      <c r="F131" t="e">
        <f t="shared" si="2"/>
        <v>#NUM!</v>
      </c>
    </row>
    <row r="132" spans="5:6" x14ac:dyDescent="0.25">
      <c r="E132">
        <v>1310</v>
      </c>
      <c r="F132" t="e">
        <f t="shared" si="2"/>
        <v>#NUM!</v>
      </c>
    </row>
    <row r="133" spans="5:6" x14ac:dyDescent="0.25">
      <c r="E133">
        <v>1320</v>
      </c>
      <c r="F133" t="e">
        <f t="shared" si="2"/>
        <v>#NUM!</v>
      </c>
    </row>
    <row r="134" spans="5:6" x14ac:dyDescent="0.25">
      <c r="E134">
        <v>1330</v>
      </c>
      <c r="F134" t="e">
        <f t="shared" si="2"/>
        <v>#NUM!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5"/>
  <sheetViews>
    <sheetView topLeftCell="E1" zoomScaleNormal="100" workbookViewId="0">
      <selection activeCell="J3" sqref="J3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1.5703125" bestFit="1" customWidth="1"/>
    <col min="14" max="14" width="16.7109375" bestFit="1" customWidth="1"/>
  </cols>
  <sheetData>
    <row r="1" spans="1:11" x14ac:dyDescent="0.25">
      <c r="A1">
        <v>1000</v>
      </c>
      <c r="B1">
        <v>3214.7729490000002</v>
      </c>
      <c r="C1">
        <v>-32.611282000000003</v>
      </c>
      <c r="D1" t="s">
        <v>120</v>
      </c>
      <c r="E1">
        <v>0</v>
      </c>
      <c r="F1">
        <f t="shared" ref="F1:F32" si="0">LN(B1)</f>
        <v>8.0755120117828181</v>
      </c>
      <c r="I1" s="1" t="s">
        <v>0</v>
      </c>
      <c r="J1" s="1" t="s">
        <v>5</v>
      </c>
    </row>
    <row r="2" spans="1:11" x14ac:dyDescent="0.25">
      <c r="A2">
        <v>1000</v>
      </c>
      <c r="B2">
        <v>3168.4028320000002</v>
      </c>
      <c r="C2">
        <v>-32.363002999999999</v>
      </c>
      <c r="D2" t="s">
        <v>121</v>
      </c>
      <c r="E2">
        <v>10</v>
      </c>
      <c r="F2">
        <f t="shared" si="0"/>
        <v>8.0609829014162617</v>
      </c>
      <c r="H2" t="s">
        <v>1</v>
      </c>
      <c r="I2">
        <f>1/(0.00009)</f>
        <v>11111.111111111111</v>
      </c>
      <c r="J2">
        <f>1/(0.0002)</f>
        <v>5000</v>
      </c>
      <c r="K2" s="3" t="s">
        <v>2</v>
      </c>
    </row>
    <row r="3" spans="1:11" x14ac:dyDescent="0.25">
      <c r="A3">
        <v>1000</v>
      </c>
      <c r="B3">
        <v>3125.7993160000001</v>
      </c>
      <c r="C3">
        <v>-32.013160999999997</v>
      </c>
      <c r="D3" t="s">
        <v>122</v>
      </c>
      <c r="E3">
        <v>20</v>
      </c>
      <c r="F3">
        <f t="shared" si="0"/>
        <v>8.047445310584088</v>
      </c>
      <c r="I3">
        <f>I2/60</f>
        <v>185.18518518518519</v>
      </c>
      <c r="J3">
        <f>J2/60</f>
        <v>83.333333333333329</v>
      </c>
      <c r="K3" s="3" t="s">
        <v>3</v>
      </c>
    </row>
    <row r="4" spans="1:11" x14ac:dyDescent="0.25">
      <c r="A4">
        <v>1000</v>
      </c>
      <c r="B4">
        <v>3099.032471</v>
      </c>
      <c r="C4">
        <v>-31.863731000000001</v>
      </c>
      <c r="D4" t="s">
        <v>123</v>
      </c>
      <c r="E4">
        <v>30</v>
      </c>
      <c r="F4">
        <f t="shared" si="0"/>
        <v>8.0388452356289513</v>
      </c>
      <c r="I4">
        <f>I3/60</f>
        <v>3.0864197530864197</v>
      </c>
      <c r="J4">
        <f>J3/60</f>
        <v>1.3888888888888888</v>
      </c>
      <c r="K4" s="3" t="s">
        <v>4</v>
      </c>
    </row>
    <row r="5" spans="1:11" x14ac:dyDescent="0.25">
      <c r="A5">
        <v>1000</v>
      </c>
      <c r="B5">
        <v>3067.070068</v>
      </c>
      <c r="C5">
        <v>-31.503903999999999</v>
      </c>
      <c r="D5" t="s">
        <v>124</v>
      </c>
      <c r="E5">
        <v>40</v>
      </c>
      <c r="F5">
        <f t="shared" si="0"/>
        <v>8.0284780096309234</v>
      </c>
    </row>
    <row r="6" spans="1:11" x14ac:dyDescent="0.25">
      <c r="A6">
        <v>1000</v>
      </c>
      <c r="B6">
        <v>3042.290039</v>
      </c>
      <c r="C6">
        <v>-31.299012999999999</v>
      </c>
      <c r="D6" t="s">
        <v>125</v>
      </c>
      <c r="E6">
        <v>50</v>
      </c>
      <c r="F6">
        <f t="shared" si="0"/>
        <v>8.0203658131131288</v>
      </c>
    </row>
    <row r="7" spans="1:11" x14ac:dyDescent="0.25">
      <c r="A7">
        <v>1000</v>
      </c>
      <c r="B7">
        <v>3024.3002929999998</v>
      </c>
      <c r="C7">
        <v>-31.148613000000001</v>
      </c>
      <c r="D7" t="s">
        <v>126</v>
      </c>
      <c r="E7">
        <v>60</v>
      </c>
      <c r="F7">
        <f t="shared" si="0"/>
        <v>8.0144350356099245</v>
      </c>
    </row>
    <row r="8" spans="1:11" x14ac:dyDescent="0.25">
      <c r="A8">
        <v>1000</v>
      </c>
      <c r="B8">
        <v>3011.755615</v>
      </c>
      <c r="C8">
        <v>-31.092915999999999</v>
      </c>
      <c r="D8" t="s">
        <v>127</v>
      </c>
      <c r="E8">
        <v>70</v>
      </c>
      <c r="F8">
        <f t="shared" si="0"/>
        <v>8.010278448509796</v>
      </c>
    </row>
    <row r="9" spans="1:11" x14ac:dyDescent="0.25">
      <c r="A9">
        <v>1000</v>
      </c>
      <c r="B9">
        <v>2997.7790530000002</v>
      </c>
      <c r="C9">
        <v>-31.030093999999998</v>
      </c>
      <c r="D9" t="s">
        <v>128</v>
      </c>
      <c r="E9">
        <v>80</v>
      </c>
      <c r="F9">
        <f t="shared" si="0"/>
        <v>8.0056269778146145</v>
      </c>
    </row>
    <row r="10" spans="1:11" x14ac:dyDescent="0.25">
      <c r="A10">
        <v>1000</v>
      </c>
      <c r="B10">
        <v>2932.9169919999999</v>
      </c>
      <c r="C10">
        <v>-29.208577999999999</v>
      </c>
      <c r="D10" t="s">
        <v>129</v>
      </c>
      <c r="E10">
        <v>90</v>
      </c>
      <c r="F10">
        <f t="shared" si="0"/>
        <v>7.9837527671790731</v>
      </c>
    </row>
    <row r="11" spans="1:11" x14ac:dyDescent="0.25">
      <c r="A11">
        <v>1000</v>
      </c>
      <c r="B11">
        <v>2901.2265630000002</v>
      </c>
      <c r="C11">
        <v>-29.393456</v>
      </c>
      <c r="D11" t="s">
        <v>130</v>
      </c>
      <c r="E11">
        <v>100</v>
      </c>
      <c r="F11">
        <f t="shared" si="0"/>
        <v>7.9728888793138806</v>
      </c>
    </row>
    <row r="12" spans="1:11" x14ac:dyDescent="0.25">
      <c r="A12">
        <v>1000</v>
      </c>
      <c r="B12">
        <v>2888.7092290000001</v>
      </c>
      <c r="C12">
        <v>-29.366764</v>
      </c>
      <c r="D12" t="s">
        <v>131</v>
      </c>
      <c r="E12">
        <v>110</v>
      </c>
      <c r="F12">
        <f t="shared" si="0"/>
        <v>7.9685650477719854</v>
      </c>
    </row>
    <row r="13" spans="1:11" x14ac:dyDescent="0.25">
      <c r="A13">
        <v>1000</v>
      </c>
      <c r="B13">
        <v>2871.9562989999999</v>
      </c>
      <c r="C13">
        <v>-29.173416</v>
      </c>
      <c r="D13" t="s">
        <v>132</v>
      </c>
      <c r="E13">
        <v>120</v>
      </c>
      <c r="F13">
        <f t="shared" si="0"/>
        <v>7.9627487138267199</v>
      </c>
    </row>
    <row r="14" spans="1:11" x14ac:dyDescent="0.25">
      <c r="A14">
        <v>1000</v>
      </c>
      <c r="B14">
        <v>2856.7563479999999</v>
      </c>
      <c r="C14">
        <v>-29.002908999999999</v>
      </c>
      <c r="D14" t="s">
        <v>133</v>
      </c>
      <c r="E14">
        <v>130</v>
      </c>
      <c r="F14">
        <f t="shared" si="0"/>
        <v>7.9574421161298936</v>
      </c>
    </row>
    <row r="15" spans="1:11" x14ac:dyDescent="0.25">
      <c r="A15">
        <v>1000</v>
      </c>
      <c r="B15">
        <v>2853.4338379999999</v>
      </c>
      <c r="C15">
        <v>-29.089977000000001</v>
      </c>
      <c r="D15" t="s">
        <v>134</v>
      </c>
      <c r="E15">
        <v>140</v>
      </c>
      <c r="F15">
        <f t="shared" si="0"/>
        <v>7.9562784034454728</v>
      </c>
    </row>
    <row r="16" spans="1:11" x14ac:dyDescent="0.25">
      <c r="A16">
        <v>1000</v>
      </c>
      <c r="B16">
        <v>2845.8496089999999</v>
      </c>
      <c r="C16">
        <v>-29.032768000000001</v>
      </c>
      <c r="D16" t="s">
        <v>135</v>
      </c>
      <c r="E16">
        <v>150</v>
      </c>
      <c r="F16">
        <f t="shared" si="0"/>
        <v>7.9536169343161047</v>
      </c>
    </row>
    <row r="17" spans="1:6" x14ac:dyDescent="0.25">
      <c r="A17">
        <v>1000</v>
      </c>
      <c r="B17">
        <v>2837.4833979999999</v>
      </c>
      <c r="C17">
        <v>-28.943608999999999</v>
      </c>
      <c r="D17" t="s">
        <v>136</v>
      </c>
      <c r="E17">
        <v>160</v>
      </c>
      <c r="F17">
        <f t="shared" si="0"/>
        <v>7.9506728108474309</v>
      </c>
    </row>
    <row r="18" spans="1:6" x14ac:dyDescent="0.25">
      <c r="A18">
        <v>1000</v>
      </c>
      <c r="B18">
        <v>2829.9804690000001</v>
      </c>
      <c r="C18">
        <v>-28.870989000000002</v>
      </c>
      <c r="D18" t="s">
        <v>137</v>
      </c>
      <c r="E18">
        <v>170</v>
      </c>
      <c r="F18">
        <f t="shared" si="0"/>
        <v>7.9480250892000406</v>
      </c>
    </row>
    <row r="19" spans="1:6" x14ac:dyDescent="0.25">
      <c r="A19">
        <v>1000</v>
      </c>
      <c r="B19">
        <v>2821.3039549999999</v>
      </c>
      <c r="C19">
        <v>-28.723607999999999</v>
      </c>
      <c r="D19" t="s">
        <v>138</v>
      </c>
      <c r="E19">
        <v>180</v>
      </c>
      <c r="F19">
        <f t="shared" si="0"/>
        <v>7.9449544524504248</v>
      </c>
    </row>
    <row r="20" spans="1:6" x14ac:dyDescent="0.25">
      <c r="A20">
        <v>1000</v>
      </c>
      <c r="B20">
        <v>2809.8552249999998</v>
      </c>
      <c r="C20">
        <v>-28.549900000000001</v>
      </c>
      <c r="D20" t="s">
        <v>139</v>
      </c>
      <c r="E20">
        <v>190</v>
      </c>
      <c r="F20">
        <f t="shared" si="0"/>
        <v>7.9408882396482081</v>
      </c>
    </row>
    <row r="21" spans="1:6" x14ac:dyDescent="0.25">
      <c r="A21">
        <v>1000</v>
      </c>
      <c r="B21">
        <v>2800.1389159999999</v>
      </c>
      <c r="C21">
        <v>-28.399597</v>
      </c>
      <c r="D21" t="s">
        <v>140</v>
      </c>
      <c r="E21">
        <v>200</v>
      </c>
      <c r="F21">
        <f t="shared" si="0"/>
        <v>7.9374243077897608</v>
      </c>
    </row>
    <row r="22" spans="1:6" x14ac:dyDescent="0.25">
      <c r="A22">
        <v>1000</v>
      </c>
      <c r="B22">
        <v>2787.6857909999999</v>
      </c>
      <c r="C22">
        <v>-28.247326000000001</v>
      </c>
      <c r="D22" t="s">
        <v>141</v>
      </c>
      <c r="E22">
        <v>210</v>
      </c>
      <c r="F22">
        <f t="shared" si="0"/>
        <v>7.9329670650270838</v>
      </c>
    </row>
    <row r="23" spans="1:6" x14ac:dyDescent="0.25">
      <c r="A23">
        <v>1000</v>
      </c>
      <c r="B23">
        <v>2585.3171390000002</v>
      </c>
      <c r="C23">
        <v>-25.619067999999999</v>
      </c>
      <c r="D23" t="s">
        <v>142</v>
      </c>
      <c r="E23">
        <v>220</v>
      </c>
      <c r="F23">
        <f t="shared" si="0"/>
        <v>7.8576034637501113</v>
      </c>
    </row>
    <row r="24" spans="1:6" x14ac:dyDescent="0.25">
      <c r="A24">
        <v>1000</v>
      </c>
      <c r="B24">
        <v>2581.2224120000001</v>
      </c>
      <c r="C24">
        <v>-25.394627</v>
      </c>
      <c r="D24" t="s">
        <v>143</v>
      </c>
      <c r="E24">
        <v>230</v>
      </c>
      <c r="F24">
        <f t="shared" si="0"/>
        <v>7.8560183688071907</v>
      </c>
    </row>
    <row r="25" spans="1:6" x14ac:dyDescent="0.25">
      <c r="A25">
        <v>1000</v>
      </c>
      <c r="B25">
        <v>2576.1276859999998</v>
      </c>
      <c r="C25">
        <v>-25.235142</v>
      </c>
      <c r="D25" t="s">
        <v>144</v>
      </c>
      <c r="E25">
        <v>240</v>
      </c>
      <c r="F25">
        <f t="shared" si="0"/>
        <v>7.8540426535423977</v>
      </c>
    </row>
    <row r="26" spans="1:6" x14ac:dyDescent="0.25">
      <c r="A26">
        <v>1000</v>
      </c>
      <c r="B26">
        <v>2571.2346189999998</v>
      </c>
      <c r="C26">
        <v>-25.137647999999999</v>
      </c>
      <c r="D26" t="s">
        <v>145</v>
      </c>
      <c r="E26">
        <v>250</v>
      </c>
      <c r="F26">
        <f t="shared" si="0"/>
        <v>7.8521414590338647</v>
      </c>
    </row>
    <row r="27" spans="1:6" x14ac:dyDescent="0.25">
      <c r="A27">
        <v>1000</v>
      </c>
      <c r="B27">
        <v>2567.7951659999999</v>
      </c>
      <c r="C27">
        <v>-25.054607000000001</v>
      </c>
      <c r="D27" t="s">
        <v>146</v>
      </c>
      <c r="E27">
        <v>260</v>
      </c>
      <c r="F27">
        <f t="shared" si="0"/>
        <v>7.8508028976098414</v>
      </c>
    </row>
    <row r="28" spans="1:6" x14ac:dyDescent="0.25">
      <c r="A28">
        <v>1000</v>
      </c>
      <c r="B28">
        <v>2565.1921390000002</v>
      </c>
      <c r="C28">
        <v>-25.019895999999999</v>
      </c>
      <c r="D28" t="s">
        <v>147</v>
      </c>
      <c r="E28">
        <v>270</v>
      </c>
      <c r="F28">
        <f t="shared" si="0"/>
        <v>7.8497886627916094</v>
      </c>
    </row>
    <row r="29" spans="1:6" x14ac:dyDescent="0.25">
      <c r="A29">
        <v>1000</v>
      </c>
      <c r="B29">
        <v>2560.9692380000001</v>
      </c>
      <c r="C29">
        <v>-24.880559999999999</v>
      </c>
      <c r="D29" t="s">
        <v>148</v>
      </c>
      <c r="E29">
        <v>280</v>
      </c>
      <c r="F29">
        <f t="shared" si="0"/>
        <v>7.8481410744132099</v>
      </c>
    </row>
    <row r="30" spans="1:6" x14ac:dyDescent="0.25">
      <c r="A30">
        <v>1000</v>
      </c>
      <c r="B30">
        <v>2560.266357</v>
      </c>
      <c r="C30">
        <v>-24.893277999999999</v>
      </c>
      <c r="D30" t="s">
        <v>149</v>
      </c>
      <c r="E30">
        <v>290</v>
      </c>
      <c r="F30">
        <f t="shared" si="0"/>
        <v>7.8478665777643544</v>
      </c>
    </row>
    <row r="31" spans="1:6" x14ac:dyDescent="0.25">
      <c r="A31">
        <v>1000</v>
      </c>
      <c r="B31">
        <v>2558.3188479999999</v>
      </c>
      <c r="C31">
        <v>-24.862801000000001</v>
      </c>
      <c r="D31" t="s">
        <v>150</v>
      </c>
      <c r="E31">
        <v>300</v>
      </c>
      <c r="F31">
        <f t="shared" si="0"/>
        <v>7.847105621751715</v>
      </c>
    </row>
    <row r="32" spans="1:6" x14ac:dyDescent="0.25">
      <c r="A32">
        <v>1000</v>
      </c>
      <c r="B32">
        <v>2554.9313959999999</v>
      </c>
      <c r="C32">
        <v>-24.779447999999999</v>
      </c>
      <c r="D32" t="s">
        <v>151</v>
      </c>
      <c r="E32">
        <v>310</v>
      </c>
      <c r="F32">
        <f t="shared" si="0"/>
        <v>7.8457806513966872</v>
      </c>
    </row>
    <row r="33" spans="1:6" x14ac:dyDescent="0.25">
      <c r="A33">
        <v>1000</v>
      </c>
      <c r="B33">
        <v>2550.3007809999999</v>
      </c>
      <c r="C33">
        <v>-24.666283</v>
      </c>
      <c r="D33" t="s">
        <v>152</v>
      </c>
      <c r="E33">
        <v>320</v>
      </c>
      <c r="F33">
        <f t="shared" ref="F33:F64" si="1">LN(B33)</f>
        <v>7.8439665845298574</v>
      </c>
    </row>
    <row r="34" spans="1:6" x14ac:dyDescent="0.25">
      <c r="A34">
        <v>1000</v>
      </c>
      <c r="B34">
        <v>2546.9609380000002</v>
      </c>
      <c r="C34">
        <v>-24.610153</v>
      </c>
      <c r="D34" t="s">
        <v>153</v>
      </c>
      <c r="E34">
        <v>330</v>
      </c>
      <c r="F34">
        <f t="shared" si="1"/>
        <v>7.8426561383875688</v>
      </c>
    </row>
    <row r="35" spans="1:6" x14ac:dyDescent="0.25">
      <c r="A35">
        <v>1000</v>
      </c>
      <c r="B35">
        <v>2544.398193</v>
      </c>
      <c r="C35">
        <v>-24.527508000000001</v>
      </c>
      <c r="D35" t="s">
        <v>154</v>
      </c>
      <c r="E35">
        <v>340</v>
      </c>
      <c r="F35">
        <f t="shared" si="1"/>
        <v>7.8416494346173193</v>
      </c>
    </row>
    <row r="36" spans="1:6" x14ac:dyDescent="0.25">
      <c r="A36">
        <v>1000</v>
      </c>
      <c r="B36">
        <v>2540.3098140000002</v>
      </c>
      <c r="C36">
        <v>-24.430489999999999</v>
      </c>
      <c r="D36" t="s">
        <v>155</v>
      </c>
      <c r="E36">
        <v>350</v>
      </c>
      <c r="F36">
        <f t="shared" si="1"/>
        <v>7.8400413265901046</v>
      </c>
    </row>
    <row r="37" spans="1:6" x14ac:dyDescent="0.25">
      <c r="A37">
        <v>1000</v>
      </c>
      <c r="B37">
        <v>2537.6953130000002</v>
      </c>
      <c r="C37">
        <v>-24.380699</v>
      </c>
      <c r="D37" t="s">
        <v>156</v>
      </c>
      <c r="E37">
        <v>360</v>
      </c>
      <c r="F37">
        <f t="shared" si="1"/>
        <v>7.8390115910283491</v>
      </c>
    </row>
    <row r="38" spans="1:6" x14ac:dyDescent="0.25">
      <c r="A38">
        <v>1000</v>
      </c>
      <c r="B38">
        <v>2534.030029</v>
      </c>
      <c r="C38">
        <v>-24.270406999999999</v>
      </c>
      <c r="D38" t="s">
        <v>157</v>
      </c>
      <c r="E38">
        <v>370</v>
      </c>
      <c r="F38">
        <f t="shared" si="1"/>
        <v>7.8375662112449644</v>
      </c>
    </row>
    <row r="39" spans="1:6" x14ac:dyDescent="0.25">
      <c r="A39">
        <v>1000</v>
      </c>
      <c r="B39">
        <v>2531.036865</v>
      </c>
      <c r="C39">
        <v>-24.167515000000002</v>
      </c>
      <c r="D39" t="s">
        <v>158</v>
      </c>
      <c r="E39">
        <v>380</v>
      </c>
      <c r="F39">
        <f t="shared" si="1"/>
        <v>7.8363843258282238</v>
      </c>
    </row>
    <row r="40" spans="1:6" x14ac:dyDescent="0.25">
      <c r="A40">
        <v>1000</v>
      </c>
      <c r="B40">
        <v>2530.3950199999999</v>
      </c>
      <c r="C40">
        <v>-24.18018</v>
      </c>
      <c r="D40" t="s">
        <v>159</v>
      </c>
      <c r="E40">
        <v>390</v>
      </c>
      <c r="F40">
        <f t="shared" si="1"/>
        <v>7.8361307039212127</v>
      </c>
    </row>
    <row r="41" spans="1:6" x14ac:dyDescent="0.25">
      <c r="A41">
        <v>1000</v>
      </c>
      <c r="B41">
        <v>2531.4736330000001</v>
      </c>
      <c r="C41">
        <v>-24.197842000000001</v>
      </c>
      <c r="D41" t="s">
        <v>160</v>
      </c>
      <c r="E41">
        <v>400</v>
      </c>
      <c r="F41">
        <f t="shared" si="1"/>
        <v>7.8365568757918265</v>
      </c>
    </row>
    <row r="42" spans="1:6" x14ac:dyDescent="0.25">
      <c r="A42">
        <v>1000</v>
      </c>
      <c r="B42">
        <v>2529.8215329999998</v>
      </c>
      <c r="C42">
        <v>-24.158978999999999</v>
      </c>
      <c r="D42" t="s">
        <v>161</v>
      </c>
      <c r="E42">
        <v>410</v>
      </c>
      <c r="F42">
        <f t="shared" si="1"/>
        <v>7.8359040389172749</v>
      </c>
    </row>
    <row r="43" spans="1:6" x14ac:dyDescent="0.25">
      <c r="A43">
        <v>1000</v>
      </c>
      <c r="B43">
        <v>2526.7641600000002</v>
      </c>
      <c r="C43">
        <v>-24.094048999999998</v>
      </c>
      <c r="D43" t="s">
        <v>162</v>
      </c>
      <c r="E43">
        <v>420</v>
      </c>
      <c r="F43">
        <f t="shared" si="1"/>
        <v>7.8346947749758753</v>
      </c>
    </row>
    <row r="44" spans="1:6" x14ac:dyDescent="0.25">
      <c r="A44">
        <v>1000</v>
      </c>
      <c r="B44">
        <v>2524.530518</v>
      </c>
      <c r="C44">
        <v>-24.017443</v>
      </c>
      <c r="D44" t="s">
        <v>163</v>
      </c>
      <c r="E44">
        <v>430</v>
      </c>
      <c r="F44">
        <f t="shared" si="1"/>
        <v>7.8338103909563443</v>
      </c>
    </row>
    <row r="45" spans="1:6" x14ac:dyDescent="0.25">
      <c r="A45">
        <v>1000</v>
      </c>
      <c r="B45">
        <v>2522.0988769999999</v>
      </c>
      <c r="C45">
        <v>-23.977758000000001</v>
      </c>
      <c r="D45" t="s">
        <v>164</v>
      </c>
      <c r="E45">
        <v>440</v>
      </c>
      <c r="F45">
        <f t="shared" si="1"/>
        <v>7.8328467215453941</v>
      </c>
    </row>
    <row r="46" spans="1:6" x14ac:dyDescent="0.25">
      <c r="A46">
        <v>1000</v>
      </c>
      <c r="B46">
        <v>2520.6840820000002</v>
      </c>
      <c r="C46">
        <v>-23.923020999999999</v>
      </c>
      <c r="D46" t="s">
        <v>165</v>
      </c>
      <c r="E46">
        <v>450</v>
      </c>
      <c r="F46">
        <f t="shared" si="1"/>
        <v>7.8322856047776792</v>
      </c>
    </row>
    <row r="47" spans="1:6" x14ac:dyDescent="0.25">
      <c r="A47">
        <v>1000</v>
      </c>
      <c r="B47">
        <v>2519.6938479999999</v>
      </c>
      <c r="C47">
        <v>-23.929387999999999</v>
      </c>
      <c r="D47" t="s">
        <v>166</v>
      </c>
      <c r="E47">
        <v>460</v>
      </c>
      <c r="F47">
        <f t="shared" si="1"/>
        <v>7.8318926842362071</v>
      </c>
    </row>
    <row r="48" spans="1:6" x14ac:dyDescent="0.25">
      <c r="A48">
        <v>1000</v>
      </c>
      <c r="B48">
        <v>2518.8715820000002</v>
      </c>
      <c r="C48">
        <v>-23.905455</v>
      </c>
      <c r="D48" t="s">
        <v>167</v>
      </c>
      <c r="E48">
        <v>470</v>
      </c>
      <c r="F48">
        <f t="shared" si="1"/>
        <v>7.8315662952992282</v>
      </c>
    </row>
    <row r="49" spans="1:6" x14ac:dyDescent="0.25">
      <c r="A49">
        <v>1000</v>
      </c>
      <c r="B49">
        <v>2518.609375</v>
      </c>
      <c r="C49">
        <v>-23.912901000000002</v>
      </c>
      <c r="D49" t="s">
        <v>168</v>
      </c>
      <c r="E49">
        <v>480</v>
      </c>
      <c r="F49">
        <f t="shared" si="1"/>
        <v>7.8314621928708616</v>
      </c>
    </row>
    <row r="50" spans="1:6" x14ac:dyDescent="0.25">
      <c r="A50">
        <v>1000</v>
      </c>
      <c r="B50">
        <v>2516.564453</v>
      </c>
      <c r="C50">
        <v>-23.852492999999999</v>
      </c>
      <c r="D50" t="s">
        <v>169</v>
      </c>
      <c r="E50">
        <v>490</v>
      </c>
      <c r="F50">
        <f t="shared" si="1"/>
        <v>7.8306499380481744</v>
      </c>
    </row>
    <row r="51" spans="1:6" x14ac:dyDescent="0.25">
      <c r="A51">
        <v>1000</v>
      </c>
      <c r="B51">
        <v>2514.5061040000001</v>
      </c>
      <c r="C51">
        <v>-23.780024000000001</v>
      </c>
      <c r="D51" t="s">
        <v>170</v>
      </c>
      <c r="E51">
        <v>500</v>
      </c>
      <c r="F51">
        <f t="shared" si="1"/>
        <v>7.8298316831294548</v>
      </c>
    </row>
    <row r="52" spans="1:6" x14ac:dyDescent="0.25">
      <c r="A52">
        <v>1000</v>
      </c>
      <c r="B52">
        <v>2513.2094729999999</v>
      </c>
      <c r="C52">
        <v>-23.739806999999999</v>
      </c>
      <c r="D52" t="s">
        <v>171</v>
      </c>
      <c r="E52">
        <v>510</v>
      </c>
      <c r="F52">
        <f t="shared" si="1"/>
        <v>7.8293158898197941</v>
      </c>
    </row>
    <row r="53" spans="1:6" x14ac:dyDescent="0.25">
      <c r="A53">
        <v>1000</v>
      </c>
      <c r="B53">
        <v>2510.7451169999999</v>
      </c>
      <c r="C53">
        <v>-23.651672000000001</v>
      </c>
      <c r="D53" t="s">
        <v>172</v>
      </c>
      <c r="E53">
        <v>520</v>
      </c>
      <c r="F53">
        <f t="shared" si="1"/>
        <v>7.8283348474343573</v>
      </c>
    </row>
    <row r="54" spans="1:6" x14ac:dyDescent="0.25">
      <c r="A54">
        <v>1000</v>
      </c>
      <c r="B54">
        <v>2510.33374</v>
      </c>
      <c r="C54">
        <v>-23.648803999999998</v>
      </c>
      <c r="D54" t="s">
        <v>173</v>
      </c>
      <c r="E54">
        <v>530</v>
      </c>
      <c r="F54">
        <f t="shared" si="1"/>
        <v>7.8281709874303074</v>
      </c>
    </row>
    <row r="55" spans="1:6" x14ac:dyDescent="0.25">
      <c r="A55">
        <v>1000</v>
      </c>
      <c r="B55">
        <v>2507.3229980000001</v>
      </c>
      <c r="C55">
        <v>-23.592441999999998</v>
      </c>
      <c r="D55" t="s">
        <v>174</v>
      </c>
      <c r="E55">
        <v>540</v>
      </c>
      <c r="F55">
        <f t="shared" si="1"/>
        <v>7.826970928311666</v>
      </c>
    </row>
    <row r="56" spans="1:6" x14ac:dyDescent="0.25">
      <c r="A56">
        <v>1000</v>
      </c>
      <c r="B56">
        <v>2506.2387699999999</v>
      </c>
      <c r="C56">
        <v>-23.561706999999998</v>
      </c>
      <c r="D56" t="s">
        <v>175</v>
      </c>
      <c r="E56">
        <v>550</v>
      </c>
      <c r="F56">
        <f t="shared" si="1"/>
        <v>7.8265384102468358</v>
      </c>
    </row>
    <row r="57" spans="1:6" x14ac:dyDescent="0.25">
      <c r="A57">
        <v>1000</v>
      </c>
      <c r="B57">
        <v>2505.9174800000001</v>
      </c>
      <c r="C57">
        <v>-23.554438000000001</v>
      </c>
      <c r="D57" t="s">
        <v>176</v>
      </c>
      <c r="E57">
        <v>560</v>
      </c>
      <c r="F57">
        <f t="shared" si="1"/>
        <v>7.8264102059433727</v>
      </c>
    </row>
    <row r="58" spans="1:6" x14ac:dyDescent="0.25">
      <c r="A58">
        <v>1000</v>
      </c>
      <c r="B58">
        <v>2506.1508789999998</v>
      </c>
      <c r="C58">
        <v>-23.564109999999999</v>
      </c>
      <c r="D58" t="s">
        <v>177</v>
      </c>
      <c r="E58">
        <v>570</v>
      </c>
      <c r="F58">
        <f t="shared" si="1"/>
        <v>7.8265033407465916</v>
      </c>
    </row>
    <row r="59" spans="1:6" x14ac:dyDescent="0.25">
      <c r="A59">
        <v>1000</v>
      </c>
      <c r="B59">
        <v>2502.5195309999999</v>
      </c>
      <c r="C59">
        <v>-23.486792000000001</v>
      </c>
      <c r="D59" t="s">
        <v>178</v>
      </c>
      <c r="E59">
        <v>580</v>
      </c>
      <c r="F59">
        <f t="shared" si="1"/>
        <v>7.8250533157543245</v>
      </c>
    </row>
    <row r="60" spans="1:6" x14ac:dyDescent="0.25">
      <c r="A60">
        <v>1000</v>
      </c>
      <c r="B60">
        <v>2500.6225589999999</v>
      </c>
      <c r="C60">
        <v>-23.402002</v>
      </c>
      <c r="D60" t="s">
        <v>179</v>
      </c>
      <c r="E60">
        <v>590</v>
      </c>
      <c r="F60">
        <f t="shared" si="1"/>
        <v>7.8242950034550622</v>
      </c>
    </row>
    <row r="61" spans="1:6" x14ac:dyDescent="0.25">
      <c r="A61">
        <v>1000</v>
      </c>
      <c r="B61">
        <v>2500.1987300000001</v>
      </c>
      <c r="C61">
        <v>-23.391304000000002</v>
      </c>
      <c r="D61" t="s">
        <v>180</v>
      </c>
      <c r="E61">
        <v>600</v>
      </c>
      <c r="F61">
        <f t="shared" si="1"/>
        <v>7.8241254996969705</v>
      </c>
    </row>
    <row r="62" spans="1:6" x14ac:dyDescent="0.25">
      <c r="A62">
        <v>1000</v>
      </c>
      <c r="B62">
        <v>2496.900635</v>
      </c>
      <c r="C62">
        <v>-23.30508</v>
      </c>
      <c r="D62" t="s">
        <v>181</v>
      </c>
      <c r="E62">
        <v>610</v>
      </c>
      <c r="F62">
        <f t="shared" si="1"/>
        <v>7.8228054957354782</v>
      </c>
    </row>
    <row r="63" spans="1:6" x14ac:dyDescent="0.25">
      <c r="A63">
        <v>1000</v>
      </c>
      <c r="B63">
        <v>2495.2165530000002</v>
      </c>
      <c r="C63">
        <v>-23.243734</v>
      </c>
      <c r="D63" t="s">
        <v>182</v>
      </c>
      <c r="E63">
        <v>620</v>
      </c>
      <c r="F63">
        <f t="shared" si="1"/>
        <v>7.8221307992087485</v>
      </c>
    </row>
    <row r="64" spans="1:6" x14ac:dyDescent="0.25">
      <c r="A64">
        <v>1000</v>
      </c>
      <c r="B64">
        <v>2491.5407709999999</v>
      </c>
      <c r="C64">
        <v>-23.144476000000001</v>
      </c>
      <c r="D64" t="s">
        <v>183</v>
      </c>
      <c r="E64">
        <v>630</v>
      </c>
      <c r="F64">
        <f t="shared" si="1"/>
        <v>7.8206565816252978</v>
      </c>
    </row>
    <row r="65" spans="1:6" x14ac:dyDescent="0.25">
      <c r="A65">
        <v>1000</v>
      </c>
      <c r="B65">
        <v>2491.3098140000002</v>
      </c>
      <c r="C65">
        <v>-23.151648000000002</v>
      </c>
      <c r="D65" t="s">
        <v>184</v>
      </c>
      <c r="E65">
        <v>640</v>
      </c>
      <c r="F65">
        <f t="shared" ref="F65:F96" si="2">LN(B65)</f>
        <v>7.8205638808724958</v>
      </c>
    </row>
    <row r="66" spans="1:6" x14ac:dyDescent="0.25">
      <c r="A66">
        <v>1000</v>
      </c>
      <c r="B66">
        <v>2490.2854000000002</v>
      </c>
      <c r="C66">
        <v>-23.142741999999998</v>
      </c>
      <c r="D66" t="s">
        <v>185</v>
      </c>
      <c r="E66">
        <v>650</v>
      </c>
      <c r="F66">
        <f t="shared" si="2"/>
        <v>7.8201526013644536</v>
      </c>
    </row>
    <row r="67" spans="1:6" x14ac:dyDescent="0.25">
      <c r="A67">
        <v>1000</v>
      </c>
      <c r="B67">
        <v>2490.2941890000002</v>
      </c>
      <c r="C67">
        <v>-23.134245</v>
      </c>
      <c r="D67" t="s">
        <v>186</v>
      </c>
      <c r="E67">
        <v>660</v>
      </c>
      <c r="F67">
        <f t="shared" si="2"/>
        <v>7.8201561306725766</v>
      </c>
    </row>
    <row r="68" spans="1:6" x14ac:dyDescent="0.25">
      <c r="A68">
        <v>1000</v>
      </c>
      <c r="B68">
        <v>2489.9882809999999</v>
      </c>
      <c r="C68">
        <v>-23.119736</v>
      </c>
      <c r="D68" t="s">
        <v>187</v>
      </c>
      <c r="E68">
        <v>670</v>
      </c>
      <c r="F68">
        <f t="shared" si="2"/>
        <v>7.8200332830219752</v>
      </c>
    </row>
    <row r="69" spans="1:6" x14ac:dyDescent="0.25">
      <c r="A69">
        <v>1000</v>
      </c>
      <c r="B69">
        <v>2485.9389649999998</v>
      </c>
      <c r="C69">
        <v>-23.007393</v>
      </c>
      <c r="D69" t="s">
        <v>188</v>
      </c>
      <c r="E69">
        <v>680</v>
      </c>
      <c r="F69">
        <f t="shared" si="2"/>
        <v>7.8184057202809294</v>
      </c>
    </row>
    <row r="70" spans="1:6" x14ac:dyDescent="0.25">
      <c r="A70">
        <v>1000</v>
      </c>
      <c r="B70">
        <v>2486.2333979999999</v>
      </c>
      <c r="C70">
        <v>-23.002448999999999</v>
      </c>
      <c r="D70" t="s">
        <v>189</v>
      </c>
      <c r="E70">
        <v>690</v>
      </c>
      <c r="F70">
        <f t="shared" si="2"/>
        <v>7.8185241526194922</v>
      </c>
    </row>
    <row r="71" spans="1:6" x14ac:dyDescent="0.25">
      <c r="A71">
        <v>1000</v>
      </c>
      <c r="B71">
        <v>2483.6591800000001</v>
      </c>
      <c r="C71">
        <v>-22.957930000000001</v>
      </c>
      <c r="D71" t="s">
        <v>190</v>
      </c>
      <c r="E71">
        <v>700</v>
      </c>
      <c r="F71">
        <f t="shared" si="2"/>
        <v>7.8174882275205864</v>
      </c>
    </row>
    <row r="72" spans="1:6" x14ac:dyDescent="0.25">
      <c r="A72">
        <v>1000</v>
      </c>
      <c r="B72">
        <v>2482.4746089999999</v>
      </c>
      <c r="C72">
        <v>-22.912645000000001</v>
      </c>
      <c r="D72" t="s">
        <v>191</v>
      </c>
      <c r="E72">
        <v>710</v>
      </c>
      <c r="F72">
        <f t="shared" si="2"/>
        <v>7.8170111678710494</v>
      </c>
    </row>
    <row r="73" spans="1:6" x14ac:dyDescent="0.25">
      <c r="A73">
        <v>1000</v>
      </c>
      <c r="B73">
        <v>2480.0717770000001</v>
      </c>
      <c r="C73">
        <v>-22.857251999999999</v>
      </c>
      <c r="D73" t="s">
        <v>192</v>
      </c>
      <c r="E73">
        <v>720</v>
      </c>
      <c r="F73">
        <f t="shared" si="2"/>
        <v>7.8160427810789166</v>
      </c>
    </row>
    <row r="74" spans="1:6" x14ac:dyDescent="0.25">
      <c r="A74">
        <v>1000</v>
      </c>
      <c r="B74">
        <v>2480.9465329999998</v>
      </c>
      <c r="C74">
        <v>-22.857309000000001</v>
      </c>
      <c r="D74" t="s">
        <v>193</v>
      </c>
      <c r="E74">
        <v>730</v>
      </c>
      <c r="F74">
        <f t="shared" si="2"/>
        <v>7.8163954328751419</v>
      </c>
    </row>
    <row r="75" spans="1:6" x14ac:dyDescent="0.25">
      <c r="A75">
        <v>1000</v>
      </c>
      <c r="B75">
        <v>2476.5991210000002</v>
      </c>
      <c r="C75">
        <v>-22.730867</v>
      </c>
      <c r="D75" t="s">
        <v>194</v>
      </c>
      <c r="E75">
        <v>740</v>
      </c>
      <c r="F75">
        <f t="shared" si="2"/>
        <v>7.8146415758588645</v>
      </c>
    </row>
    <row r="76" spans="1:6" x14ac:dyDescent="0.25">
      <c r="A76">
        <v>1000</v>
      </c>
      <c r="B76">
        <v>2475.736328</v>
      </c>
      <c r="C76">
        <v>-22.739283</v>
      </c>
      <c r="D76" t="s">
        <v>195</v>
      </c>
      <c r="E76">
        <v>750</v>
      </c>
      <c r="F76">
        <f t="shared" si="2"/>
        <v>7.8142931370192041</v>
      </c>
    </row>
    <row r="77" spans="1:6" x14ac:dyDescent="0.25">
      <c r="A77">
        <v>1000</v>
      </c>
      <c r="B77">
        <v>2473.3723140000002</v>
      </c>
      <c r="C77">
        <v>-22.657046999999999</v>
      </c>
      <c r="D77" t="s">
        <v>196</v>
      </c>
      <c r="E77">
        <v>760</v>
      </c>
      <c r="F77">
        <f t="shared" si="2"/>
        <v>7.8133378077464819</v>
      </c>
    </row>
    <row r="78" spans="1:6" x14ac:dyDescent="0.25">
      <c r="A78">
        <v>1000</v>
      </c>
      <c r="B78">
        <v>2473.7687989999999</v>
      </c>
      <c r="C78">
        <v>-22.661771999999999</v>
      </c>
      <c r="D78" t="s">
        <v>197</v>
      </c>
      <c r="E78">
        <v>770</v>
      </c>
      <c r="F78">
        <f t="shared" si="2"/>
        <v>7.813498096281533</v>
      </c>
    </row>
    <row r="79" spans="1:6" x14ac:dyDescent="0.25">
      <c r="A79">
        <v>1000</v>
      </c>
      <c r="B79">
        <v>2472.0280760000001</v>
      </c>
      <c r="C79">
        <v>-22.633099000000001</v>
      </c>
      <c r="D79" t="s">
        <v>198</v>
      </c>
      <c r="E79">
        <v>780</v>
      </c>
      <c r="F79">
        <f t="shared" si="2"/>
        <v>7.8127941761182624</v>
      </c>
    </row>
    <row r="80" spans="1:6" x14ac:dyDescent="0.25">
      <c r="A80">
        <v>1000</v>
      </c>
      <c r="B80">
        <v>2470.7260740000002</v>
      </c>
      <c r="C80">
        <v>-22.562531</v>
      </c>
      <c r="D80" t="s">
        <v>199</v>
      </c>
      <c r="E80">
        <v>790</v>
      </c>
      <c r="F80">
        <f t="shared" si="2"/>
        <v>7.8122673435101246</v>
      </c>
    </row>
    <row r="81" spans="1:6" x14ac:dyDescent="0.25">
      <c r="A81">
        <v>1000</v>
      </c>
      <c r="B81">
        <v>2464.023682</v>
      </c>
      <c r="C81">
        <v>-22.365849000000001</v>
      </c>
      <c r="D81" t="s">
        <v>200</v>
      </c>
      <c r="E81">
        <v>800</v>
      </c>
      <c r="F81">
        <f t="shared" si="2"/>
        <v>7.809550935808522</v>
      </c>
    </row>
    <row r="82" spans="1:6" x14ac:dyDescent="0.25">
      <c r="A82">
        <v>1000</v>
      </c>
      <c r="B82">
        <v>2463.125732</v>
      </c>
      <c r="C82">
        <v>-22.352105999999999</v>
      </c>
      <c r="D82" t="s">
        <v>201</v>
      </c>
      <c r="E82">
        <v>810</v>
      </c>
      <c r="F82">
        <f t="shared" si="2"/>
        <v>7.8091864451326796</v>
      </c>
    </row>
    <row r="83" spans="1:6" x14ac:dyDescent="0.25">
      <c r="A83">
        <v>1000</v>
      </c>
      <c r="B83">
        <v>2463.3984380000002</v>
      </c>
      <c r="C83">
        <v>-22.390408999999998</v>
      </c>
      <c r="D83" t="s">
        <v>202</v>
      </c>
      <c r="E83">
        <v>820</v>
      </c>
      <c r="F83">
        <f t="shared" si="2"/>
        <v>7.8092971544242085</v>
      </c>
    </row>
    <row r="84" spans="1:6" x14ac:dyDescent="0.25">
      <c r="A84">
        <v>1000</v>
      </c>
      <c r="B84">
        <v>2459.9760740000002</v>
      </c>
      <c r="C84">
        <v>-22.265718</v>
      </c>
      <c r="D84" t="s">
        <v>203</v>
      </c>
      <c r="E84">
        <v>830</v>
      </c>
      <c r="F84">
        <f t="shared" si="2"/>
        <v>7.8079069028628503</v>
      </c>
    </row>
    <row r="85" spans="1:6" x14ac:dyDescent="0.25">
      <c r="A85">
        <v>1000</v>
      </c>
      <c r="B85">
        <v>2461.4465329999998</v>
      </c>
      <c r="C85">
        <v>-22.314921999999999</v>
      </c>
      <c r="D85" t="s">
        <v>204</v>
      </c>
      <c r="E85">
        <v>840</v>
      </c>
      <c r="F85">
        <f t="shared" si="2"/>
        <v>7.808504477654199</v>
      </c>
    </row>
    <row r="86" spans="1:6" x14ac:dyDescent="0.25">
      <c r="A86">
        <v>1000</v>
      </c>
      <c r="B86">
        <v>2460.463135</v>
      </c>
      <c r="C86">
        <v>-22.287506</v>
      </c>
      <c r="D86" t="s">
        <v>205</v>
      </c>
      <c r="E86">
        <v>850</v>
      </c>
      <c r="F86">
        <f t="shared" si="2"/>
        <v>7.808104877466703</v>
      </c>
    </row>
    <row r="87" spans="1:6" x14ac:dyDescent="0.25">
      <c r="A87">
        <v>1000</v>
      </c>
      <c r="B87">
        <v>2453.3232419999999</v>
      </c>
      <c r="C87">
        <v>-22.074078</v>
      </c>
      <c r="D87" t="s">
        <v>206</v>
      </c>
      <c r="E87">
        <v>860</v>
      </c>
      <c r="F87">
        <f t="shared" si="2"/>
        <v>7.8051988097311353</v>
      </c>
    </row>
    <row r="88" spans="1:6" x14ac:dyDescent="0.25">
      <c r="A88">
        <v>1000</v>
      </c>
      <c r="B88">
        <v>2453.1672359999998</v>
      </c>
      <c r="C88">
        <v>-22.061577</v>
      </c>
      <c r="D88" t="s">
        <v>207</v>
      </c>
      <c r="E88">
        <v>870</v>
      </c>
      <c r="F88">
        <f t="shared" si="2"/>
        <v>7.8051352180454883</v>
      </c>
    </row>
    <row r="89" spans="1:6" x14ac:dyDescent="0.25">
      <c r="A89">
        <v>1000</v>
      </c>
      <c r="B89">
        <v>2452.9343260000001</v>
      </c>
      <c r="C89">
        <v>-22.061126999999999</v>
      </c>
      <c r="D89" t="s">
        <v>208</v>
      </c>
      <c r="E89">
        <v>880</v>
      </c>
      <c r="F89">
        <f t="shared" si="2"/>
        <v>7.8050402709689832</v>
      </c>
    </row>
    <row r="90" spans="1:6" x14ac:dyDescent="0.25">
      <c r="A90">
        <v>1000</v>
      </c>
      <c r="B90">
        <v>2453.8603520000001</v>
      </c>
      <c r="C90">
        <v>-22.103870000000001</v>
      </c>
      <c r="D90" t="s">
        <v>209</v>
      </c>
      <c r="E90">
        <v>890</v>
      </c>
      <c r="F90">
        <f t="shared" si="2"/>
        <v>7.805417717376165</v>
      </c>
    </row>
    <row r="91" spans="1:6" x14ac:dyDescent="0.25">
      <c r="A91">
        <v>1000</v>
      </c>
      <c r="B91">
        <v>2451.6379390000002</v>
      </c>
      <c r="C91">
        <v>-22.032999</v>
      </c>
      <c r="D91" t="s">
        <v>210</v>
      </c>
      <c r="E91">
        <v>900</v>
      </c>
      <c r="F91">
        <f t="shared" si="2"/>
        <v>7.8045116266917063</v>
      </c>
    </row>
    <row r="92" spans="1:6" x14ac:dyDescent="0.25">
      <c r="A92">
        <v>1000</v>
      </c>
      <c r="B92">
        <v>2452.1606449999999</v>
      </c>
      <c r="C92">
        <v>-22.028504999999999</v>
      </c>
      <c r="D92" t="s">
        <v>211</v>
      </c>
      <c r="E92">
        <v>910</v>
      </c>
      <c r="F92">
        <f t="shared" si="2"/>
        <v>7.8047248108154124</v>
      </c>
    </row>
    <row r="93" spans="1:6" x14ac:dyDescent="0.25">
      <c r="A93">
        <v>1000</v>
      </c>
      <c r="B93">
        <v>2452.486328</v>
      </c>
      <c r="C93">
        <v>-22.018084000000002</v>
      </c>
      <c r="D93" t="s">
        <v>212</v>
      </c>
      <c r="E93">
        <v>920</v>
      </c>
      <c r="F93">
        <f t="shared" si="2"/>
        <v>7.8048576167043056</v>
      </c>
    </row>
    <row r="94" spans="1:6" x14ac:dyDescent="0.25">
      <c r="A94">
        <v>1000</v>
      </c>
      <c r="B94">
        <v>2450.3488769999999</v>
      </c>
      <c r="C94">
        <v>-21.994598</v>
      </c>
      <c r="D94" t="s">
        <v>213</v>
      </c>
      <c r="E94">
        <v>930</v>
      </c>
      <c r="F94">
        <f t="shared" si="2"/>
        <v>7.8039856921765391</v>
      </c>
    </row>
    <row r="95" spans="1:6" x14ac:dyDescent="0.25">
      <c r="A95">
        <v>1000</v>
      </c>
      <c r="B95">
        <v>2447.8486330000001</v>
      </c>
      <c r="C95">
        <v>-21.909317000000001</v>
      </c>
      <c r="D95" t="s">
        <v>214</v>
      </c>
      <c r="E95">
        <v>940</v>
      </c>
      <c r="F95">
        <f t="shared" si="2"/>
        <v>7.8029648087956458</v>
      </c>
    </row>
    <row r="96" spans="1:6" x14ac:dyDescent="0.25">
      <c r="A96">
        <v>1000</v>
      </c>
      <c r="B96">
        <v>2449.1022950000001</v>
      </c>
      <c r="C96">
        <v>-21.944386000000002</v>
      </c>
      <c r="D96" t="s">
        <v>215</v>
      </c>
      <c r="E96">
        <v>950</v>
      </c>
      <c r="F96">
        <f t="shared" si="2"/>
        <v>7.80347682619007</v>
      </c>
    </row>
    <row r="97" spans="1:6" x14ac:dyDescent="0.25">
      <c r="A97">
        <v>1000</v>
      </c>
      <c r="B97">
        <v>2448.4655760000001</v>
      </c>
      <c r="C97">
        <v>-21.916284999999998</v>
      </c>
      <c r="D97" t="s">
        <v>216</v>
      </c>
      <c r="E97">
        <v>960</v>
      </c>
      <c r="F97">
        <f t="shared" ref="F97:F128" si="3">LN(B97)</f>
        <v>7.80321681182361</v>
      </c>
    </row>
    <row r="98" spans="1:6" x14ac:dyDescent="0.25">
      <c r="A98">
        <v>1000</v>
      </c>
      <c r="B98">
        <v>2444.5529790000001</v>
      </c>
      <c r="C98">
        <v>-21.810020000000002</v>
      </c>
      <c r="D98" t="s">
        <v>217</v>
      </c>
      <c r="E98">
        <v>970</v>
      </c>
      <c r="F98">
        <f t="shared" si="3"/>
        <v>7.8016175545185602</v>
      </c>
    </row>
    <row r="99" spans="1:6" x14ac:dyDescent="0.25">
      <c r="A99">
        <v>1000</v>
      </c>
      <c r="B99">
        <v>2446.0559079999998</v>
      </c>
      <c r="C99">
        <v>-21.844401999999999</v>
      </c>
      <c r="D99" t="s">
        <v>218</v>
      </c>
      <c r="E99">
        <v>980</v>
      </c>
      <c r="F99">
        <f t="shared" si="3"/>
        <v>7.8022321728951418</v>
      </c>
    </row>
    <row r="100" spans="1:6" x14ac:dyDescent="0.25">
      <c r="A100">
        <v>1000</v>
      </c>
      <c r="B100">
        <v>2445.8535160000001</v>
      </c>
      <c r="C100">
        <v>-21.791115000000001</v>
      </c>
      <c r="D100" t="s">
        <v>219</v>
      </c>
      <c r="E100">
        <v>990</v>
      </c>
      <c r="F100">
        <f t="shared" si="3"/>
        <v>7.802149427291095</v>
      </c>
    </row>
    <row r="101" spans="1:6" x14ac:dyDescent="0.25">
      <c r="A101">
        <v>1000</v>
      </c>
      <c r="B101">
        <v>2442.078125</v>
      </c>
      <c r="C101">
        <v>-21.727594</v>
      </c>
      <c r="D101" t="s">
        <v>220</v>
      </c>
      <c r="E101">
        <v>1000</v>
      </c>
      <c r="F101">
        <f t="shared" si="3"/>
        <v>7.8006046463784022</v>
      </c>
    </row>
    <row r="102" spans="1:6" x14ac:dyDescent="0.25">
      <c r="A102">
        <v>1000</v>
      </c>
      <c r="B102">
        <v>2444.0446780000002</v>
      </c>
      <c r="C102">
        <v>-21.749804999999999</v>
      </c>
      <c r="D102" t="s">
        <v>221</v>
      </c>
      <c r="E102">
        <v>1010</v>
      </c>
      <c r="F102">
        <f t="shared" si="3"/>
        <v>7.8014096008117937</v>
      </c>
    </row>
    <row r="103" spans="1:6" x14ac:dyDescent="0.25">
      <c r="A103">
        <v>1000</v>
      </c>
      <c r="B103">
        <v>2442.4970699999999</v>
      </c>
      <c r="C103">
        <v>-21.724164999999999</v>
      </c>
      <c r="D103" t="s">
        <v>222</v>
      </c>
      <c r="E103">
        <v>1020</v>
      </c>
      <c r="F103">
        <f t="shared" si="3"/>
        <v>7.8007761843256347</v>
      </c>
    </row>
    <row r="104" spans="1:6" x14ac:dyDescent="0.25">
      <c r="A104">
        <v>1000</v>
      </c>
      <c r="B104">
        <v>2440.0239259999998</v>
      </c>
      <c r="C104">
        <v>-21.632380999999999</v>
      </c>
      <c r="D104" t="s">
        <v>223</v>
      </c>
      <c r="E104">
        <v>1030</v>
      </c>
      <c r="F104">
        <f t="shared" si="3"/>
        <v>7.7997631239768763</v>
      </c>
    </row>
    <row r="105" spans="1:6" x14ac:dyDescent="0.25">
      <c r="A105">
        <v>1000</v>
      </c>
      <c r="B105">
        <v>2440.7441410000001</v>
      </c>
      <c r="C105">
        <v>-21.651409000000001</v>
      </c>
      <c r="D105" t="s">
        <v>224</v>
      </c>
      <c r="E105">
        <v>1040</v>
      </c>
      <c r="F105">
        <f t="shared" si="3"/>
        <v>7.8000582476112479</v>
      </c>
    </row>
    <row r="106" spans="1:6" x14ac:dyDescent="0.25">
      <c r="A106">
        <v>1000</v>
      </c>
      <c r="B106">
        <v>2437.5654300000001</v>
      </c>
      <c r="C106">
        <v>-21.525040000000001</v>
      </c>
      <c r="D106" t="s">
        <v>225</v>
      </c>
      <c r="E106">
        <v>1050</v>
      </c>
      <c r="F106">
        <f t="shared" si="3"/>
        <v>7.7987550455886563</v>
      </c>
    </row>
    <row r="107" spans="1:6" x14ac:dyDescent="0.25">
      <c r="A107">
        <v>1000</v>
      </c>
      <c r="B107">
        <v>2436.8940429999998</v>
      </c>
      <c r="C107">
        <v>-21.466612000000001</v>
      </c>
      <c r="D107" t="s">
        <v>226</v>
      </c>
      <c r="E107">
        <v>1060</v>
      </c>
      <c r="F107">
        <f t="shared" si="3"/>
        <v>7.7984795742228714</v>
      </c>
    </row>
    <row r="108" spans="1:6" x14ac:dyDescent="0.25">
      <c r="A108">
        <v>1000</v>
      </c>
      <c r="B108">
        <v>2435.9624020000001</v>
      </c>
      <c r="C108">
        <v>-21.401426000000001</v>
      </c>
      <c r="D108" t="s">
        <v>227</v>
      </c>
      <c r="E108">
        <v>1070</v>
      </c>
      <c r="F108">
        <f t="shared" si="3"/>
        <v>7.7980971943921222</v>
      </c>
    </row>
    <row r="109" spans="1:6" x14ac:dyDescent="0.25">
      <c r="A109">
        <v>1000</v>
      </c>
      <c r="B109">
        <v>2433.7236330000001</v>
      </c>
      <c r="C109">
        <v>-21.323658000000002</v>
      </c>
      <c r="D109" t="s">
        <v>228</v>
      </c>
      <c r="E109">
        <v>1080</v>
      </c>
      <c r="F109">
        <f t="shared" si="3"/>
        <v>7.7971777227294172</v>
      </c>
    </row>
    <row r="110" spans="1:6" x14ac:dyDescent="0.25">
      <c r="A110">
        <v>1000</v>
      </c>
      <c r="B110">
        <v>2431.016846</v>
      </c>
      <c r="C110">
        <v>-21.265450999999999</v>
      </c>
      <c r="D110" t="s">
        <v>229</v>
      </c>
      <c r="E110">
        <v>1090</v>
      </c>
      <c r="F110">
        <f t="shared" si="3"/>
        <v>7.7960649039506897</v>
      </c>
    </row>
    <row r="111" spans="1:6" x14ac:dyDescent="0.25">
      <c r="A111">
        <v>1000</v>
      </c>
      <c r="B111">
        <v>2431.4018550000001</v>
      </c>
      <c r="C111">
        <v>-21.244645999999999</v>
      </c>
      <c r="D111" t="s">
        <v>230</v>
      </c>
      <c r="E111">
        <v>1100</v>
      </c>
      <c r="F111">
        <f t="shared" si="3"/>
        <v>7.7962232650563372</v>
      </c>
    </row>
    <row r="112" spans="1:6" x14ac:dyDescent="0.25">
      <c r="A112">
        <v>1000</v>
      </c>
      <c r="B112">
        <v>2431.7807619999999</v>
      </c>
      <c r="C112">
        <v>-21.271242000000001</v>
      </c>
      <c r="D112" t="s">
        <v>231</v>
      </c>
      <c r="E112">
        <v>1110</v>
      </c>
      <c r="F112">
        <f t="shared" si="3"/>
        <v>7.7963790918186069</v>
      </c>
    </row>
    <row r="113" spans="1:6" x14ac:dyDescent="0.25">
      <c r="A113">
        <v>1000</v>
      </c>
      <c r="B113">
        <v>2431.485596</v>
      </c>
      <c r="C113">
        <v>-21.248512000000002</v>
      </c>
      <c r="D113" t="s">
        <v>232</v>
      </c>
      <c r="E113">
        <v>1120</v>
      </c>
      <c r="F113">
        <f t="shared" si="3"/>
        <v>7.7962577059110156</v>
      </c>
    </row>
    <row r="114" spans="1:6" x14ac:dyDescent="0.25">
      <c r="A114">
        <v>1000</v>
      </c>
      <c r="B114">
        <v>2428.72876</v>
      </c>
      <c r="C114">
        <v>-21.196874999999999</v>
      </c>
      <c r="D114" t="s">
        <v>233</v>
      </c>
      <c r="E114">
        <v>1130</v>
      </c>
      <c r="F114">
        <f t="shared" si="3"/>
        <v>7.7951232554140892</v>
      </c>
    </row>
    <row r="115" spans="1:6" x14ac:dyDescent="0.25">
      <c r="A115">
        <v>1000</v>
      </c>
      <c r="B115">
        <v>2429.5441890000002</v>
      </c>
      <c r="C115">
        <v>-21.208555</v>
      </c>
      <c r="D115" t="s">
        <v>234</v>
      </c>
      <c r="E115">
        <v>1140</v>
      </c>
      <c r="F115">
        <f t="shared" si="3"/>
        <v>7.7954589421967047</v>
      </c>
    </row>
    <row r="116" spans="1:6" x14ac:dyDescent="0.25">
      <c r="A116">
        <v>1000</v>
      </c>
      <c r="B116">
        <v>2428.6154790000001</v>
      </c>
      <c r="C116">
        <v>-21.192858000000001</v>
      </c>
      <c r="D116" t="s">
        <v>235</v>
      </c>
      <c r="E116">
        <v>1150</v>
      </c>
      <c r="F116">
        <f t="shared" si="3"/>
        <v>7.7950766122303055</v>
      </c>
    </row>
    <row r="117" spans="1:6" x14ac:dyDescent="0.25">
      <c r="A117">
        <v>1000</v>
      </c>
      <c r="B117">
        <v>2428.7919919999999</v>
      </c>
      <c r="C117">
        <v>-21.202120000000001</v>
      </c>
      <c r="D117" t="s">
        <v>236</v>
      </c>
      <c r="E117">
        <v>1160</v>
      </c>
      <c r="F117">
        <f t="shared" si="3"/>
        <v>7.7951492900944261</v>
      </c>
    </row>
    <row r="118" spans="1:6" x14ac:dyDescent="0.25">
      <c r="A118">
        <v>1000</v>
      </c>
      <c r="B118">
        <v>2427.766357</v>
      </c>
      <c r="C118">
        <v>-21.149253999999999</v>
      </c>
      <c r="D118" t="s">
        <v>237</v>
      </c>
      <c r="E118">
        <v>1170</v>
      </c>
      <c r="F118">
        <f t="shared" si="3"/>
        <v>7.7947269189659254</v>
      </c>
    </row>
    <row r="119" spans="1:6" x14ac:dyDescent="0.25">
      <c r="A119">
        <v>1000</v>
      </c>
      <c r="B119">
        <v>2423.286865</v>
      </c>
      <c r="C119">
        <v>-21.008389000000001</v>
      </c>
      <c r="D119" t="s">
        <v>238</v>
      </c>
      <c r="E119">
        <v>1180</v>
      </c>
      <c r="F119">
        <f t="shared" si="3"/>
        <v>7.7928801062973383</v>
      </c>
    </row>
    <row r="120" spans="1:6" x14ac:dyDescent="0.25">
      <c r="A120">
        <v>1000</v>
      </c>
      <c r="B120">
        <v>2427.0803219999998</v>
      </c>
      <c r="C120">
        <v>-21.106033</v>
      </c>
      <c r="D120" t="s">
        <v>239</v>
      </c>
      <c r="E120">
        <v>1190</v>
      </c>
      <c r="F120">
        <f t="shared" si="3"/>
        <v>7.7944443003582018</v>
      </c>
    </row>
    <row r="121" spans="1:6" x14ac:dyDescent="0.25">
      <c r="A121">
        <v>1000</v>
      </c>
      <c r="B121">
        <v>2423.2238769999999</v>
      </c>
      <c r="C121">
        <v>-21.007937999999999</v>
      </c>
      <c r="D121" t="s">
        <v>240</v>
      </c>
      <c r="E121">
        <v>1200</v>
      </c>
      <c r="F121">
        <f t="shared" si="3"/>
        <v>7.7928541131639868</v>
      </c>
    </row>
    <row r="122" spans="1:6" x14ac:dyDescent="0.25">
      <c r="A122">
        <v>1000</v>
      </c>
      <c r="B122">
        <v>2422.5114749999998</v>
      </c>
      <c r="C122">
        <v>-20.949404000000001</v>
      </c>
      <c r="D122" t="s">
        <v>241</v>
      </c>
      <c r="E122">
        <v>1210</v>
      </c>
      <c r="F122">
        <f t="shared" si="3"/>
        <v>7.7925600805958073</v>
      </c>
    </row>
    <row r="123" spans="1:6" x14ac:dyDescent="0.25">
      <c r="A123">
        <v>1000</v>
      </c>
      <c r="B123">
        <v>2421.773193</v>
      </c>
      <c r="C123">
        <v>-20.945292999999999</v>
      </c>
      <c r="D123" t="s">
        <v>242</v>
      </c>
      <c r="E123">
        <v>1220</v>
      </c>
      <c r="F123">
        <f t="shared" si="3"/>
        <v>7.7922552752194463</v>
      </c>
    </row>
    <row r="124" spans="1:6" x14ac:dyDescent="0.25">
      <c r="A124">
        <v>1000</v>
      </c>
      <c r="B124">
        <v>2421.2382809999999</v>
      </c>
      <c r="C124">
        <v>-20.891237</v>
      </c>
      <c r="D124" t="s">
        <v>243</v>
      </c>
      <c r="E124">
        <v>1230</v>
      </c>
      <c r="F124">
        <f t="shared" si="3"/>
        <v>7.7920343746475407</v>
      </c>
    </row>
    <row r="125" spans="1:6" x14ac:dyDescent="0.25">
      <c r="A125">
        <v>1000</v>
      </c>
      <c r="B125">
        <v>2420.7375489999999</v>
      </c>
      <c r="C125">
        <v>-20.873958999999999</v>
      </c>
      <c r="D125" t="s">
        <v>244</v>
      </c>
      <c r="E125">
        <v>1240</v>
      </c>
      <c r="F125">
        <f t="shared" si="3"/>
        <v>7.7918275450311345</v>
      </c>
    </row>
    <row r="126" spans="1:6" x14ac:dyDescent="0.25">
      <c r="A126">
        <v>1000</v>
      </c>
      <c r="B126">
        <v>2421.2531739999999</v>
      </c>
      <c r="C126">
        <v>-20.875391</v>
      </c>
      <c r="D126" t="s">
        <v>245</v>
      </c>
      <c r="E126">
        <v>1250</v>
      </c>
      <c r="F126">
        <f t="shared" si="3"/>
        <v>7.7920405256134799</v>
      </c>
    </row>
    <row r="127" spans="1:6" x14ac:dyDescent="0.25">
      <c r="A127">
        <v>1000</v>
      </c>
      <c r="B127">
        <v>2418.850586</v>
      </c>
      <c r="C127">
        <v>-20.760179999999998</v>
      </c>
      <c r="D127" t="s">
        <v>246</v>
      </c>
      <c r="E127">
        <v>1260</v>
      </c>
      <c r="F127">
        <f t="shared" si="3"/>
        <v>7.7910477418565733</v>
      </c>
    </row>
    <row r="128" spans="1:6" x14ac:dyDescent="0.25">
      <c r="A128">
        <v>1000</v>
      </c>
      <c r="B128">
        <v>2415.661865</v>
      </c>
      <c r="C128">
        <v>-20.633125</v>
      </c>
      <c r="D128" t="s">
        <v>247</v>
      </c>
      <c r="E128">
        <v>1270</v>
      </c>
      <c r="F128">
        <f t="shared" si="3"/>
        <v>7.7897285927201398</v>
      </c>
    </row>
    <row r="129" spans="1:6" x14ac:dyDescent="0.25">
      <c r="A129">
        <v>1000</v>
      </c>
      <c r="B129">
        <v>2416.3254390000002</v>
      </c>
      <c r="C129">
        <v>-20.602239999999998</v>
      </c>
      <c r="D129" t="s">
        <v>248</v>
      </c>
      <c r="E129">
        <v>1280</v>
      </c>
      <c r="F129">
        <f t="shared" ref="F129:F160" si="4">LN(B129)</f>
        <v>7.7900032515561115</v>
      </c>
    </row>
    <row r="130" spans="1:6" x14ac:dyDescent="0.25">
      <c r="A130">
        <v>1000</v>
      </c>
      <c r="B130">
        <v>2415.3286130000001</v>
      </c>
      <c r="C130">
        <v>-20.574767999999999</v>
      </c>
      <c r="D130" t="s">
        <v>249</v>
      </c>
      <c r="E130">
        <v>1290</v>
      </c>
      <c r="F130">
        <f t="shared" si="4"/>
        <v>7.7895906284653789</v>
      </c>
    </row>
    <row r="131" spans="1:6" x14ac:dyDescent="0.25">
      <c r="A131">
        <v>1000</v>
      </c>
      <c r="B131">
        <v>2415.3476559999999</v>
      </c>
      <c r="C131">
        <v>-20.565982999999999</v>
      </c>
      <c r="D131" t="s">
        <v>250</v>
      </c>
      <c r="E131">
        <v>1300</v>
      </c>
      <c r="F131">
        <f t="shared" si="4"/>
        <v>7.7895985126616853</v>
      </c>
    </row>
    <row r="132" spans="1:6" x14ac:dyDescent="0.25">
      <c r="A132">
        <v>1000</v>
      </c>
      <c r="B132">
        <v>2415.2209469999998</v>
      </c>
      <c r="C132">
        <v>-20.570613999999999</v>
      </c>
      <c r="D132" t="s">
        <v>251</v>
      </c>
      <c r="E132">
        <v>1310</v>
      </c>
      <c r="F132">
        <f t="shared" si="4"/>
        <v>7.7895460513427635</v>
      </c>
    </row>
    <row r="133" spans="1:6" x14ac:dyDescent="0.25">
      <c r="A133">
        <v>1000</v>
      </c>
      <c r="B133">
        <v>2417.0173340000001</v>
      </c>
      <c r="C133">
        <v>-20.641445000000001</v>
      </c>
      <c r="D133" t="s">
        <v>252</v>
      </c>
      <c r="E133">
        <v>1320</v>
      </c>
      <c r="F133">
        <f t="shared" si="4"/>
        <v>7.7902895523782218</v>
      </c>
    </row>
    <row r="134" spans="1:6" x14ac:dyDescent="0.25">
      <c r="A134">
        <v>1000</v>
      </c>
      <c r="B134">
        <v>2416.8881839999999</v>
      </c>
      <c r="C134">
        <v>-20.624575</v>
      </c>
      <c r="D134" t="s">
        <v>253</v>
      </c>
      <c r="E134">
        <v>1330</v>
      </c>
      <c r="F134">
        <f t="shared" si="4"/>
        <v>7.7902361173247021</v>
      </c>
    </row>
    <row r="135" spans="1:6" x14ac:dyDescent="0.25">
      <c r="A135">
        <v>1000</v>
      </c>
      <c r="B135">
        <v>2413.132568</v>
      </c>
      <c r="C135">
        <v>-20.517025</v>
      </c>
      <c r="D135" t="s">
        <v>254</v>
      </c>
      <c r="E135">
        <v>1340</v>
      </c>
      <c r="F135">
        <f t="shared" si="4"/>
        <v>7.7886810031959195</v>
      </c>
    </row>
    <row r="136" spans="1:6" x14ac:dyDescent="0.25">
      <c r="A136">
        <v>1000</v>
      </c>
      <c r="B136">
        <v>2414.6601559999999</v>
      </c>
      <c r="C136">
        <v>-20.570053000000001</v>
      </c>
      <c r="D136" t="s">
        <v>255</v>
      </c>
      <c r="E136">
        <v>1350</v>
      </c>
      <c r="F136">
        <f t="shared" si="4"/>
        <v>7.7893138340311729</v>
      </c>
    </row>
    <row r="137" spans="1:6" x14ac:dyDescent="0.25">
      <c r="A137">
        <v>1000</v>
      </c>
      <c r="B137">
        <v>2413.233643</v>
      </c>
      <c r="C137">
        <v>-20.511341000000002</v>
      </c>
      <c r="D137" t="s">
        <v>256</v>
      </c>
      <c r="E137">
        <v>1360</v>
      </c>
      <c r="F137">
        <f t="shared" si="4"/>
        <v>7.7887228877092758</v>
      </c>
    </row>
    <row r="138" spans="1:6" x14ac:dyDescent="0.25">
      <c r="A138">
        <v>1000</v>
      </c>
      <c r="B138">
        <v>2413.7124020000001</v>
      </c>
      <c r="C138">
        <v>-20.523320999999999</v>
      </c>
      <c r="D138" t="s">
        <v>257</v>
      </c>
      <c r="E138">
        <v>1370</v>
      </c>
      <c r="F138">
        <f t="shared" si="4"/>
        <v>7.788921257028969</v>
      </c>
    </row>
    <row r="139" spans="1:6" x14ac:dyDescent="0.25">
      <c r="A139">
        <v>1000</v>
      </c>
      <c r="B139">
        <v>2412.9497070000002</v>
      </c>
      <c r="C139">
        <v>-20.481003000000001</v>
      </c>
      <c r="D139" t="s">
        <v>258</v>
      </c>
      <c r="E139">
        <v>1380</v>
      </c>
      <c r="F139">
        <f t="shared" si="4"/>
        <v>7.7886052228881386</v>
      </c>
    </row>
    <row r="140" spans="1:6" x14ac:dyDescent="0.25">
      <c r="A140">
        <v>1000</v>
      </c>
      <c r="B140">
        <v>2411.5261230000001</v>
      </c>
      <c r="C140">
        <v>-20.450963999999999</v>
      </c>
      <c r="D140" t="s">
        <v>259</v>
      </c>
      <c r="E140">
        <v>1390</v>
      </c>
      <c r="F140">
        <f t="shared" si="4"/>
        <v>7.7880150721271111</v>
      </c>
    </row>
    <row r="141" spans="1:6" x14ac:dyDescent="0.25">
      <c r="A141">
        <v>1000</v>
      </c>
      <c r="B141">
        <v>2409.1252439999998</v>
      </c>
      <c r="C141">
        <v>-20.377417000000001</v>
      </c>
      <c r="D141" t="s">
        <v>260</v>
      </c>
      <c r="E141">
        <v>1400</v>
      </c>
      <c r="F141">
        <f t="shared" si="4"/>
        <v>7.7870189913007959</v>
      </c>
    </row>
    <row r="142" spans="1:6" x14ac:dyDescent="0.25">
      <c r="A142">
        <v>1000</v>
      </c>
      <c r="B142">
        <v>2411.7290039999998</v>
      </c>
      <c r="C142">
        <v>-20.463968000000001</v>
      </c>
      <c r="D142" t="s">
        <v>261</v>
      </c>
      <c r="E142">
        <v>1410</v>
      </c>
      <c r="F142">
        <f t="shared" si="4"/>
        <v>7.7880991983011478</v>
      </c>
    </row>
    <row r="143" spans="1:6" x14ac:dyDescent="0.25">
      <c r="A143">
        <v>1000</v>
      </c>
      <c r="B143">
        <v>2408.7211910000001</v>
      </c>
      <c r="C143">
        <v>-20.322925999999999</v>
      </c>
      <c r="D143" t="s">
        <v>262</v>
      </c>
      <c r="E143">
        <v>1420</v>
      </c>
      <c r="F143">
        <f t="shared" si="4"/>
        <v>7.7868512595117494</v>
      </c>
    </row>
    <row r="144" spans="1:6" x14ac:dyDescent="0.25">
      <c r="A144">
        <v>1000</v>
      </c>
      <c r="B144">
        <v>2410.3090820000002</v>
      </c>
      <c r="C144">
        <v>-20.383631000000001</v>
      </c>
      <c r="D144" t="s">
        <v>263</v>
      </c>
      <c r="E144">
        <v>1430</v>
      </c>
      <c r="F144">
        <f t="shared" si="4"/>
        <v>7.7875102680539303</v>
      </c>
    </row>
    <row r="145" spans="1:6" x14ac:dyDescent="0.25">
      <c r="A145">
        <v>1000</v>
      </c>
      <c r="B145">
        <v>2406.9565429999998</v>
      </c>
      <c r="C145">
        <v>-20.279102000000002</v>
      </c>
      <c r="D145" t="s">
        <v>264</v>
      </c>
      <c r="E145">
        <v>1440</v>
      </c>
      <c r="F145">
        <f t="shared" si="4"/>
        <v>7.7861183831954941</v>
      </c>
    </row>
    <row r="146" spans="1:6" x14ac:dyDescent="0.25">
      <c r="A146">
        <v>1000</v>
      </c>
      <c r="B146">
        <v>2406.8359380000002</v>
      </c>
      <c r="C146">
        <v>-20.247833</v>
      </c>
      <c r="D146" t="s">
        <v>265</v>
      </c>
      <c r="E146">
        <v>1450</v>
      </c>
      <c r="F146">
        <f t="shared" si="4"/>
        <v>7.7860682750944488</v>
      </c>
    </row>
    <row r="147" spans="1:6" x14ac:dyDescent="0.25">
      <c r="A147">
        <v>1000</v>
      </c>
      <c r="B147">
        <v>2409.0246579999998</v>
      </c>
      <c r="C147">
        <v>-20.248325000000001</v>
      </c>
      <c r="D147" t="s">
        <v>266</v>
      </c>
      <c r="E147">
        <v>1460</v>
      </c>
      <c r="F147">
        <f t="shared" si="4"/>
        <v>7.786977238344968</v>
      </c>
    </row>
    <row r="148" spans="1:6" x14ac:dyDescent="0.25">
      <c r="A148">
        <v>1000</v>
      </c>
      <c r="B148">
        <v>2409.0234380000002</v>
      </c>
      <c r="C148">
        <v>-20.255510000000001</v>
      </c>
      <c r="D148" t="s">
        <v>267</v>
      </c>
      <c r="E148">
        <v>1470</v>
      </c>
      <c r="F148">
        <f t="shared" si="4"/>
        <v>7.7869767319158187</v>
      </c>
    </row>
    <row r="149" spans="1:6" x14ac:dyDescent="0.25">
      <c r="A149">
        <v>1000</v>
      </c>
      <c r="B149">
        <v>2407.540039</v>
      </c>
      <c r="C149">
        <v>-20.174655999999999</v>
      </c>
      <c r="D149" t="s">
        <v>268</v>
      </c>
      <c r="E149">
        <v>1480</v>
      </c>
      <c r="F149">
        <f t="shared" si="4"/>
        <v>7.7863607744789514</v>
      </c>
    </row>
    <row r="150" spans="1:6" x14ac:dyDescent="0.25">
      <c r="A150">
        <v>1000</v>
      </c>
      <c r="B150">
        <v>2405.3334960000002</v>
      </c>
      <c r="C150">
        <v>-20.112925000000001</v>
      </c>
      <c r="D150" t="s">
        <v>269</v>
      </c>
      <c r="E150">
        <v>1490</v>
      </c>
      <c r="F150">
        <f t="shared" si="4"/>
        <v>7.7854438407018423</v>
      </c>
    </row>
    <row r="151" spans="1:6" x14ac:dyDescent="0.25">
      <c r="A151">
        <v>1000</v>
      </c>
      <c r="B151">
        <v>2405.0351559999999</v>
      </c>
      <c r="C151">
        <v>-20.098513000000001</v>
      </c>
      <c r="D151" t="s">
        <v>270</v>
      </c>
      <c r="E151">
        <v>1500</v>
      </c>
      <c r="F151">
        <f t="shared" si="4"/>
        <v>7.7853198003124389</v>
      </c>
    </row>
    <row r="152" spans="1:6" x14ac:dyDescent="0.25">
      <c r="A152">
        <v>1000</v>
      </c>
      <c r="B152">
        <v>2406.594971</v>
      </c>
      <c r="C152">
        <v>-20.122185000000002</v>
      </c>
      <c r="D152" t="s">
        <v>271</v>
      </c>
      <c r="E152">
        <v>1510</v>
      </c>
      <c r="F152">
        <f t="shared" si="4"/>
        <v>7.7859681523318045</v>
      </c>
    </row>
    <row r="153" spans="1:6" x14ac:dyDescent="0.25">
      <c r="A153">
        <v>1000</v>
      </c>
      <c r="B153">
        <v>2404.8093260000001</v>
      </c>
      <c r="C153">
        <v>-20.091749</v>
      </c>
      <c r="D153" t="s">
        <v>272</v>
      </c>
      <c r="E153">
        <v>1520</v>
      </c>
      <c r="F153">
        <f t="shared" si="4"/>
        <v>7.7852258970683694</v>
      </c>
    </row>
    <row r="154" spans="1:6" x14ac:dyDescent="0.25">
      <c r="A154">
        <v>1000</v>
      </c>
      <c r="B154">
        <v>2401.7875979999999</v>
      </c>
      <c r="C154">
        <v>-19.958479000000001</v>
      </c>
      <c r="D154" t="s">
        <v>273</v>
      </c>
      <c r="E154">
        <v>1530</v>
      </c>
      <c r="F154">
        <f t="shared" si="4"/>
        <v>7.7839685715859721</v>
      </c>
    </row>
    <row r="155" spans="1:6" x14ac:dyDescent="0.25">
      <c r="A155">
        <v>1000</v>
      </c>
      <c r="B155">
        <v>2401.5598140000002</v>
      </c>
      <c r="C155">
        <v>-19.934355</v>
      </c>
      <c r="D155" t="s">
        <v>274</v>
      </c>
      <c r="E155">
        <v>1540</v>
      </c>
      <c r="F155">
        <f t="shared" si="4"/>
        <v>7.7838737277278733</v>
      </c>
    </row>
    <row r="156" spans="1:6" x14ac:dyDescent="0.25">
      <c r="A156">
        <v>1000</v>
      </c>
      <c r="B156">
        <v>2401.7565920000002</v>
      </c>
      <c r="C156">
        <v>-19.937304999999999</v>
      </c>
      <c r="D156" t="s">
        <v>275</v>
      </c>
      <c r="E156">
        <v>1550</v>
      </c>
      <c r="F156">
        <f t="shared" si="4"/>
        <v>7.7839556619514294</v>
      </c>
    </row>
    <row r="157" spans="1:6" x14ac:dyDescent="0.25">
      <c r="A157">
        <v>1000</v>
      </c>
      <c r="B157">
        <v>2404.0471189999998</v>
      </c>
      <c r="C157">
        <v>-19.990539999999999</v>
      </c>
      <c r="D157" t="s">
        <v>276</v>
      </c>
      <c r="E157">
        <v>1560</v>
      </c>
      <c r="F157">
        <f t="shared" si="4"/>
        <v>7.7849088957125998</v>
      </c>
    </row>
    <row r="158" spans="1:6" x14ac:dyDescent="0.25">
      <c r="A158">
        <v>1000</v>
      </c>
      <c r="B158">
        <v>2399.6472170000002</v>
      </c>
      <c r="C158">
        <v>-19.859905000000001</v>
      </c>
      <c r="D158" t="s">
        <v>277</v>
      </c>
      <c r="E158">
        <v>1570</v>
      </c>
      <c r="F158">
        <f t="shared" si="4"/>
        <v>7.7830770126148527</v>
      </c>
    </row>
    <row r="159" spans="1:6" x14ac:dyDescent="0.25">
      <c r="A159">
        <v>1000</v>
      </c>
      <c r="B159">
        <v>2400.0664059999999</v>
      </c>
      <c r="C159">
        <v>-19.849565999999999</v>
      </c>
      <c r="D159" t="s">
        <v>278</v>
      </c>
      <c r="E159">
        <v>1580</v>
      </c>
      <c r="F159">
        <f t="shared" si="4"/>
        <v>7.7832516851199189</v>
      </c>
    </row>
    <row r="160" spans="1:6" x14ac:dyDescent="0.25">
      <c r="A160">
        <v>1000</v>
      </c>
      <c r="B160">
        <v>2401.9865719999998</v>
      </c>
      <c r="C160">
        <v>-19.902487000000001</v>
      </c>
      <c r="D160" t="s">
        <v>279</v>
      </c>
      <c r="E160">
        <v>1590</v>
      </c>
      <c r="F160">
        <f t="shared" si="4"/>
        <v>7.7840514122829205</v>
      </c>
    </row>
    <row r="161" spans="1:6" x14ac:dyDescent="0.25">
      <c r="A161">
        <v>1000</v>
      </c>
      <c r="B161">
        <v>2401.631836</v>
      </c>
      <c r="C161">
        <v>-19.844401999999999</v>
      </c>
      <c r="D161" t="s">
        <v>280</v>
      </c>
      <c r="E161">
        <v>1600</v>
      </c>
      <c r="F161">
        <f t="shared" ref="F161:F193" si="5">LN(B161)</f>
        <v>7.783903716953894</v>
      </c>
    </row>
    <row r="162" spans="1:6" x14ac:dyDescent="0.25">
      <c r="A162">
        <v>1000</v>
      </c>
      <c r="B162">
        <v>2398.8759770000001</v>
      </c>
      <c r="C162">
        <v>-19.771975000000001</v>
      </c>
      <c r="D162" t="s">
        <v>281</v>
      </c>
      <c r="E162">
        <v>1610</v>
      </c>
      <c r="F162">
        <f t="shared" si="5"/>
        <v>7.7827555637125716</v>
      </c>
    </row>
    <row r="163" spans="1:6" x14ac:dyDescent="0.25">
      <c r="A163">
        <v>1000</v>
      </c>
      <c r="B163">
        <v>2400.4792480000001</v>
      </c>
      <c r="C163">
        <v>-19.812286</v>
      </c>
      <c r="D163" t="s">
        <v>282</v>
      </c>
      <c r="E163">
        <v>1620</v>
      </c>
      <c r="F163">
        <f t="shared" si="5"/>
        <v>7.7834236830679746</v>
      </c>
    </row>
    <row r="164" spans="1:6" x14ac:dyDescent="0.25">
      <c r="A164">
        <v>1000</v>
      </c>
      <c r="B164">
        <v>2397.1938479999999</v>
      </c>
      <c r="C164">
        <v>-19.644264</v>
      </c>
      <c r="D164" t="s">
        <v>283</v>
      </c>
      <c r="E164">
        <v>1630</v>
      </c>
      <c r="F164">
        <f t="shared" si="5"/>
        <v>7.7820541022533556</v>
      </c>
    </row>
    <row r="165" spans="1:6" x14ac:dyDescent="0.25">
      <c r="A165">
        <v>1000</v>
      </c>
      <c r="B165">
        <v>2397.0771479999999</v>
      </c>
      <c r="C165">
        <v>-19.617107000000001</v>
      </c>
      <c r="D165" t="s">
        <v>284</v>
      </c>
      <c r="E165">
        <v>1640</v>
      </c>
      <c r="F165">
        <f t="shared" si="5"/>
        <v>7.7820054191479899</v>
      </c>
    </row>
    <row r="166" spans="1:6" x14ac:dyDescent="0.25">
      <c r="A166">
        <v>1000</v>
      </c>
      <c r="B166">
        <v>2396.5241700000001</v>
      </c>
      <c r="C166">
        <v>-19.621995999999999</v>
      </c>
      <c r="D166" t="s">
        <v>285</v>
      </c>
      <c r="E166">
        <v>1650</v>
      </c>
      <c r="F166">
        <f t="shared" si="5"/>
        <v>7.7817747040902416</v>
      </c>
    </row>
    <row r="167" spans="1:6" x14ac:dyDescent="0.25">
      <c r="A167">
        <v>1000</v>
      </c>
      <c r="B167">
        <v>2397.5183109999998</v>
      </c>
      <c r="C167">
        <v>-19.669357000000002</v>
      </c>
      <c r="D167" t="s">
        <v>286</v>
      </c>
      <c r="E167">
        <v>1660</v>
      </c>
      <c r="F167">
        <f t="shared" si="5"/>
        <v>7.782189444267531</v>
      </c>
    </row>
    <row r="168" spans="1:6" x14ac:dyDescent="0.25">
      <c r="A168">
        <v>1000</v>
      </c>
      <c r="B168">
        <v>2396.6452640000002</v>
      </c>
      <c r="C168">
        <v>-19.636134999999999</v>
      </c>
      <c r="D168" t="s">
        <v>287</v>
      </c>
      <c r="E168">
        <v>1670</v>
      </c>
      <c r="F168">
        <f t="shared" si="5"/>
        <v>7.7818252318263017</v>
      </c>
    </row>
    <row r="169" spans="1:6" x14ac:dyDescent="0.25">
      <c r="A169">
        <v>1000</v>
      </c>
      <c r="B169">
        <v>2395.7666020000001</v>
      </c>
      <c r="C169">
        <v>-19.598461</v>
      </c>
      <c r="D169" t="s">
        <v>288</v>
      </c>
      <c r="E169">
        <v>1680</v>
      </c>
      <c r="F169">
        <f t="shared" si="5"/>
        <v>7.7814585429713308</v>
      </c>
    </row>
    <row r="170" spans="1:6" x14ac:dyDescent="0.25">
      <c r="A170">
        <v>1000</v>
      </c>
      <c r="B170">
        <v>2396.5903320000002</v>
      </c>
      <c r="C170">
        <v>-19.592478</v>
      </c>
      <c r="D170" t="s">
        <v>289</v>
      </c>
      <c r="E170">
        <v>1690</v>
      </c>
      <c r="F170">
        <f t="shared" si="5"/>
        <v>7.7818023111920445</v>
      </c>
    </row>
    <row r="171" spans="1:6" x14ac:dyDescent="0.25">
      <c r="A171">
        <v>1000</v>
      </c>
      <c r="B171">
        <v>2395.6435550000001</v>
      </c>
      <c r="C171">
        <v>-19.551604999999999</v>
      </c>
      <c r="D171" t="s">
        <v>290</v>
      </c>
      <c r="E171">
        <v>1700</v>
      </c>
      <c r="F171">
        <f t="shared" si="5"/>
        <v>7.7814071814739867</v>
      </c>
    </row>
    <row r="172" spans="1:6" x14ac:dyDescent="0.25">
      <c r="A172">
        <v>1000</v>
      </c>
      <c r="B172">
        <v>2394.7844239999999</v>
      </c>
      <c r="C172">
        <v>-19.530881999999998</v>
      </c>
      <c r="D172" t="s">
        <v>291</v>
      </c>
      <c r="E172">
        <v>1710</v>
      </c>
      <c r="F172">
        <f t="shared" si="5"/>
        <v>7.7810484949378456</v>
      </c>
    </row>
    <row r="173" spans="1:6" x14ac:dyDescent="0.25">
      <c r="A173">
        <v>1000</v>
      </c>
      <c r="B173">
        <v>2396.0270999999998</v>
      </c>
      <c r="C173">
        <v>-19.579063000000001</v>
      </c>
      <c r="D173" t="s">
        <v>292</v>
      </c>
      <c r="E173">
        <v>1720</v>
      </c>
      <c r="F173">
        <f t="shared" si="5"/>
        <v>7.7815672696889058</v>
      </c>
    </row>
    <row r="174" spans="1:6" x14ac:dyDescent="0.25">
      <c r="A174">
        <v>1000</v>
      </c>
      <c r="B174">
        <v>2395.398682</v>
      </c>
      <c r="C174">
        <v>-19.491949000000002</v>
      </c>
      <c r="D174" t="s">
        <v>293</v>
      </c>
      <c r="E174">
        <v>1730</v>
      </c>
      <c r="F174">
        <f t="shared" si="5"/>
        <v>7.7813049602919975</v>
      </c>
    </row>
    <row r="175" spans="1:6" x14ac:dyDescent="0.25">
      <c r="A175">
        <v>1000</v>
      </c>
      <c r="B175">
        <v>2392.6188959999999</v>
      </c>
      <c r="C175">
        <v>-19.413021000000001</v>
      </c>
      <c r="D175" t="s">
        <v>294</v>
      </c>
      <c r="E175">
        <v>1740</v>
      </c>
      <c r="F175">
        <f t="shared" si="5"/>
        <v>7.7801438173901447</v>
      </c>
    </row>
    <row r="176" spans="1:6" x14ac:dyDescent="0.25">
      <c r="A176">
        <v>1000</v>
      </c>
      <c r="B176">
        <v>2393.459961</v>
      </c>
      <c r="C176">
        <v>-19.429822999999999</v>
      </c>
      <c r="D176" t="s">
        <v>295</v>
      </c>
      <c r="E176">
        <v>1750</v>
      </c>
      <c r="F176">
        <f t="shared" si="5"/>
        <v>7.7804952804703769</v>
      </c>
    </row>
    <row r="177" spans="1:6" x14ac:dyDescent="0.25">
      <c r="A177">
        <v>1000</v>
      </c>
      <c r="B177">
        <v>2394.5351559999999</v>
      </c>
      <c r="C177">
        <v>-19.470421000000002</v>
      </c>
      <c r="D177" t="s">
        <v>296</v>
      </c>
      <c r="E177">
        <v>1760</v>
      </c>
      <c r="F177">
        <f t="shared" si="5"/>
        <v>7.7809444016544216</v>
      </c>
    </row>
    <row r="178" spans="1:6" x14ac:dyDescent="0.25">
      <c r="A178">
        <v>1000</v>
      </c>
      <c r="B178">
        <v>2393.4702149999998</v>
      </c>
      <c r="C178">
        <v>-19.415424000000002</v>
      </c>
      <c r="D178" t="s">
        <v>297</v>
      </c>
      <c r="E178">
        <v>1770</v>
      </c>
      <c r="F178">
        <f t="shared" si="5"/>
        <v>7.7804995646356447</v>
      </c>
    </row>
    <row r="179" spans="1:6" x14ac:dyDescent="0.25">
      <c r="A179">
        <v>1000</v>
      </c>
      <c r="B179">
        <v>2391.280518</v>
      </c>
      <c r="C179">
        <v>-19.340783999999999</v>
      </c>
      <c r="D179" t="s">
        <v>298</v>
      </c>
      <c r="E179">
        <v>1780</v>
      </c>
      <c r="F179">
        <f t="shared" si="5"/>
        <v>7.7795842830358053</v>
      </c>
    </row>
    <row r="180" spans="1:6" x14ac:dyDescent="0.25">
      <c r="A180">
        <v>1000</v>
      </c>
      <c r="B180">
        <v>2394.2546390000002</v>
      </c>
      <c r="C180">
        <v>-19.422609000000001</v>
      </c>
      <c r="D180" t="s">
        <v>299</v>
      </c>
      <c r="E180">
        <v>1790</v>
      </c>
      <c r="F180">
        <f t="shared" si="5"/>
        <v>7.7808272459585863</v>
      </c>
    </row>
    <row r="181" spans="1:6" x14ac:dyDescent="0.25">
      <c r="A181">
        <v>1000</v>
      </c>
      <c r="B181">
        <v>2391.2856449999999</v>
      </c>
      <c r="C181">
        <v>-19.333586</v>
      </c>
      <c r="D181" t="s">
        <v>300</v>
      </c>
      <c r="E181">
        <v>1800</v>
      </c>
      <c r="F181">
        <f t="shared" si="5"/>
        <v>7.7795864270730544</v>
      </c>
    </row>
    <row r="182" spans="1:6" x14ac:dyDescent="0.25">
      <c r="A182">
        <v>1000</v>
      </c>
      <c r="B182">
        <v>2390.9553219999998</v>
      </c>
      <c r="C182">
        <v>-19.305391</v>
      </c>
      <c r="D182" t="s">
        <v>301</v>
      </c>
      <c r="E182">
        <v>1810</v>
      </c>
      <c r="F182">
        <f t="shared" si="5"/>
        <v>7.7794482813782624</v>
      </c>
    </row>
    <row r="183" spans="1:6" x14ac:dyDescent="0.25">
      <c r="A183">
        <v>1000</v>
      </c>
      <c r="B183">
        <v>2393.607422</v>
      </c>
      <c r="C183">
        <v>-19.390345</v>
      </c>
      <c r="D183" t="s">
        <v>302</v>
      </c>
      <c r="E183">
        <v>1820</v>
      </c>
      <c r="F183">
        <f t="shared" si="5"/>
        <v>7.7805568885440675</v>
      </c>
    </row>
    <row r="184" spans="1:6" x14ac:dyDescent="0.25">
      <c r="A184">
        <v>1000</v>
      </c>
      <c r="B184">
        <v>2394.4536130000001</v>
      </c>
      <c r="C184">
        <v>-19.381069</v>
      </c>
      <c r="D184" t="s">
        <v>303</v>
      </c>
      <c r="E184">
        <v>1830</v>
      </c>
      <c r="F184">
        <f t="shared" si="5"/>
        <v>7.7809103472834709</v>
      </c>
    </row>
    <row r="185" spans="1:6" x14ac:dyDescent="0.25">
      <c r="A185">
        <v>1000</v>
      </c>
      <c r="B185">
        <v>2405.2158199999999</v>
      </c>
      <c r="C185">
        <v>-19.482935000000001</v>
      </c>
      <c r="D185" t="s">
        <v>304</v>
      </c>
      <c r="E185">
        <v>1840</v>
      </c>
      <c r="F185">
        <f t="shared" si="5"/>
        <v>7.7853949165593823</v>
      </c>
    </row>
  </sheetData>
  <sortState ref="A1:H193">
    <sortCondition ref="F1:F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195"/>
  <sheetViews>
    <sheetView zoomScale="85" zoomScaleNormal="85" workbookViewId="0">
      <selection activeCell="V18" sqref="V18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</cols>
  <sheetData>
    <row r="1" spans="5:12" x14ac:dyDescent="0.25">
      <c r="E1">
        <v>0</v>
      </c>
      <c r="F1" t="e">
        <f>LN(B1)</f>
        <v>#NUM!</v>
      </c>
      <c r="I1" s="1" t="s">
        <v>0</v>
      </c>
      <c r="J1" s="1" t="s">
        <v>5</v>
      </c>
      <c r="L1" s="2"/>
    </row>
    <row r="2" spans="5:12" x14ac:dyDescent="0.25">
      <c r="E2">
        <v>10</v>
      </c>
      <c r="F2" t="e">
        <f t="shared" ref="F2:F65" si="0">LN(B2)</f>
        <v>#NUM!</v>
      </c>
      <c r="H2" t="s">
        <v>1</v>
      </c>
      <c r="I2">
        <f>1/(0.000005)</f>
        <v>199999.99999999997</v>
      </c>
      <c r="J2">
        <f>1/(0.00003)</f>
        <v>33333.333333333336</v>
      </c>
      <c r="K2" s="3" t="s">
        <v>2</v>
      </c>
      <c r="L2" s="2"/>
    </row>
    <row r="3" spans="5:12" x14ac:dyDescent="0.25">
      <c r="E3">
        <v>20</v>
      </c>
      <c r="F3" t="e">
        <f t="shared" si="0"/>
        <v>#NUM!</v>
      </c>
      <c r="I3">
        <f>I2/60</f>
        <v>3333.333333333333</v>
      </c>
      <c r="J3">
        <f>J2/60</f>
        <v>555.55555555555554</v>
      </c>
      <c r="K3" s="3" t="s">
        <v>3</v>
      </c>
    </row>
    <row r="4" spans="5:12" x14ac:dyDescent="0.25">
      <c r="E4">
        <v>30</v>
      </c>
      <c r="F4" t="e">
        <f t="shared" si="0"/>
        <v>#NUM!</v>
      </c>
      <c r="I4">
        <f>I3/60</f>
        <v>55.55555555555555</v>
      </c>
      <c r="J4">
        <f>J3/60</f>
        <v>9.2592592592592595</v>
      </c>
      <c r="K4" s="3" t="s">
        <v>4</v>
      </c>
    </row>
    <row r="5" spans="5:12" x14ac:dyDescent="0.25">
      <c r="E5">
        <v>40</v>
      </c>
      <c r="F5" t="e">
        <f t="shared" si="0"/>
        <v>#NUM!</v>
      </c>
    </row>
    <row r="6" spans="5:12" x14ac:dyDescent="0.25">
      <c r="E6">
        <v>50</v>
      </c>
      <c r="F6" t="e">
        <f t="shared" si="0"/>
        <v>#NUM!</v>
      </c>
    </row>
    <row r="7" spans="5:12" x14ac:dyDescent="0.25">
      <c r="E7">
        <v>60</v>
      </c>
      <c r="F7" t="e">
        <f t="shared" si="0"/>
        <v>#NUM!</v>
      </c>
    </row>
    <row r="8" spans="5:12" x14ac:dyDescent="0.25">
      <c r="E8">
        <v>70</v>
      </c>
      <c r="F8" t="e">
        <f t="shared" si="0"/>
        <v>#NUM!</v>
      </c>
    </row>
    <row r="9" spans="5:12" x14ac:dyDescent="0.25">
      <c r="E9">
        <v>80</v>
      </c>
      <c r="F9" t="e">
        <f t="shared" si="0"/>
        <v>#NUM!</v>
      </c>
    </row>
    <row r="10" spans="5:12" x14ac:dyDescent="0.25">
      <c r="E10">
        <v>90</v>
      </c>
      <c r="F10" t="e">
        <f t="shared" si="0"/>
        <v>#NUM!</v>
      </c>
    </row>
    <row r="11" spans="5:12" x14ac:dyDescent="0.25">
      <c r="E11">
        <v>100</v>
      </c>
      <c r="F11" t="e">
        <f t="shared" si="0"/>
        <v>#NUM!</v>
      </c>
    </row>
    <row r="12" spans="5:12" x14ac:dyDescent="0.25">
      <c r="E12">
        <v>110</v>
      </c>
      <c r="F12" t="e">
        <f t="shared" si="0"/>
        <v>#NUM!</v>
      </c>
    </row>
    <row r="13" spans="5:12" x14ac:dyDescent="0.25">
      <c r="E13">
        <v>120</v>
      </c>
      <c r="F13" t="e">
        <f t="shared" si="0"/>
        <v>#NUM!</v>
      </c>
    </row>
    <row r="14" spans="5:12" x14ac:dyDescent="0.25">
      <c r="E14">
        <v>130</v>
      </c>
      <c r="F14" t="e">
        <f t="shared" si="0"/>
        <v>#NUM!</v>
      </c>
    </row>
    <row r="15" spans="5:12" x14ac:dyDescent="0.25">
      <c r="E15">
        <v>140</v>
      </c>
      <c r="F15" t="e">
        <f t="shared" si="0"/>
        <v>#NUM!</v>
      </c>
    </row>
    <row r="16" spans="5:12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  <row r="28" spans="5:6" x14ac:dyDescent="0.25">
      <c r="E28">
        <v>270</v>
      </c>
      <c r="F28" t="e">
        <f t="shared" si="0"/>
        <v>#NUM!</v>
      </c>
    </row>
    <row r="29" spans="5:6" x14ac:dyDescent="0.25">
      <c r="E29">
        <v>280</v>
      </c>
      <c r="F29" t="e">
        <f t="shared" si="0"/>
        <v>#NUM!</v>
      </c>
    </row>
    <row r="30" spans="5:6" x14ac:dyDescent="0.25">
      <c r="E30">
        <v>290</v>
      </c>
      <c r="F30" t="e">
        <f t="shared" si="0"/>
        <v>#NUM!</v>
      </c>
    </row>
    <row r="31" spans="5:6" x14ac:dyDescent="0.25">
      <c r="E31">
        <v>300</v>
      </c>
      <c r="F31" t="e">
        <f t="shared" si="0"/>
        <v>#NUM!</v>
      </c>
    </row>
    <row r="32" spans="5:6" x14ac:dyDescent="0.25">
      <c r="E32">
        <v>310</v>
      </c>
      <c r="F32" t="e">
        <f t="shared" si="0"/>
        <v>#NUM!</v>
      </c>
    </row>
    <row r="33" spans="5:6" x14ac:dyDescent="0.25">
      <c r="E33">
        <v>320</v>
      </c>
      <c r="F33" t="e">
        <f t="shared" si="0"/>
        <v>#NUM!</v>
      </c>
    </row>
    <row r="34" spans="5:6" x14ac:dyDescent="0.25">
      <c r="E34">
        <v>330</v>
      </c>
      <c r="F34" t="e">
        <f t="shared" si="0"/>
        <v>#NUM!</v>
      </c>
    </row>
    <row r="35" spans="5:6" x14ac:dyDescent="0.25">
      <c r="E35">
        <v>340</v>
      </c>
      <c r="F35" t="e">
        <f t="shared" si="0"/>
        <v>#NUM!</v>
      </c>
    </row>
    <row r="36" spans="5:6" x14ac:dyDescent="0.25">
      <c r="E36">
        <v>350</v>
      </c>
      <c r="F36" t="e">
        <f t="shared" si="0"/>
        <v>#NUM!</v>
      </c>
    </row>
    <row r="37" spans="5:6" x14ac:dyDescent="0.25">
      <c r="E37">
        <v>360</v>
      </c>
      <c r="F37" t="e">
        <f t="shared" si="0"/>
        <v>#NUM!</v>
      </c>
    </row>
    <row r="38" spans="5:6" x14ac:dyDescent="0.25">
      <c r="E38">
        <v>370</v>
      </c>
      <c r="F38" t="e">
        <f t="shared" si="0"/>
        <v>#NUM!</v>
      </c>
    </row>
    <row r="39" spans="5:6" x14ac:dyDescent="0.25">
      <c r="E39">
        <v>380</v>
      </c>
      <c r="F39" t="e">
        <f t="shared" si="0"/>
        <v>#NUM!</v>
      </c>
    </row>
    <row r="40" spans="5:6" x14ac:dyDescent="0.25">
      <c r="E40">
        <v>390</v>
      </c>
      <c r="F40" t="e">
        <f t="shared" si="0"/>
        <v>#NUM!</v>
      </c>
    </row>
    <row r="41" spans="5:6" x14ac:dyDescent="0.25">
      <c r="E41">
        <v>400</v>
      </c>
      <c r="F41" t="e">
        <f t="shared" si="0"/>
        <v>#NUM!</v>
      </c>
    </row>
    <row r="42" spans="5:6" x14ac:dyDescent="0.25">
      <c r="E42">
        <v>410</v>
      </c>
      <c r="F42" t="e">
        <f t="shared" si="0"/>
        <v>#NUM!</v>
      </c>
    </row>
    <row r="43" spans="5:6" x14ac:dyDescent="0.25">
      <c r="E43">
        <v>420</v>
      </c>
      <c r="F43" t="e">
        <f t="shared" si="0"/>
        <v>#NUM!</v>
      </c>
    </row>
    <row r="44" spans="5:6" x14ac:dyDescent="0.25">
      <c r="E44">
        <v>430</v>
      </c>
      <c r="F44" t="e">
        <f t="shared" si="0"/>
        <v>#NUM!</v>
      </c>
    </row>
    <row r="45" spans="5:6" x14ac:dyDescent="0.25">
      <c r="E45">
        <v>440</v>
      </c>
      <c r="F45" t="e">
        <f t="shared" si="0"/>
        <v>#NUM!</v>
      </c>
    </row>
    <row r="46" spans="5:6" x14ac:dyDescent="0.25">
      <c r="E46">
        <v>450</v>
      </c>
      <c r="F46" t="e">
        <f t="shared" si="0"/>
        <v>#NUM!</v>
      </c>
    </row>
    <row r="47" spans="5:6" x14ac:dyDescent="0.25">
      <c r="E47">
        <v>460</v>
      </c>
      <c r="F47" t="e">
        <f t="shared" si="0"/>
        <v>#NUM!</v>
      </c>
    </row>
    <row r="48" spans="5:6" x14ac:dyDescent="0.25">
      <c r="E48">
        <v>470</v>
      </c>
      <c r="F48" t="e">
        <f t="shared" si="0"/>
        <v>#NUM!</v>
      </c>
    </row>
    <row r="49" spans="5:6" x14ac:dyDescent="0.25">
      <c r="E49">
        <v>480</v>
      </c>
      <c r="F49" t="e">
        <f t="shared" si="0"/>
        <v>#NUM!</v>
      </c>
    </row>
    <row r="50" spans="5:6" x14ac:dyDescent="0.25">
      <c r="E50">
        <v>490</v>
      </c>
      <c r="F50" t="e">
        <f t="shared" si="0"/>
        <v>#NUM!</v>
      </c>
    </row>
    <row r="51" spans="5:6" x14ac:dyDescent="0.25">
      <c r="E51">
        <v>500</v>
      </c>
      <c r="F51" t="e">
        <f t="shared" si="0"/>
        <v>#NUM!</v>
      </c>
    </row>
    <row r="52" spans="5:6" x14ac:dyDescent="0.25">
      <c r="E52">
        <v>510</v>
      </c>
      <c r="F52" t="e">
        <f t="shared" si="0"/>
        <v>#NUM!</v>
      </c>
    </row>
    <row r="53" spans="5:6" x14ac:dyDescent="0.25">
      <c r="E53">
        <v>520</v>
      </c>
      <c r="F53" t="e">
        <f t="shared" si="0"/>
        <v>#NUM!</v>
      </c>
    </row>
    <row r="54" spans="5:6" x14ac:dyDescent="0.25">
      <c r="E54">
        <v>530</v>
      </c>
      <c r="F54" t="e">
        <f t="shared" si="0"/>
        <v>#NUM!</v>
      </c>
    </row>
    <row r="55" spans="5:6" x14ac:dyDescent="0.25">
      <c r="E55">
        <v>540</v>
      </c>
      <c r="F55" t="e">
        <f t="shared" si="0"/>
        <v>#NUM!</v>
      </c>
    </row>
    <row r="56" spans="5:6" x14ac:dyDescent="0.25">
      <c r="E56">
        <v>550</v>
      </c>
      <c r="F56" t="e">
        <f t="shared" si="0"/>
        <v>#NUM!</v>
      </c>
    </row>
    <row r="57" spans="5:6" x14ac:dyDescent="0.25">
      <c r="E57">
        <v>560</v>
      </c>
      <c r="F57" t="e">
        <f t="shared" si="0"/>
        <v>#NUM!</v>
      </c>
    </row>
    <row r="58" spans="5:6" x14ac:dyDescent="0.25">
      <c r="E58">
        <v>570</v>
      </c>
      <c r="F58" t="e">
        <f t="shared" si="0"/>
        <v>#NUM!</v>
      </c>
    </row>
    <row r="59" spans="5:6" x14ac:dyDescent="0.25">
      <c r="E59">
        <v>580</v>
      </c>
      <c r="F59" t="e">
        <f t="shared" si="0"/>
        <v>#NUM!</v>
      </c>
    </row>
    <row r="60" spans="5:6" x14ac:dyDescent="0.25">
      <c r="E60">
        <v>590</v>
      </c>
      <c r="F60" t="e">
        <f t="shared" si="0"/>
        <v>#NUM!</v>
      </c>
    </row>
    <row r="61" spans="5:6" x14ac:dyDescent="0.25">
      <c r="E61">
        <v>600</v>
      </c>
      <c r="F61" t="e">
        <f t="shared" si="0"/>
        <v>#NUM!</v>
      </c>
    </row>
    <row r="62" spans="5:6" x14ac:dyDescent="0.25">
      <c r="E62">
        <v>610</v>
      </c>
      <c r="F62" t="e">
        <f t="shared" si="0"/>
        <v>#NUM!</v>
      </c>
    </row>
    <row r="63" spans="5:6" x14ac:dyDescent="0.25">
      <c r="E63">
        <v>620</v>
      </c>
      <c r="F63" t="e">
        <f t="shared" si="0"/>
        <v>#NUM!</v>
      </c>
    </row>
    <row r="64" spans="5:6" x14ac:dyDescent="0.25">
      <c r="E64">
        <v>630</v>
      </c>
      <c r="F64" t="e">
        <f t="shared" si="0"/>
        <v>#NUM!</v>
      </c>
    </row>
    <row r="65" spans="5:6" x14ac:dyDescent="0.25">
      <c r="E65">
        <v>640</v>
      </c>
      <c r="F65" t="e">
        <f t="shared" si="0"/>
        <v>#NUM!</v>
      </c>
    </row>
    <row r="66" spans="5:6" x14ac:dyDescent="0.25">
      <c r="E66">
        <v>650</v>
      </c>
      <c r="F66" t="e">
        <f t="shared" ref="F66:F129" si="1">LN(B66)</f>
        <v>#NUM!</v>
      </c>
    </row>
    <row r="67" spans="5:6" x14ac:dyDescent="0.25">
      <c r="E67">
        <v>660</v>
      </c>
      <c r="F67" t="e">
        <f t="shared" si="1"/>
        <v>#NUM!</v>
      </c>
    </row>
    <row r="68" spans="5:6" x14ac:dyDescent="0.25">
      <c r="E68">
        <v>670</v>
      </c>
      <c r="F68" t="e">
        <f t="shared" si="1"/>
        <v>#NUM!</v>
      </c>
    </row>
    <row r="69" spans="5:6" x14ac:dyDescent="0.25">
      <c r="E69">
        <v>680</v>
      </c>
      <c r="F69" t="e">
        <f t="shared" si="1"/>
        <v>#NUM!</v>
      </c>
    </row>
    <row r="70" spans="5:6" x14ac:dyDescent="0.25">
      <c r="E70">
        <v>690</v>
      </c>
      <c r="F70" t="e">
        <f t="shared" si="1"/>
        <v>#NUM!</v>
      </c>
    </row>
    <row r="71" spans="5:6" x14ac:dyDescent="0.25">
      <c r="E71">
        <v>700</v>
      </c>
      <c r="F71" t="e">
        <f t="shared" si="1"/>
        <v>#NUM!</v>
      </c>
    </row>
    <row r="72" spans="5:6" x14ac:dyDescent="0.25">
      <c r="E72">
        <v>710</v>
      </c>
      <c r="F72" t="e">
        <f t="shared" si="1"/>
        <v>#NUM!</v>
      </c>
    </row>
    <row r="73" spans="5:6" x14ac:dyDescent="0.25">
      <c r="E73">
        <v>720</v>
      </c>
      <c r="F73" t="e">
        <f t="shared" si="1"/>
        <v>#NUM!</v>
      </c>
    </row>
    <row r="74" spans="5:6" x14ac:dyDescent="0.25">
      <c r="E74">
        <v>730</v>
      </c>
      <c r="F74" t="e">
        <f t="shared" si="1"/>
        <v>#NUM!</v>
      </c>
    </row>
    <row r="75" spans="5:6" x14ac:dyDescent="0.25">
      <c r="E75">
        <v>740</v>
      </c>
      <c r="F75" t="e">
        <f t="shared" si="1"/>
        <v>#NUM!</v>
      </c>
    </row>
    <row r="76" spans="5:6" x14ac:dyDescent="0.25">
      <c r="E76">
        <v>750</v>
      </c>
      <c r="F76" t="e">
        <f t="shared" si="1"/>
        <v>#NUM!</v>
      </c>
    </row>
    <row r="77" spans="5:6" x14ac:dyDescent="0.25">
      <c r="E77">
        <v>760</v>
      </c>
      <c r="F77" t="e">
        <f t="shared" si="1"/>
        <v>#NUM!</v>
      </c>
    </row>
    <row r="78" spans="5:6" x14ac:dyDescent="0.25">
      <c r="E78">
        <v>770</v>
      </c>
      <c r="F78" t="e">
        <f t="shared" si="1"/>
        <v>#NUM!</v>
      </c>
    </row>
    <row r="79" spans="5:6" x14ac:dyDescent="0.25">
      <c r="E79">
        <v>780</v>
      </c>
      <c r="F79" t="e">
        <f t="shared" si="1"/>
        <v>#NUM!</v>
      </c>
    </row>
    <row r="80" spans="5:6" x14ac:dyDescent="0.25">
      <c r="E80">
        <v>790</v>
      </c>
      <c r="F80" t="e">
        <f t="shared" si="1"/>
        <v>#NUM!</v>
      </c>
    </row>
    <row r="81" spans="5:6" x14ac:dyDescent="0.25">
      <c r="E81">
        <v>800</v>
      </c>
      <c r="F81" t="e">
        <f t="shared" si="1"/>
        <v>#NUM!</v>
      </c>
    </row>
    <row r="82" spans="5:6" x14ac:dyDescent="0.25">
      <c r="E82">
        <v>810</v>
      </c>
      <c r="F82" t="e">
        <f t="shared" si="1"/>
        <v>#NUM!</v>
      </c>
    </row>
    <row r="83" spans="5:6" x14ac:dyDescent="0.25">
      <c r="E83">
        <v>820</v>
      </c>
      <c r="F83" t="e">
        <f t="shared" si="1"/>
        <v>#NUM!</v>
      </c>
    </row>
    <row r="84" spans="5:6" x14ac:dyDescent="0.25">
      <c r="E84">
        <v>830</v>
      </c>
      <c r="F84" t="e">
        <f t="shared" si="1"/>
        <v>#NUM!</v>
      </c>
    </row>
    <row r="85" spans="5:6" x14ac:dyDescent="0.25">
      <c r="E85">
        <v>840</v>
      </c>
      <c r="F85" t="e">
        <f t="shared" si="1"/>
        <v>#NUM!</v>
      </c>
    </row>
    <row r="86" spans="5:6" x14ac:dyDescent="0.25">
      <c r="E86">
        <v>850</v>
      </c>
      <c r="F86" t="e">
        <f t="shared" si="1"/>
        <v>#NUM!</v>
      </c>
    </row>
    <row r="87" spans="5:6" x14ac:dyDescent="0.25">
      <c r="E87">
        <v>860</v>
      </c>
      <c r="F87" t="e">
        <f t="shared" si="1"/>
        <v>#NUM!</v>
      </c>
    </row>
    <row r="88" spans="5:6" x14ac:dyDescent="0.25">
      <c r="E88">
        <v>870</v>
      </c>
      <c r="F88" t="e">
        <f t="shared" si="1"/>
        <v>#NUM!</v>
      </c>
    </row>
    <row r="89" spans="5:6" x14ac:dyDescent="0.25">
      <c r="E89">
        <v>880</v>
      </c>
      <c r="F89" t="e">
        <f t="shared" si="1"/>
        <v>#NUM!</v>
      </c>
    </row>
    <row r="90" spans="5:6" x14ac:dyDescent="0.25">
      <c r="E90">
        <v>890</v>
      </c>
      <c r="F90" t="e">
        <f t="shared" si="1"/>
        <v>#NUM!</v>
      </c>
    </row>
    <row r="91" spans="5:6" x14ac:dyDescent="0.25">
      <c r="E91">
        <v>900</v>
      </c>
      <c r="F91" t="e">
        <f t="shared" si="1"/>
        <v>#NUM!</v>
      </c>
    </row>
    <row r="92" spans="5:6" x14ac:dyDescent="0.25">
      <c r="E92">
        <v>910</v>
      </c>
      <c r="F92" t="e">
        <f t="shared" si="1"/>
        <v>#NUM!</v>
      </c>
    </row>
    <row r="93" spans="5:6" x14ac:dyDescent="0.25">
      <c r="E93">
        <v>920</v>
      </c>
      <c r="F93" t="e">
        <f t="shared" si="1"/>
        <v>#NUM!</v>
      </c>
    </row>
    <row r="94" spans="5:6" x14ac:dyDescent="0.25">
      <c r="E94">
        <v>930</v>
      </c>
      <c r="F94" t="e">
        <f t="shared" si="1"/>
        <v>#NUM!</v>
      </c>
    </row>
    <row r="95" spans="5:6" x14ac:dyDescent="0.25">
      <c r="E95">
        <v>940</v>
      </c>
      <c r="F95" t="e">
        <f t="shared" si="1"/>
        <v>#NUM!</v>
      </c>
    </row>
    <row r="96" spans="5:6" x14ac:dyDescent="0.25">
      <c r="E96">
        <v>950</v>
      </c>
      <c r="F96" t="e">
        <f t="shared" si="1"/>
        <v>#NUM!</v>
      </c>
    </row>
    <row r="97" spans="5:6" x14ac:dyDescent="0.25">
      <c r="E97">
        <v>960</v>
      </c>
      <c r="F97" t="e">
        <f t="shared" si="1"/>
        <v>#NUM!</v>
      </c>
    </row>
    <row r="98" spans="5:6" x14ac:dyDescent="0.25">
      <c r="E98">
        <v>970</v>
      </c>
      <c r="F98" t="e">
        <f t="shared" si="1"/>
        <v>#NUM!</v>
      </c>
    </row>
    <row r="99" spans="5:6" x14ac:dyDescent="0.25">
      <c r="E99">
        <v>980</v>
      </c>
      <c r="F99" t="e">
        <f t="shared" si="1"/>
        <v>#NUM!</v>
      </c>
    </row>
    <row r="100" spans="5:6" x14ac:dyDescent="0.25">
      <c r="E100">
        <v>990</v>
      </c>
      <c r="F100" t="e">
        <f t="shared" si="1"/>
        <v>#NUM!</v>
      </c>
    </row>
    <row r="101" spans="5:6" x14ac:dyDescent="0.25">
      <c r="E101">
        <v>1000</v>
      </c>
      <c r="F101" t="e">
        <f t="shared" si="1"/>
        <v>#NUM!</v>
      </c>
    </row>
    <row r="102" spans="5:6" x14ac:dyDescent="0.25">
      <c r="E102">
        <v>1010</v>
      </c>
      <c r="F102" t="e">
        <f t="shared" si="1"/>
        <v>#NUM!</v>
      </c>
    </row>
    <row r="103" spans="5:6" x14ac:dyDescent="0.25">
      <c r="E103">
        <v>1020</v>
      </c>
      <c r="F103" t="e">
        <f t="shared" si="1"/>
        <v>#NUM!</v>
      </c>
    </row>
    <row r="104" spans="5:6" x14ac:dyDescent="0.25">
      <c r="E104">
        <v>1030</v>
      </c>
      <c r="F104" t="e">
        <f t="shared" si="1"/>
        <v>#NUM!</v>
      </c>
    </row>
    <row r="105" spans="5:6" x14ac:dyDescent="0.25">
      <c r="E105">
        <v>1040</v>
      </c>
      <c r="F105" t="e">
        <f t="shared" si="1"/>
        <v>#NUM!</v>
      </c>
    </row>
    <row r="106" spans="5:6" x14ac:dyDescent="0.25">
      <c r="E106">
        <v>1050</v>
      </c>
      <c r="F106" t="e">
        <f t="shared" si="1"/>
        <v>#NUM!</v>
      </c>
    </row>
    <row r="107" spans="5:6" x14ac:dyDescent="0.25">
      <c r="E107">
        <v>1060</v>
      </c>
      <c r="F107" t="e">
        <f t="shared" si="1"/>
        <v>#NUM!</v>
      </c>
    </row>
    <row r="108" spans="5:6" x14ac:dyDescent="0.25">
      <c r="E108">
        <v>1070</v>
      </c>
      <c r="F108" t="e">
        <f t="shared" si="1"/>
        <v>#NUM!</v>
      </c>
    </row>
    <row r="109" spans="5:6" x14ac:dyDescent="0.25">
      <c r="E109">
        <v>1080</v>
      </c>
      <c r="F109" t="e">
        <f t="shared" si="1"/>
        <v>#NUM!</v>
      </c>
    </row>
    <row r="110" spans="5:6" x14ac:dyDescent="0.25">
      <c r="E110">
        <v>1090</v>
      </c>
      <c r="F110" t="e">
        <f t="shared" si="1"/>
        <v>#NUM!</v>
      </c>
    </row>
    <row r="111" spans="5:6" x14ac:dyDescent="0.25">
      <c r="E111">
        <v>1100</v>
      </c>
      <c r="F111" t="e">
        <f t="shared" si="1"/>
        <v>#NUM!</v>
      </c>
    </row>
    <row r="112" spans="5:6" x14ac:dyDescent="0.25">
      <c r="E112">
        <v>1110</v>
      </c>
      <c r="F112" t="e">
        <f t="shared" si="1"/>
        <v>#NUM!</v>
      </c>
    </row>
    <row r="113" spans="5:6" x14ac:dyDescent="0.25">
      <c r="E113">
        <v>1120</v>
      </c>
      <c r="F113" t="e">
        <f t="shared" si="1"/>
        <v>#NUM!</v>
      </c>
    </row>
    <row r="114" spans="5:6" x14ac:dyDescent="0.25">
      <c r="E114">
        <v>1130</v>
      </c>
      <c r="F114" t="e">
        <f t="shared" si="1"/>
        <v>#NUM!</v>
      </c>
    </row>
    <row r="115" spans="5:6" x14ac:dyDescent="0.25">
      <c r="E115">
        <v>1140</v>
      </c>
      <c r="F115" t="e">
        <f t="shared" si="1"/>
        <v>#NUM!</v>
      </c>
    </row>
    <row r="116" spans="5:6" x14ac:dyDescent="0.25">
      <c r="E116">
        <v>1150</v>
      </c>
      <c r="F116" t="e">
        <f t="shared" si="1"/>
        <v>#NUM!</v>
      </c>
    </row>
    <row r="117" spans="5:6" x14ac:dyDescent="0.25">
      <c r="E117">
        <v>1160</v>
      </c>
      <c r="F117" t="e">
        <f t="shared" si="1"/>
        <v>#NUM!</v>
      </c>
    </row>
    <row r="118" spans="5:6" x14ac:dyDescent="0.25">
      <c r="E118">
        <v>1170</v>
      </c>
      <c r="F118" t="e">
        <f t="shared" si="1"/>
        <v>#NUM!</v>
      </c>
    </row>
    <row r="119" spans="5:6" x14ac:dyDescent="0.25">
      <c r="E119">
        <v>1180</v>
      </c>
      <c r="F119" t="e">
        <f t="shared" si="1"/>
        <v>#NUM!</v>
      </c>
    </row>
    <row r="120" spans="5:6" x14ac:dyDescent="0.25">
      <c r="E120">
        <v>1190</v>
      </c>
      <c r="F120" t="e">
        <f t="shared" si="1"/>
        <v>#NUM!</v>
      </c>
    </row>
    <row r="121" spans="5:6" x14ac:dyDescent="0.25">
      <c r="E121">
        <v>1200</v>
      </c>
      <c r="F121" t="e">
        <f t="shared" si="1"/>
        <v>#NUM!</v>
      </c>
    </row>
    <row r="122" spans="5:6" x14ac:dyDescent="0.25">
      <c r="E122">
        <v>1210</v>
      </c>
      <c r="F122" t="e">
        <f t="shared" si="1"/>
        <v>#NUM!</v>
      </c>
    </row>
    <row r="123" spans="5:6" x14ac:dyDescent="0.25">
      <c r="E123">
        <v>1220</v>
      </c>
      <c r="F123" t="e">
        <f t="shared" si="1"/>
        <v>#NUM!</v>
      </c>
    </row>
    <row r="124" spans="5:6" x14ac:dyDescent="0.25">
      <c r="E124">
        <v>1230</v>
      </c>
      <c r="F124" t="e">
        <f t="shared" si="1"/>
        <v>#NUM!</v>
      </c>
    </row>
    <row r="125" spans="5:6" x14ac:dyDescent="0.25">
      <c r="E125">
        <v>1240</v>
      </c>
      <c r="F125" t="e">
        <f t="shared" si="1"/>
        <v>#NUM!</v>
      </c>
    </row>
    <row r="126" spans="5:6" x14ac:dyDescent="0.25">
      <c r="E126">
        <v>1250</v>
      </c>
      <c r="F126" t="e">
        <f t="shared" si="1"/>
        <v>#NUM!</v>
      </c>
    </row>
    <row r="127" spans="5:6" x14ac:dyDescent="0.25">
      <c r="E127">
        <v>1260</v>
      </c>
      <c r="F127" t="e">
        <f t="shared" si="1"/>
        <v>#NUM!</v>
      </c>
    </row>
    <row r="128" spans="5:6" x14ac:dyDescent="0.25">
      <c r="E128">
        <v>1270</v>
      </c>
      <c r="F128" t="e">
        <f t="shared" si="1"/>
        <v>#NUM!</v>
      </c>
    </row>
    <row r="129" spans="5:6" x14ac:dyDescent="0.25">
      <c r="E129">
        <v>1280</v>
      </c>
      <c r="F129" t="e">
        <f t="shared" si="1"/>
        <v>#NUM!</v>
      </c>
    </row>
    <row r="130" spans="5:6" x14ac:dyDescent="0.25">
      <c r="E130">
        <v>1290</v>
      </c>
      <c r="F130" t="e">
        <f t="shared" ref="F130:F193" si="2">LN(B130)</f>
        <v>#NUM!</v>
      </c>
    </row>
    <row r="131" spans="5:6" x14ac:dyDescent="0.25">
      <c r="E131">
        <v>1300</v>
      </c>
      <c r="F131" t="e">
        <f t="shared" si="2"/>
        <v>#NUM!</v>
      </c>
    </row>
    <row r="132" spans="5:6" x14ac:dyDescent="0.25">
      <c r="E132">
        <v>1310</v>
      </c>
      <c r="F132" t="e">
        <f t="shared" si="2"/>
        <v>#NUM!</v>
      </c>
    </row>
    <row r="133" spans="5:6" x14ac:dyDescent="0.25">
      <c r="E133">
        <v>1320</v>
      </c>
      <c r="F133" t="e">
        <f t="shared" si="2"/>
        <v>#NUM!</v>
      </c>
    </row>
    <row r="134" spans="5:6" x14ac:dyDescent="0.25">
      <c r="E134">
        <v>1330</v>
      </c>
      <c r="F134" t="e">
        <f t="shared" si="2"/>
        <v>#NUM!</v>
      </c>
    </row>
    <row r="135" spans="5:6" x14ac:dyDescent="0.25">
      <c r="E135">
        <v>1340</v>
      </c>
      <c r="F135" t="e">
        <f t="shared" si="2"/>
        <v>#NUM!</v>
      </c>
    </row>
    <row r="136" spans="5:6" x14ac:dyDescent="0.25">
      <c r="E136">
        <v>1350</v>
      </c>
      <c r="F136" t="e">
        <f t="shared" si="2"/>
        <v>#NUM!</v>
      </c>
    </row>
    <row r="137" spans="5:6" x14ac:dyDescent="0.25">
      <c r="E137">
        <v>1360</v>
      </c>
      <c r="F137" t="e">
        <f t="shared" si="2"/>
        <v>#NUM!</v>
      </c>
    </row>
    <row r="138" spans="5:6" x14ac:dyDescent="0.25">
      <c r="E138">
        <v>1370</v>
      </c>
      <c r="F138" t="e">
        <f t="shared" si="2"/>
        <v>#NUM!</v>
      </c>
    </row>
    <row r="139" spans="5:6" x14ac:dyDescent="0.25">
      <c r="E139">
        <v>1380</v>
      </c>
      <c r="F139" t="e">
        <f t="shared" si="2"/>
        <v>#NUM!</v>
      </c>
    </row>
    <row r="140" spans="5:6" x14ac:dyDescent="0.25">
      <c r="E140">
        <v>1390</v>
      </c>
      <c r="F140" t="e">
        <f t="shared" si="2"/>
        <v>#NUM!</v>
      </c>
    </row>
    <row r="141" spans="5:6" x14ac:dyDescent="0.25">
      <c r="E141">
        <v>1400</v>
      </c>
      <c r="F141" t="e">
        <f t="shared" si="2"/>
        <v>#NUM!</v>
      </c>
    </row>
    <row r="142" spans="5:6" x14ac:dyDescent="0.25">
      <c r="E142">
        <v>1410</v>
      </c>
      <c r="F142" t="e">
        <f t="shared" si="2"/>
        <v>#NUM!</v>
      </c>
    </row>
    <row r="143" spans="5:6" x14ac:dyDescent="0.25">
      <c r="E143">
        <v>1420</v>
      </c>
      <c r="F143" t="e">
        <f t="shared" si="2"/>
        <v>#NUM!</v>
      </c>
    </row>
    <row r="144" spans="5:6" x14ac:dyDescent="0.25">
      <c r="E144">
        <v>1430</v>
      </c>
      <c r="F144" t="e">
        <f t="shared" si="2"/>
        <v>#NUM!</v>
      </c>
    </row>
    <row r="145" spans="5:6" x14ac:dyDescent="0.25">
      <c r="E145">
        <v>1440</v>
      </c>
      <c r="F145" t="e">
        <f t="shared" si="2"/>
        <v>#NUM!</v>
      </c>
    </row>
    <row r="146" spans="5:6" x14ac:dyDescent="0.25">
      <c r="E146">
        <v>1450</v>
      </c>
      <c r="F146" t="e">
        <f t="shared" si="2"/>
        <v>#NUM!</v>
      </c>
    </row>
    <row r="147" spans="5:6" x14ac:dyDescent="0.25">
      <c r="E147">
        <v>1460</v>
      </c>
      <c r="F147" t="e">
        <f t="shared" si="2"/>
        <v>#NUM!</v>
      </c>
    </row>
    <row r="148" spans="5:6" x14ac:dyDescent="0.25">
      <c r="E148">
        <v>1470</v>
      </c>
      <c r="F148" t="e">
        <f t="shared" si="2"/>
        <v>#NUM!</v>
      </c>
    </row>
    <row r="149" spans="5:6" x14ac:dyDescent="0.25">
      <c r="E149">
        <v>1480</v>
      </c>
      <c r="F149" t="e">
        <f t="shared" si="2"/>
        <v>#NUM!</v>
      </c>
    </row>
    <row r="150" spans="5:6" x14ac:dyDescent="0.25">
      <c r="E150">
        <v>1490</v>
      </c>
      <c r="F150" t="e">
        <f t="shared" si="2"/>
        <v>#NUM!</v>
      </c>
    </row>
    <row r="151" spans="5:6" x14ac:dyDescent="0.25">
      <c r="E151">
        <v>1500</v>
      </c>
      <c r="F151" t="e">
        <f t="shared" si="2"/>
        <v>#NUM!</v>
      </c>
    </row>
    <row r="152" spans="5:6" x14ac:dyDescent="0.25">
      <c r="E152">
        <v>1510</v>
      </c>
      <c r="F152" t="e">
        <f t="shared" si="2"/>
        <v>#NUM!</v>
      </c>
    </row>
    <row r="153" spans="5:6" x14ac:dyDescent="0.25">
      <c r="E153">
        <v>1520</v>
      </c>
      <c r="F153" t="e">
        <f t="shared" si="2"/>
        <v>#NUM!</v>
      </c>
    </row>
    <row r="154" spans="5:6" x14ac:dyDescent="0.25">
      <c r="E154">
        <v>1530</v>
      </c>
      <c r="F154" t="e">
        <f t="shared" si="2"/>
        <v>#NUM!</v>
      </c>
    </row>
    <row r="155" spans="5:6" x14ac:dyDescent="0.25">
      <c r="E155">
        <v>1540</v>
      </c>
      <c r="F155" t="e">
        <f t="shared" si="2"/>
        <v>#NUM!</v>
      </c>
    </row>
    <row r="156" spans="5:6" x14ac:dyDescent="0.25">
      <c r="E156">
        <v>1550</v>
      </c>
      <c r="F156" t="e">
        <f t="shared" si="2"/>
        <v>#NUM!</v>
      </c>
    </row>
    <row r="157" spans="5:6" x14ac:dyDescent="0.25">
      <c r="E157">
        <v>1560</v>
      </c>
      <c r="F157" t="e">
        <f t="shared" si="2"/>
        <v>#NUM!</v>
      </c>
    </row>
    <row r="158" spans="5:6" x14ac:dyDescent="0.25">
      <c r="E158">
        <v>1570</v>
      </c>
      <c r="F158" t="e">
        <f t="shared" si="2"/>
        <v>#NUM!</v>
      </c>
    </row>
    <row r="159" spans="5:6" x14ac:dyDescent="0.25">
      <c r="E159">
        <v>1580</v>
      </c>
      <c r="F159" t="e">
        <f t="shared" si="2"/>
        <v>#NUM!</v>
      </c>
    </row>
    <row r="160" spans="5:6" x14ac:dyDescent="0.25">
      <c r="E160">
        <v>1590</v>
      </c>
      <c r="F160" t="e">
        <f t="shared" si="2"/>
        <v>#NUM!</v>
      </c>
    </row>
    <row r="161" spans="5:6" x14ac:dyDescent="0.25">
      <c r="E161">
        <v>1600</v>
      </c>
      <c r="F161" t="e">
        <f t="shared" si="2"/>
        <v>#NUM!</v>
      </c>
    </row>
    <row r="162" spans="5:6" x14ac:dyDescent="0.25">
      <c r="E162">
        <v>1610</v>
      </c>
      <c r="F162" t="e">
        <f t="shared" si="2"/>
        <v>#NUM!</v>
      </c>
    </row>
    <row r="163" spans="5:6" x14ac:dyDescent="0.25">
      <c r="E163">
        <v>1620</v>
      </c>
      <c r="F163" t="e">
        <f t="shared" si="2"/>
        <v>#NUM!</v>
      </c>
    </row>
    <row r="164" spans="5:6" x14ac:dyDescent="0.25">
      <c r="E164">
        <v>1630</v>
      </c>
      <c r="F164" t="e">
        <f t="shared" si="2"/>
        <v>#NUM!</v>
      </c>
    </row>
    <row r="165" spans="5:6" x14ac:dyDescent="0.25">
      <c r="E165">
        <v>1640</v>
      </c>
      <c r="F165" t="e">
        <f t="shared" si="2"/>
        <v>#NUM!</v>
      </c>
    </row>
    <row r="166" spans="5:6" x14ac:dyDescent="0.25">
      <c r="E166">
        <v>1650</v>
      </c>
      <c r="F166" t="e">
        <f t="shared" si="2"/>
        <v>#NUM!</v>
      </c>
    </row>
    <row r="167" spans="5:6" x14ac:dyDescent="0.25">
      <c r="E167">
        <v>1660</v>
      </c>
      <c r="F167" t="e">
        <f t="shared" si="2"/>
        <v>#NUM!</v>
      </c>
    </row>
    <row r="168" spans="5:6" x14ac:dyDescent="0.25">
      <c r="E168">
        <v>1670</v>
      </c>
      <c r="F168" t="e">
        <f t="shared" si="2"/>
        <v>#NUM!</v>
      </c>
    </row>
    <row r="169" spans="5:6" x14ac:dyDescent="0.25">
      <c r="E169">
        <v>1680</v>
      </c>
      <c r="F169" t="e">
        <f t="shared" si="2"/>
        <v>#NUM!</v>
      </c>
    </row>
    <row r="170" spans="5:6" x14ac:dyDescent="0.25">
      <c r="E170">
        <v>1690</v>
      </c>
      <c r="F170" t="e">
        <f t="shared" si="2"/>
        <v>#NUM!</v>
      </c>
    </row>
    <row r="171" spans="5:6" x14ac:dyDescent="0.25">
      <c r="E171">
        <v>1700</v>
      </c>
      <c r="F171" t="e">
        <f t="shared" si="2"/>
        <v>#NUM!</v>
      </c>
    </row>
    <row r="172" spans="5:6" x14ac:dyDescent="0.25">
      <c r="E172">
        <v>1710</v>
      </c>
      <c r="F172" t="e">
        <f t="shared" si="2"/>
        <v>#NUM!</v>
      </c>
    </row>
    <row r="173" spans="5:6" x14ac:dyDescent="0.25">
      <c r="E173">
        <v>1720</v>
      </c>
      <c r="F173" t="e">
        <f t="shared" si="2"/>
        <v>#NUM!</v>
      </c>
    </row>
    <row r="174" spans="5:6" x14ac:dyDescent="0.25">
      <c r="E174">
        <v>1730</v>
      </c>
      <c r="F174" t="e">
        <f t="shared" si="2"/>
        <v>#NUM!</v>
      </c>
    </row>
    <row r="175" spans="5:6" x14ac:dyDescent="0.25">
      <c r="E175">
        <v>1740</v>
      </c>
      <c r="F175" t="e">
        <f t="shared" si="2"/>
        <v>#NUM!</v>
      </c>
    </row>
    <row r="176" spans="5:6" x14ac:dyDescent="0.25">
      <c r="E176">
        <v>1750</v>
      </c>
      <c r="F176" t="e">
        <f t="shared" si="2"/>
        <v>#NUM!</v>
      </c>
    </row>
    <row r="177" spans="5:6" x14ac:dyDescent="0.25">
      <c r="E177">
        <v>1760</v>
      </c>
      <c r="F177" t="e">
        <f t="shared" si="2"/>
        <v>#NUM!</v>
      </c>
    </row>
    <row r="178" spans="5:6" x14ac:dyDescent="0.25">
      <c r="E178">
        <v>1770</v>
      </c>
      <c r="F178" t="e">
        <f t="shared" si="2"/>
        <v>#NUM!</v>
      </c>
    </row>
    <row r="179" spans="5:6" x14ac:dyDescent="0.25">
      <c r="E179">
        <v>1780</v>
      </c>
      <c r="F179" t="e">
        <f t="shared" si="2"/>
        <v>#NUM!</v>
      </c>
    </row>
    <row r="180" spans="5:6" x14ac:dyDescent="0.25">
      <c r="E180">
        <v>1790</v>
      </c>
      <c r="F180" t="e">
        <f t="shared" si="2"/>
        <v>#NUM!</v>
      </c>
    </row>
    <row r="181" spans="5:6" x14ac:dyDescent="0.25">
      <c r="E181">
        <v>1800</v>
      </c>
      <c r="F181" t="e">
        <f t="shared" si="2"/>
        <v>#NUM!</v>
      </c>
    </row>
    <row r="182" spans="5:6" x14ac:dyDescent="0.25">
      <c r="E182">
        <v>1810</v>
      </c>
      <c r="F182" t="e">
        <f t="shared" si="2"/>
        <v>#NUM!</v>
      </c>
    </row>
    <row r="183" spans="5:6" x14ac:dyDescent="0.25">
      <c r="E183">
        <v>1820</v>
      </c>
      <c r="F183" t="e">
        <f t="shared" si="2"/>
        <v>#NUM!</v>
      </c>
    </row>
    <row r="184" spans="5:6" x14ac:dyDescent="0.25">
      <c r="E184">
        <v>1830</v>
      </c>
      <c r="F184" t="e">
        <f t="shared" si="2"/>
        <v>#NUM!</v>
      </c>
    </row>
    <row r="185" spans="5:6" x14ac:dyDescent="0.25">
      <c r="E185">
        <v>1840</v>
      </c>
      <c r="F185" t="e">
        <f t="shared" si="2"/>
        <v>#NUM!</v>
      </c>
    </row>
    <row r="186" spans="5:6" x14ac:dyDescent="0.25">
      <c r="E186">
        <v>1850</v>
      </c>
      <c r="F186" t="e">
        <f t="shared" si="2"/>
        <v>#NUM!</v>
      </c>
    </row>
    <row r="187" spans="5:6" x14ac:dyDescent="0.25">
      <c r="E187">
        <v>1860</v>
      </c>
      <c r="F187" t="e">
        <f t="shared" si="2"/>
        <v>#NUM!</v>
      </c>
    </row>
    <row r="188" spans="5:6" x14ac:dyDescent="0.25">
      <c r="E188">
        <v>1870</v>
      </c>
      <c r="F188" t="e">
        <f t="shared" si="2"/>
        <v>#NUM!</v>
      </c>
    </row>
    <row r="189" spans="5:6" x14ac:dyDescent="0.25">
      <c r="E189">
        <v>1880</v>
      </c>
      <c r="F189" t="e">
        <f t="shared" si="2"/>
        <v>#NUM!</v>
      </c>
    </row>
    <row r="190" spans="5:6" x14ac:dyDescent="0.25">
      <c r="E190">
        <v>1890</v>
      </c>
      <c r="F190" t="e">
        <f t="shared" si="2"/>
        <v>#NUM!</v>
      </c>
    </row>
    <row r="191" spans="5:6" x14ac:dyDescent="0.25">
      <c r="E191">
        <v>1900</v>
      </c>
      <c r="F191" t="e">
        <f t="shared" si="2"/>
        <v>#NUM!</v>
      </c>
    </row>
    <row r="192" spans="5:6" x14ac:dyDescent="0.25">
      <c r="E192">
        <v>1910</v>
      </c>
      <c r="F192" t="e">
        <f t="shared" si="2"/>
        <v>#NUM!</v>
      </c>
    </row>
    <row r="193" spans="5:6" x14ac:dyDescent="0.25">
      <c r="E193">
        <v>1920</v>
      </c>
      <c r="F193" t="e">
        <f t="shared" si="2"/>
        <v>#NUM!</v>
      </c>
    </row>
    <row r="194" spans="5:6" x14ac:dyDescent="0.25">
      <c r="E194">
        <v>1930</v>
      </c>
      <c r="F194" t="e">
        <f t="shared" ref="F194:F195" si="3">LN(B194)</f>
        <v>#NUM!</v>
      </c>
    </row>
    <row r="195" spans="5:6" x14ac:dyDescent="0.25">
      <c r="E195">
        <v>1940</v>
      </c>
      <c r="F195" t="e">
        <f t="shared" si="3"/>
        <v>#NUM!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26"/>
  <sheetViews>
    <sheetView tabSelected="1" zoomScaleNormal="100" workbookViewId="0">
      <selection sqref="A1:D1048576"/>
    </sheetView>
  </sheetViews>
  <sheetFormatPr baseColWidth="10" defaultRowHeight="15" x14ac:dyDescent="0.25"/>
  <cols>
    <col min="4" max="4" width="23" bestFit="1" customWidth="1"/>
    <col min="11" max="11" width="13.28515625" bestFit="1" customWidth="1"/>
    <col min="12" max="12" width="12.7109375" bestFit="1" customWidth="1"/>
    <col min="13" max="13" width="11.5703125" bestFit="1" customWidth="1"/>
    <col min="14" max="14" width="16.7109375" bestFit="1" customWidth="1"/>
  </cols>
  <sheetData>
    <row r="1" spans="5:11" x14ac:dyDescent="0.25">
      <c r="E1">
        <v>0</v>
      </c>
      <c r="F1" t="e">
        <f t="shared" ref="F1:F26" si="0">LN(B1)</f>
        <v>#NUM!</v>
      </c>
      <c r="I1" s="1" t="s">
        <v>0</v>
      </c>
      <c r="J1" s="1"/>
    </row>
    <row r="2" spans="5:11" x14ac:dyDescent="0.25">
      <c r="E2">
        <v>10</v>
      </c>
      <c r="F2" t="e">
        <f t="shared" si="0"/>
        <v>#NUM!</v>
      </c>
      <c r="H2" t="s">
        <v>1</v>
      </c>
      <c r="I2">
        <f>1/(0.0007)</f>
        <v>1428.5714285714287</v>
      </c>
      <c r="J2" s="3" t="s">
        <v>2</v>
      </c>
    </row>
    <row r="3" spans="5:11" x14ac:dyDescent="0.25">
      <c r="E3">
        <v>20</v>
      </c>
      <c r="F3" t="e">
        <f t="shared" si="0"/>
        <v>#NUM!</v>
      </c>
      <c r="I3">
        <f>I2/60</f>
        <v>23.80952380952381</v>
      </c>
      <c r="J3" s="3" t="s">
        <v>3</v>
      </c>
      <c r="K3" s="3"/>
    </row>
    <row r="4" spans="5:11" x14ac:dyDescent="0.25">
      <c r="E4">
        <v>30</v>
      </c>
      <c r="F4" t="e">
        <f t="shared" si="0"/>
        <v>#NUM!</v>
      </c>
      <c r="I4">
        <f>I3/60</f>
        <v>0.39682539682539686</v>
      </c>
      <c r="J4" s="3" t="s">
        <v>4</v>
      </c>
      <c r="K4" s="3"/>
    </row>
    <row r="5" spans="5:11" x14ac:dyDescent="0.25">
      <c r="E5">
        <v>40</v>
      </c>
      <c r="F5" t="e">
        <f t="shared" si="0"/>
        <v>#NUM!</v>
      </c>
    </row>
    <row r="6" spans="5:11" x14ac:dyDescent="0.25">
      <c r="E6">
        <v>50</v>
      </c>
      <c r="F6" t="e">
        <f t="shared" si="0"/>
        <v>#NUM!</v>
      </c>
    </row>
    <row r="7" spans="5:11" x14ac:dyDescent="0.25">
      <c r="E7">
        <v>60</v>
      </c>
      <c r="F7" t="e">
        <f t="shared" si="0"/>
        <v>#NUM!</v>
      </c>
    </row>
    <row r="8" spans="5:11" x14ac:dyDescent="0.25">
      <c r="E8">
        <v>70</v>
      </c>
      <c r="F8" t="e">
        <f t="shared" si="0"/>
        <v>#NUM!</v>
      </c>
    </row>
    <row r="9" spans="5:11" x14ac:dyDescent="0.25">
      <c r="E9">
        <v>80</v>
      </c>
      <c r="F9" t="e">
        <f t="shared" si="0"/>
        <v>#NUM!</v>
      </c>
    </row>
    <row r="10" spans="5:11" x14ac:dyDescent="0.25">
      <c r="E10">
        <v>90</v>
      </c>
      <c r="F10" t="e">
        <f t="shared" si="0"/>
        <v>#NUM!</v>
      </c>
    </row>
    <row r="11" spans="5:11" x14ac:dyDescent="0.25">
      <c r="E11">
        <v>100</v>
      </c>
      <c r="F11" t="e">
        <f t="shared" si="0"/>
        <v>#NUM!</v>
      </c>
    </row>
    <row r="12" spans="5:11" x14ac:dyDescent="0.25">
      <c r="E12">
        <v>110</v>
      </c>
      <c r="F12" t="e">
        <f t="shared" si="0"/>
        <v>#NUM!</v>
      </c>
    </row>
    <row r="13" spans="5:11" x14ac:dyDescent="0.25">
      <c r="E13">
        <v>120</v>
      </c>
      <c r="F13" t="e">
        <f t="shared" si="0"/>
        <v>#NUM!</v>
      </c>
    </row>
    <row r="14" spans="5:11" x14ac:dyDescent="0.25">
      <c r="E14">
        <v>130</v>
      </c>
      <c r="F14" t="e">
        <f t="shared" si="0"/>
        <v>#NUM!</v>
      </c>
    </row>
    <row r="15" spans="5:11" x14ac:dyDescent="0.25">
      <c r="E15">
        <v>140</v>
      </c>
      <c r="F15" t="e">
        <f t="shared" si="0"/>
        <v>#NUM!</v>
      </c>
    </row>
    <row r="16" spans="5:11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L27"/>
  <sheetViews>
    <sheetView zoomScaleNormal="100" workbookViewId="0">
      <selection sqref="A1:D1048576"/>
    </sheetView>
  </sheetViews>
  <sheetFormatPr baseColWidth="10" defaultRowHeight="15" x14ac:dyDescent="0.25"/>
  <cols>
    <col min="4" max="4" width="23" bestFit="1" customWidth="1"/>
    <col min="9" max="9" width="9.5703125" bestFit="1" customWidth="1"/>
    <col min="10" max="10" width="9.140625" customWidth="1"/>
    <col min="11" max="11" width="11.5703125" bestFit="1" customWidth="1"/>
    <col min="12" max="12" width="11.7109375" bestFit="1" customWidth="1"/>
  </cols>
  <sheetData>
    <row r="1" spans="5:12" x14ac:dyDescent="0.25">
      <c r="E1">
        <v>0</v>
      </c>
      <c r="F1" t="e">
        <f>LN(B1)</f>
        <v>#NUM!</v>
      </c>
      <c r="I1" s="1" t="s">
        <v>0</v>
      </c>
      <c r="J1" s="1"/>
      <c r="L1" s="2"/>
    </row>
    <row r="2" spans="5:12" x14ac:dyDescent="0.25">
      <c r="E2">
        <v>10</v>
      </c>
      <c r="F2" t="e">
        <f t="shared" ref="F2:F27" si="0">LN(B2)</f>
        <v>#NUM!</v>
      </c>
      <c r="H2" t="s">
        <v>1</v>
      </c>
      <c r="I2">
        <f>1/(0.0007)</f>
        <v>1428.5714285714287</v>
      </c>
      <c r="J2" s="3" t="s">
        <v>2</v>
      </c>
      <c r="L2" s="2"/>
    </row>
    <row r="3" spans="5:12" x14ac:dyDescent="0.25">
      <c r="E3">
        <v>20</v>
      </c>
      <c r="F3" t="e">
        <f t="shared" si="0"/>
        <v>#NUM!</v>
      </c>
      <c r="I3">
        <f>I2/60</f>
        <v>23.80952380952381</v>
      </c>
      <c r="J3" s="3" t="s">
        <v>3</v>
      </c>
    </row>
    <row r="4" spans="5:12" x14ac:dyDescent="0.25">
      <c r="E4">
        <v>30</v>
      </c>
      <c r="F4" t="e">
        <f t="shared" si="0"/>
        <v>#NUM!</v>
      </c>
      <c r="I4">
        <f>I3/60</f>
        <v>0.39682539682539686</v>
      </c>
      <c r="J4" s="3" t="s">
        <v>4</v>
      </c>
    </row>
    <row r="5" spans="5:12" x14ac:dyDescent="0.25">
      <c r="E5">
        <v>40</v>
      </c>
      <c r="F5" t="e">
        <f t="shared" si="0"/>
        <v>#NUM!</v>
      </c>
    </row>
    <row r="6" spans="5:12" x14ac:dyDescent="0.25">
      <c r="E6">
        <v>50</v>
      </c>
      <c r="F6" t="e">
        <f t="shared" si="0"/>
        <v>#NUM!</v>
      </c>
    </row>
    <row r="7" spans="5:12" x14ac:dyDescent="0.25">
      <c r="E7">
        <v>60</v>
      </c>
      <c r="F7" t="e">
        <f t="shared" si="0"/>
        <v>#NUM!</v>
      </c>
    </row>
    <row r="8" spans="5:12" x14ac:dyDescent="0.25">
      <c r="E8">
        <v>70</v>
      </c>
      <c r="F8" t="e">
        <f t="shared" si="0"/>
        <v>#NUM!</v>
      </c>
    </row>
    <row r="9" spans="5:12" x14ac:dyDescent="0.25">
      <c r="E9">
        <v>80</v>
      </c>
      <c r="F9" t="e">
        <f t="shared" si="0"/>
        <v>#NUM!</v>
      </c>
    </row>
    <row r="10" spans="5:12" x14ac:dyDescent="0.25">
      <c r="E10">
        <v>90</v>
      </c>
      <c r="F10" t="e">
        <f t="shared" si="0"/>
        <v>#NUM!</v>
      </c>
    </row>
    <row r="11" spans="5:12" x14ac:dyDescent="0.25">
      <c r="E11">
        <v>100</v>
      </c>
      <c r="F11" t="e">
        <f t="shared" si="0"/>
        <v>#NUM!</v>
      </c>
    </row>
    <row r="12" spans="5:12" x14ac:dyDescent="0.25">
      <c r="E12">
        <v>110</v>
      </c>
      <c r="F12" t="e">
        <f t="shared" si="0"/>
        <v>#NUM!</v>
      </c>
    </row>
    <row r="13" spans="5:12" x14ac:dyDescent="0.25">
      <c r="E13">
        <v>120</v>
      </c>
      <c r="F13" t="e">
        <f t="shared" si="0"/>
        <v>#NUM!</v>
      </c>
    </row>
    <row r="14" spans="5:12" x14ac:dyDescent="0.25">
      <c r="E14">
        <v>130</v>
      </c>
      <c r="F14" t="e">
        <f t="shared" si="0"/>
        <v>#NUM!</v>
      </c>
    </row>
    <row r="15" spans="5:12" x14ac:dyDescent="0.25">
      <c r="E15">
        <v>140</v>
      </c>
      <c r="F15" t="e">
        <f t="shared" si="0"/>
        <v>#NUM!</v>
      </c>
    </row>
    <row r="16" spans="5:12" x14ac:dyDescent="0.25">
      <c r="E16">
        <v>150</v>
      </c>
      <c r="F16" t="e">
        <f t="shared" si="0"/>
        <v>#NUM!</v>
      </c>
    </row>
    <row r="17" spans="5:6" x14ac:dyDescent="0.25">
      <c r="E17">
        <v>160</v>
      </c>
      <c r="F17" t="e">
        <f t="shared" si="0"/>
        <v>#NUM!</v>
      </c>
    </row>
    <row r="18" spans="5:6" x14ac:dyDescent="0.25">
      <c r="E18">
        <v>170</v>
      </c>
      <c r="F18" t="e">
        <f t="shared" si="0"/>
        <v>#NUM!</v>
      </c>
    </row>
    <row r="19" spans="5:6" x14ac:dyDescent="0.25">
      <c r="E19">
        <v>180</v>
      </c>
      <c r="F19" t="e">
        <f t="shared" si="0"/>
        <v>#NUM!</v>
      </c>
    </row>
    <row r="20" spans="5:6" x14ac:dyDescent="0.25">
      <c r="E20">
        <v>190</v>
      </c>
      <c r="F20" t="e">
        <f t="shared" si="0"/>
        <v>#NUM!</v>
      </c>
    </row>
    <row r="21" spans="5:6" x14ac:dyDescent="0.25">
      <c r="E21">
        <v>200</v>
      </c>
      <c r="F21" t="e">
        <f t="shared" si="0"/>
        <v>#NUM!</v>
      </c>
    </row>
    <row r="22" spans="5:6" x14ac:dyDescent="0.25">
      <c r="E22">
        <v>210</v>
      </c>
      <c r="F22" t="e">
        <f t="shared" si="0"/>
        <v>#NUM!</v>
      </c>
    </row>
    <row r="23" spans="5:6" x14ac:dyDescent="0.25">
      <c r="E23">
        <v>220</v>
      </c>
      <c r="F23" t="e">
        <f t="shared" si="0"/>
        <v>#NUM!</v>
      </c>
    </row>
    <row r="24" spans="5:6" x14ac:dyDescent="0.25">
      <c r="E24">
        <v>230</v>
      </c>
      <c r="F24" t="e">
        <f t="shared" si="0"/>
        <v>#NUM!</v>
      </c>
    </row>
    <row r="25" spans="5:6" x14ac:dyDescent="0.25">
      <c r="E25">
        <v>240</v>
      </c>
      <c r="F25" t="e">
        <f t="shared" si="0"/>
        <v>#NUM!</v>
      </c>
    </row>
    <row r="26" spans="5:6" x14ac:dyDescent="0.25">
      <c r="E26">
        <v>250</v>
      </c>
      <c r="F26" t="e">
        <f t="shared" si="0"/>
        <v>#NUM!</v>
      </c>
    </row>
    <row r="27" spans="5:6" x14ac:dyDescent="0.25">
      <c r="E27">
        <v>260</v>
      </c>
      <c r="F27" t="e">
        <f t="shared" si="0"/>
        <v>#NUM!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Cu_1stPhase</vt:lpstr>
      <vt:lpstr>PANI_1stPhase</vt:lpstr>
      <vt:lpstr>Cu_2ndPhase</vt:lpstr>
      <vt:lpstr>PANI_2ndPhase</vt:lpstr>
      <vt:lpstr>Cu_3rdPhase</vt:lpstr>
      <vt:lpstr>PANI_3rdPhase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2021-11-26T08:02:26Z</dcterms:created>
  <dcterms:modified xsi:type="dcterms:W3CDTF">2021-11-26T10:29:32Z</dcterms:modified>
</cp:coreProperties>
</file>