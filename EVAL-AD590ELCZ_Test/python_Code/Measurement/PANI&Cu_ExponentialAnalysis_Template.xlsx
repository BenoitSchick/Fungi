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a.enrile\switchdrive\Work_Projects\EVAL-AD590ELCZ_Test\python_Code\Measurement\"/>
    </mc:Choice>
  </mc:AlternateContent>
  <bookViews>
    <workbookView xWindow="0" yWindow="0" windowWidth="25200" windowHeight="11250"/>
  </bookViews>
  <sheets>
    <sheet name="Cu_1stPhase" sheetId="6" r:id="rId1"/>
    <sheet name="PANI_1stPhase" sheetId="7" r:id="rId2"/>
    <sheet name="Cu_2ndPhase" sheetId="1" r:id="rId3"/>
    <sheet name="PANI_2ndPhase" sheetId="2" r:id="rId4"/>
    <sheet name="Cu_3rdPhase" sheetId="4" r:id="rId5"/>
    <sheet name="PANI_3rdPhase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5" l="1"/>
  <c r="I2" i="4"/>
  <c r="J2" i="2"/>
  <c r="J2" i="7"/>
  <c r="J2" i="6"/>
  <c r="J2" i="1"/>
  <c r="I2" i="1"/>
  <c r="I2" i="2"/>
  <c r="I2" i="7"/>
  <c r="F125" i="7"/>
  <c r="F126" i="7"/>
  <c r="F127" i="7"/>
  <c r="F128" i="7"/>
  <c r="F129" i="7"/>
  <c r="F130" i="7"/>
  <c r="F131" i="7"/>
  <c r="F132" i="7"/>
  <c r="F133" i="7"/>
  <c r="F134" i="7"/>
  <c r="I2" i="6"/>
  <c r="I3" i="5" l="1"/>
  <c r="I4" i="5" s="1"/>
  <c r="I3" i="4"/>
  <c r="I4" i="4" s="1"/>
  <c r="J3" i="2"/>
  <c r="J4" i="2" s="1"/>
  <c r="I3" i="2"/>
  <c r="I4" i="2" s="1"/>
  <c r="J3" i="1"/>
  <c r="J4" i="1" s="1"/>
  <c r="I3" i="1"/>
  <c r="I4" i="1" s="1"/>
  <c r="J3" i="7"/>
  <c r="J4" i="7" s="1"/>
  <c r="I3" i="7"/>
  <c r="I4" i="7" s="1"/>
  <c r="J3" i="6"/>
  <c r="J4" i="6" s="1"/>
  <c r="I3" i="6"/>
  <c r="I4" i="6" s="1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F1" i="7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1" i="6"/>
  <c r="F1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1" i="4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1" i="2"/>
  <c r="F192" i="1" l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1" i="1"/>
  <c r="F193" i="1"/>
</calcChain>
</file>

<file path=xl/sharedStrings.xml><?xml version="1.0" encoding="utf-8"?>
<sst xmlns="http://schemas.openxmlformats.org/spreadsheetml/2006/main" count="33" uniqueCount="6">
  <si>
    <t>All values</t>
  </si>
  <si>
    <t>Tau:</t>
  </si>
  <si>
    <t>s</t>
  </si>
  <si>
    <t>min</t>
  </si>
  <si>
    <t>h</t>
  </si>
  <si>
    <t>0-1000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</si>
</sst>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9372265966754152E-2"/>
                  <c:y val="-0.421115485564304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Cu_1stPhase!$E$1:$E$193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</c:numCache>
            </c:numRef>
          </c:xVal>
          <c:yVal>
            <c:numRef>
              <c:f>Cu_1stPhase!$F$1:$F$193</c:f>
              <c:numCache>
                <c:formatCode>General</c:formatCode>
                <c:ptCount val="1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FA-4A37-82E0-B1E8F2032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3.6471128608923882E-2"/>
                  <c:y val="-0.429359871682706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Cu_1stPhase!$E$1:$E$196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</c:numCache>
            </c:numRef>
          </c:xVal>
          <c:yVal>
            <c:numRef>
              <c:f>Cu_1stPhase!$B$1:$B$196</c:f>
              <c:numCache>
                <c:formatCode>General</c:formatCode>
                <c:ptCount val="19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2-41C8-9A4A-DC98FCF67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4779009716389706E-2"/>
                  <c:y val="-0.435705016039661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Cu_1stPhase!$E$1:$E$101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Cu_1stPhase!$F$1:$F$101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C7-47C5-B903-3905A01F0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43312811350035385"/>
                  <c:y val="-5.69900116652085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Cu_1stPhase!$E$1:$E$101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Cu_1stPhase!$B$1:$B$101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B1-45A4-A3A3-9A0A646A4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PANI_1stPhase!$E$1:$E$193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</c:numCache>
            </c:numRef>
          </c:xVal>
          <c:yVal>
            <c:numRef>
              <c:f>PANI_1stPhase!$F$1:$F$193</c:f>
              <c:numCache>
                <c:formatCode>General</c:formatCode>
                <c:ptCount val="1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2B-4E42-B691-A4D19E401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fr-CH" baseline="0"/>
                      <a:t>y = </a:t>
                    </a:r>
                    <a:r>
                      <a:rPr lang="fr-CH" sz="1200" baseline="0"/>
                      <a:t>1895.7e</a:t>
                    </a:r>
                    <a:r>
                      <a:rPr lang="fr-CH" sz="1200" baseline="30000"/>
                      <a:t>-2E-06x</a:t>
                    </a:r>
                    <a:r>
                      <a:rPr lang="fr-CH" baseline="0"/>
                      <a:t/>
                    </a:r>
                    <a:br>
                      <a:rPr lang="fr-CH" baseline="0"/>
                    </a:br>
                    <a:r>
                      <a:rPr lang="fr-CH" baseline="0"/>
                      <a:t>R² = 0.0188</a:t>
                    </a:r>
                    <a:endParaRPr lang="fr-CH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PANI_1stPhase!$E$1:$E$196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</c:numCache>
            </c:numRef>
          </c:xVal>
          <c:yVal>
            <c:numRef>
              <c:f>PANI_1stPhase!$B$1:$B$196</c:f>
              <c:numCache>
                <c:formatCode>General</c:formatCode>
                <c:ptCount val="19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3-4A32-8B70-C7CB46810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PANI_1stPhase!$E$1:$E$101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PANI_1stPhase!$F$1:$F$101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70-4DE7-91E2-0C1F5752D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PANI_1stPhase!$E$1:$E$101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PANI_1stPhase!$B$1:$B$101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4F-4E33-B118-987A05911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Cu_2ndPhase!$E$1:$E$193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Cu_2ndPhase!$F$1:$F$193</c:f>
              <c:numCache>
                <c:formatCode>General</c:formatCode>
                <c:ptCount val="1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DB-4AB6-9F7C-2ECDCBAE7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Cu_2ndPhase!$E$1:$E$196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Cu_2ndPhase!$B$1:$B$196</c:f>
              <c:numCache>
                <c:formatCode>General</c:formatCode>
                <c:ptCount val="19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6F-4FE6-8F8A-77050FD66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Cu_2ndPhase!$E$1:$E$101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Cu_2ndPhase!$F$1:$F$101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E-41AB-8162-A86C83DAC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41752448764414579"/>
                  <c:y val="3.34558180227471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Cu_2ndPhase!$E$1:$E$101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Cu_2ndPhase!$B$1:$B$101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8C-4D61-91AF-1ACE743F6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PANI_2ndPhase!$E$1:$E$193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PANI_2ndPhase!$F$1:$F$193</c:f>
              <c:numCache>
                <c:formatCode>General</c:formatCode>
                <c:ptCount val="1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2A-42E6-9736-7B03FDD4A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PANI_2ndPhase!$E$1:$E$196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</c:numCache>
            </c:numRef>
          </c:xVal>
          <c:yVal>
            <c:numRef>
              <c:f>PANI_2ndPhase!$B$1:$B$196</c:f>
              <c:numCache>
                <c:formatCode>General</c:formatCode>
                <c:ptCount val="19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5D-472B-A250-D903516F9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PANI_2ndPhase!$E$1:$E$101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PANI_2ndPhase!$F$1:$F$101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64-4D9A-8DA3-420345F65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PANI_2ndPhase!$E$1:$E$101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PANI_2ndPhase!$B$1:$B$101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E6-425D-8355-A2827EF22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Cu_3rdPhase!$E$1:$E$193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</c:numCache>
            </c:numRef>
          </c:xVal>
          <c:yVal>
            <c:numRef>
              <c:f>Cu_3rdPhase!$F$1:$F$193</c:f>
              <c:numCache>
                <c:formatCode>General</c:formatCode>
                <c:ptCount val="1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BD-4736-A04E-63CC2B9A0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4797944006999125"/>
                  <c:y val="-0.304640930300379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Cu_3rdPhase!$E$1:$E$196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</c:numCache>
            </c:numRef>
          </c:xVal>
          <c:yVal>
            <c:numRef>
              <c:f>Cu_3rdPhase!$B$1:$B$196</c:f>
              <c:numCache>
                <c:formatCode>General</c:formatCode>
                <c:ptCount val="19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81-49DC-A8BC-776375EB5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PANI_3rdPhase!$E$1:$E$193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</c:numCache>
            </c:numRef>
          </c:xVal>
          <c:yVal>
            <c:numRef>
              <c:f>PANI_3rdPhase!$F$1:$F$193</c:f>
              <c:numCache>
                <c:formatCode>General</c:formatCode>
                <c:ptCount val="1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FF-4221-8542-0A7C28920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PANI_3rdPhase!$E$1:$E$196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</c:numCache>
            </c:numRef>
          </c:xVal>
          <c:yVal>
            <c:numRef>
              <c:f>PANI_3rdPhase!$B$1:$B$196</c:f>
              <c:numCache>
                <c:formatCode>General</c:formatCode>
                <c:ptCount val="19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64-4BA3-BACE-E2C0D49E8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12</xdr:col>
      <xdr:colOff>552450</xdr:colOff>
      <xdr:row>19</xdr:row>
      <xdr:rowOff>76200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77010</xdr:rowOff>
    </xdr:from>
    <xdr:to>
      <xdr:col>12</xdr:col>
      <xdr:colOff>561975</xdr:colOff>
      <xdr:row>33</xdr:row>
      <xdr:rowOff>152631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552450</xdr:colOff>
      <xdr:row>5</xdr:row>
      <xdr:rowOff>0</xdr:rowOff>
    </xdr:from>
    <xdr:to>
      <xdr:col>18</xdr:col>
      <xdr:colOff>198905</xdr:colOff>
      <xdr:row>19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552682</xdr:colOff>
      <xdr:row>19</xdr:row>
      <xdr:rowOff>76432</xdr:rowOff>
    </xdr:from>
    <xdr:to>
      <xdr:col>18</xdr:col>
      <xdr:colOff>199137</xdr:colOff>
      <xdr:row>33</xdr:row>
      <xdr:rowOff>152632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13</xdr:col>
      <xdr:colOff>249892</xdr:colOff>
      <xdr:row>19</xdr:row>
      <xdr:rowOff>76200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866</xdr:colOff>
      <xdr:row>19</xdr:row>
      <xdr:rowOff>77066</xdr:rowOff>
    </xdr:from>
    <xdr:to>
      <xdr:col>13</xdr:col>
      <xdr:colOff>250758</xdr:colOff>
      <xdr:row>33</xdr:row>
      <xdr:rowOff>153266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250069</xdr:colOff>
      <xdr:row>5</xdr:row>
      <xdr:rowOff>0</xdr:rowOff>
    </xdr:from>
    <xdr:to>
      <xdr:col>19</xdr:col>
      <xdr:colOff>253431</xdr:colOff>
      <xdr:row>19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249568</xdr:colOff>
      <xdr:row>19</xdr:row>
      <xdr:rowOff>75698</xdr:rowOff>
    </xdr:from>
    <xdr:to>
      <xdr:col>19</xdr:col>
      <xdr:colOff>252930</xdr:colOff>
      <xdr:row>33</xdr:row>
      <xdr:rowOff>151898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12</xdr:col>
      <xdr:colOff>552450</xdr:colOff>
      <xdr:row>19</xdr:row>
      <xdr:rowOff>76200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760639</xdr:colOff>
      <xdr:row>19</xdr:row>
      <xdr:rowOff>69396</xdr:rowOff>
    </xdr:from>
    <xdr:to>
      <xdr:col>12</xdr:col>
      <xdr:colOff>551089</xdr:colOff>
      <xdr:row>33</xdr:row>
      <xdr:rowOff>145596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549729</xdr:colOff>
      <xdr:row>4</xdr:row>
      <xdr:rowOff>185057</xdr:rowOff>
    </xdr:from>
    <xdr:to>
      <xdr:col>18</xdr:col>
      <xdr:colOff>194823</xdr:colOff>
      <xdr:row>19</xdr:row>
      <xdr:rowOff>70757</xdr:rowOff>
    </xdr:to>
    <xdr:graphicFrame macro="">
      <xdr:nvGraphicFramePr>
        <xdr:cNvPr id="8" name="Graphique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548368</xdr:colOff>
      <xdr:row>19</xdr:row>
      <xdr:rowOff>69396</xdr:rowOff>
    </xdr:from>
    <xdr:to>
      <xdr:col>18</xdr:col>
      <xdr:colOff>193462</xdr:colOff>
      <xdr:row>33</xdr:row>
      <xdr:rowOff>145596</xdr:rowOff>
    </xdr:to>
    <xdr:graphicFrame macro="">
      <xdr:nvGraphicFramePr>
        <xdr:cNvPr id="9" name="Graphique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13</xdr:col>
      <xdr:colOff>249892</xdr:colOff>
      <xdr:row>19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761499</xdr:colOff>
      <xdr:row>19</xdr:row>
      <xdr:rowOff>75698</xdr:rowOff>
    </xdr:from>
    <xdr:to>
      <xdr:col>13</xdr:col>
      <xdr:colOff>249391</xdr:colOff>
      <xdr:row>33</xdr:row>
      <xdr:rowOff>151898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250069</xdr:colOff>
      <xdr:row>5</xdr:row>
      <xdr:rowOff>0</xdr:rowOff>
    </xdr:from>
    <xdr:to>
      <xdr:col>19</xdr:col>
      <xdr:colOff>253431</xdr:colOff>
      <xdr:row>19</xdr:row>
      <xdr:rowOff>76200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249568</xdr:colOff>
      <xdr:row>19</xdr:row>
      <xdr:rowOff>75698</xdr:rowOff>
    </xdr:from>
    <xdr:to>
      <xdr:col>19</xdr:col>
      <xdr:colOff>252930</xdr:colOff>
      <xdr:row>33</xdr:row>
      <xdr:rowOff>151898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4329</xdr:colOff>
      <xdr:row>5</xdr:row>
      <xdr:rowOff>4330</xdr:rowOff>
    </xdr:from>
    <xdr:to>
      <xdr:col>12</xdr:col>
      <xdr:colOff>556779</xdr:colOff>
      <xdr:row>19</xdr:row>
      <xdr:rowOff>80530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757670</xdr:colOff>
      <xdr:row>19</xdr:row>
      <xdr:rowOff>71871</xdr:rowOff>
    </xdr:from>
    <xdr:to>
      <xdr:col>12</xdr:col>
      <xdr:colOff>548120</xdr:colOff>
      <xdr:row>33</xdr:row>
      <xdr:rowOff>148071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13</xdr:col>
      <xdr:colOff>249892</xdr:colOff>
      <xdr:row>19</xdr:row>
      <xdr:rowOff>76200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2956</xdr:colOff>
      <xdr:row>19</xdr:row>
      <xdr:rowOff>79156</xdr:rowOff>
    </xdr:from>
    <xdr:to>
      <xdr:col>13</xdr:col>
      <xdr:colOff>252848</xdr:colOff>
      <xdr:row>33</xdr:row>
      <xdr:rowOff>155356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K118"/>
  <sheetViews>
    <sheetView tabSelected="1" topLeftCell="A81" zoomScale="85" zoomScaleNormal="85" workbookViewId="0">
      <selection activeCell="K114" sqref="K114"/>
    </sheetView>
  </sheetViews>
  <sheetFormatPr baseColWidth="10" defaultRowHeight="15" x14ac:dyDescent="0.25"/>
  <cols>
    <col min="4" max="4" width="23" bestFit="1" customWidth="1"/>
    <col min="11" max="11" width="13.28515625" bestFit="1" customWidth="1"/>
    <col min="12" max="12" width="12.7109375" bestFit="1" customWidth="1"/>
    <col min="13" max="13" width="11.5703125" bestFit="1" customWidth="1"/>
    <col min="14" max="14" width="16.7109375" bestFit="1" customWidth="1"/>
  </cols>
  <sheetData>
    <row r="1" spans="5:11" x14ac:dyDescent="0.25">
      <c r="E1">
        <v>0</v>
      </c>
      <c r="F1" t="e">
        <f t="shared" ref="F1:F32" si="0">LN(B1)</f>
        <v>#NUM!</v>
      </c>
      <c r="I1" s="1" t="s">
        <v>0</v>
      </c>
      <c r="J1" s="1" t="s">
        <v>5</v>
      </c>
    </row>
    <row r="2" spans="5:11" x14ac:dyDescent="0.25">
      <c r="E2">
        <v>10</v>
      </c>
      <c r="F2" t="e">
        <f t="shared" si="0"/>
        <v>#NUM!</v>
      </c>
      <c r="H2" t="s">
        <v>1</v>
      </c>
      <c r="I2">
        <f>1/(0.00003)</f>
        <v>33333.333333333336</v>
      </c>
      <c r="J2">
        <f>1/(0.00004)</f>
        <v>24999.999999999996</v>
      </c>
      <c r="K2" s="3" t="s">
        <v>2</v>
      </c>
    </row>
    <row r="3" spans="5:11" x14ac:dyDescent="0.25">
      <c r="E3">
        <v>20</v>
      </c>
      <c r="F3" t="e">
        <f t="shared" si="0"/>
        <v>#NUM!</v>
      </c>
      <c r="I3">
        <f>I2/60</f>
        <v>555.55555555555554</v>
      </c>
      <c r="J3">
        <f>J2/60</f>
        <v>416.66666666666663</v>
      </c>
      <c r="K3" s="3" t="s">
        <v>3</v>
      </c>
    </row>
    <row r="4" spans="5:11" x14ac:dyDescent="0.25">
      <c r="E4">
        <v>30</v>
      </c>
      <c r="F4" t="e">
        <f t="shared" si="0"/>
        <v>#NUM!</v>
      </c>
      <c r="I4">
        <f>I3/60</f>
        <v>9.2592592592592595</v>
      </c>
      <c r="J4">
        <f>J3/60</f>
        <v>6.9444444444444438</v>
      </c>
      <c r="K4" s="3" t="s">
        <v>4</v>
      </c>
    </row>
    <row r="5" spans="5:11" x14ac:dyDescent="0.25">
      <c r="E5">
        <v>40</v>
      </c>
      <c r="F5" t="e">
        <f t="shared" si="0"/>
        <v>#NUM!</v>
      </c>
    </row>
    <row r="6" spans="5:11" x14ac:dyDescent="0.25">
      <c r="E6">
        <v>50</v>
      </c>
      <c r="F6" t="e">
        <f t="shared" si="0"/>
        <v>#NUM!</v>
      </c>
    </row>
    <row r="7" spans="5:11" x14ac:dyDescent="0.25">
      <c r="E7">
        <v>60</v>
      </c>
      <c r="F7" t="e">
        <f t="shared" si="0"/>
        <v>#NUM!</v>
      </c>
    </row>
    <row r="8" spans="5:11" x14ac:dyDescent="0.25">
      <c r="E8">
        <v>70</v>
      </c>
      <c r="F8" t="e">
        <f t="shared" si="0"/>
        <v>#NUM!</v>
      </c>
    </row>
    <row r="9" spans="5:11" x14ac:dyDescent="0.25">
      <c r="E9">
        <v>80</v>
      </c>
      <c r="F9" t="e">
        <f t="shared" si="0"/>
        <v>#NUM!</v>
      </c>
    </row>
    <row r="10" spans="5:11" x14ac:dyDescent="0.25">
      <c r="E10">
        <v>90</v>
      </c>
      <c r="F10" t="e">
        <f t="shared" si="0"/>
        <v>#NUM!</v>
      </c>
    </row>
    <row r="11" spans="5:11" x14ac:dyDescent="0.25">
      <c r="E11">
        <v>100</v>
      </c>
      <c r="F11" t="e">
        <f t="shared" si="0"/>
        <v>#NUM!</v>
      </c>
    </row>
    <row r="12" spans="5:11" x14ac:dyDescent="0.25">
      <c r="E12">
        <v>110</v>
      </c>
      <c r="F12" t="e">
        <f t="shared" si="0"/>
        <v>#NUM!</v>
      </c>
    </row>
    <row r="13" spans="5:11" x14ac:dyDescent="0.25">
      <c r="E13">
        <v>120</v>
      </c>
      <c r="F13" t="e">
        <f t="shared" si="0"/>
        <v>#NUM!</v>
      </c>
    </row>
    <row r="14" spans="5:11" x14ac:dyDescent="0.25">
      <c r="E14">
        <v>130</v>
      </c>
      <c r="F14" t="e">
        <f t="shared" si="0"/>
        <v>#NUM!</v>
      </c>
    </row>
    <row r="15" spans="5:11" x14ac:dyDescent="0.25">
      <c r="E15">
        <v>140</v>
      </c>
      <c r="F15" t="e">
        <f t="shared" si="0"/>
        <v>#NUM!</v>
      </c>
    </row>
    <row r="16" spans="5:11" x14ac:dyDescent="0.25">
      <c r="E16">
        <v>150</v>
      </c>
      <c r="F16" t="e">
        <f t="shared" si="0"/>
        <v>#NUM!</v>
      </c>
    </row>
    <row r="17" spans="5:6" x14ac:dyDescent="0.25">
      <c r="E17">
        <v>160</v>
      </c>
      <c r="F17" t="e">
        <f t="shared" si="0"/>
        <v>#NUM!</v>
      </c>
    </row>
    <row r="18" spans="5:6" x14ac:dyDescent="0.25">
      <c r="E18">
        <v>170</v>
      </c>
      <c r="F18" t="e">
        <f t="shared" si="0"/>
        <v>#NUM!</v>
      </c>
    </row>
    <row r="19" spans="5:6" x14ac:dyDescent="0.25">
      <c r="E19">
        <v>180</v>
      </c>
      <c r="F19" t="e">
        <f t="shared" si="0"/>
        <v>#NUM!</v>
      </c>
    </row>
    <row r="20" spans="5:6" x14ac:dyDescent="0.25">
      <c r="E20">
        <v>190</v>
      </c>
      <c r="F20" t="e">
        <f t="shared" si="0"/>
        <v>#NUM!</v>
      </c>
    </row>
    <row r="21" spans="5:6" x14ac:dyDescent="0.25">
      <c r="E21">
        <v>200</v>
      </c>
      <c r="F21" t="e">
        <f t="shared" si="0"/>
        <v>#NUM!</v>
      </c>
    </row>
    <row r="22" spans="5:6" x14ac:dyDescent="0.25">
      <c r="E22">
        <v>210</v>
      </c>
      <c r="F22" t="e">
        <f t="shared" si="0"/>
        <v>#NUM!</v>
      </c>
    </row>
    <row r="23" spans="5:6" x14ac:dyDescent="0.25">
      <c r="E23">
        <v>220</v>
      </c>
      <c r="F23" t="e">
        <f t="shared" si="0"/>
        <v>#NUM!</v>
      </c>
    </row>
    <row r="24" spans="5:6" x14ac:dyDescent="0.25">
      <c r="E24">
        <v>230</v>
      </c>
      <c r="F24" t="e">
        <f t="shared" si="0"/>
        <v>#NUM!</v>
      </c>
    </row>
    <row r="25" spans="5:6" x14ac:dyDescent="0.25">
      <c r="E25">
        <v>240</v>
      </c>
      <c r="F25" t="e">
        <f t="shared" si="0"/>
        <v>#NUM!</v>
      </c>
    </row>
    <row r="26" spans="5:6" x14ac:dyDescent="0.25">
      <c r="E26">
        <v>250</v>
      </c>
      <c r="F26" t="e">
        <f t="shared" si="0"/>
        <v>#NUM!</v>
      </c>
    </row>
    <row r="27" spans="5:6" x14ac:dyDescent="0.25">
      <c r="E27">
        <v>260</v>
      </c>
      <c r="F27" t="e">
        <f t="shared" si="0"/>
        <v>#NUM!</v>
      </c>
    </row>
    <row r="28" spans="5:6" x14ac:dyDescent="0.25">
      <c r="E28">
        <v>270</v>
      </c>
      <c r="F28" t="e">
        <f t="shared" si="0"/>
        <v>#NUM!</v>
      </c>
    </row>
    <row r="29" spans="5:6" x14ac:dyDescent="0.25">
      <c r="E29">
        <v>280</v>
      </c>
      <c r="F29" t="e">
        <f t="shared" si="0"/>
        <v>#NUM!</v>
      </c>
    </row>
    <row r="30" spans="5:6" x14ac:dyDescent="0.25">
      <c r="E30">
        <v>290</v>
      </c>
      <c r="F30" t="e">
        <f t="shared" si="0"/>
        <v>#NUM!</v>
      </c>
    </row>
    <row r="31" spans="5:6" x14ac:dyDescent="0.25">
      <c r="E31">
        <v>300</v>
      </c>
      <c r="F31" t="e">
        <f t="shared" si="0"/>
        <v>#NUM!</v>
      </c>
    </row>
    <row r="32" spans="5:6" x14ac:dyDescent="0.25">
      <c r="E32">
        <v>310</v>
      </c>
      <c r="F32" t="e">
        <f t="shared" si="0"/>
        <v>#NUM!</v>
      </c>
    </row>
    <row r="33" spans="5:6" x14ac:dyDescent="0.25">
      <c r="E33">
        <v>320</v>
      </c>
      <c r="F33" t="e">
        <f t="shared" ref="F33:F64" si="1">LN(B33)</f>
        <v>#NUM!</v>
      </c>
    </row>
    <row r="34" spans="5:6" x14ac:dyDescent="0.25">
      <c r="E34">
        <v>330</v>
      </c>
      <c r="F34" t="e">
        <f t="shared" si="1"/>
        <v>#NUM!</v>
      </c>
    </row>
    <row r="35" spans="5:6" x14ac:dyDescent="0.25">
      <c r="E35">
        <v>340</v>
      </c>
      <c r="F35" t="e">
        <f t="shared" si="1"/>
        <v>#NUM!</v>
      </c>
    </row>
    <row r="36" spans="5:6" x14ac:dyDescent="0.25">
      <c r="E36">
        <v>350</v>
      </c>
      <c r="F36" t="e">
        <f t="shared" si="1"/>
        <v>#NUM!</v>
      </c>
    </row>
    <row r="37" spans="5:6" x14ac:dyDescent="0.25">
      <c r="E37">
        <v>360</v>
      </c>
      <c r="F37" t="e">
        <f t="shared" si="1"/>
        <v>#NUM!</v>
      </c>
    </row>
    <row r="38" spans="5:6" x14ac:dyDescent="0.25">
      <c r="E38">
        <v>370</v>
      </c>
      <c r="F38" t="e">
        <f t="shared" si="1"/>
        <v>#NUM!</v>
      </c>
    </row>
    <row r="39" spans="5:6" x14ac:dyDescent="0.25">
      <c r="E39">
        <v>380</v>
      </c>
      <c r="F39" t="e">
        <f t="shared" si="1"/>
        <v>#NUM!</v>
      </c>
    </row>
    <row r="40" spans="5:6" x14ac:dyDescent="0.25">
      <c r="E40">
        <v>390</v>
      </c>
      <c r="F40" t="e">
        <f t="shared" si="1"/>
        <v>#NUM!</v>
      </c>
    </row>
    <row r="41" spans="5:6" x14ac:dyDescent="0.25">
      <c r="E41">
        <v>400</v>
      </c>
      <c r="F41" t="e">
        <f t="shared" si="1"/>
        <v>#NUM!</v>
      </c>
    </row>
    <row r="42" spans="5:6" x14ac:dyDescent="0.25">
      <c r="E42">
        <v>410</v>
      </c>
      <c r="F42" t="e">
        <f t="shared" si="1"/>
        <v>#NUM!</v>
      </c>
    </row>
    <row r="43" spans="5:6" x14ac:dyDescent="0.25">
      <c r="E43">
        <v>420</v>
      </c>
      <c r="F43" t="e">
        <f t="shared" si="1"/>
        <v>#NUM!</v>
      </c>
    </row>
    <row r="44" spans="5:6" x14ac:dyDescent="0.25">
      <c r="E44">
        <v>430</v>
      </c>
      <c r="F44" t="e">
        <f t="shared" si="1"/>
        <v>#NUM!</v>
      </c>
    </row>
    <row r="45" spans="5:6" x14ac:dyDescent="0.25">
      <c r="E45">
        <v>440</v>
      </c>
      <c r="F45" t="e">
        <f t="shared" si="1"/>
        <v>#NUM!</v>
      </c>
    </row>
    <row r="46" spans="5:6" x14ac:dyDescent="0.25">
      <c r="E46">
        <v>450</v>
      </c>
      <c r="F46" t="e">
        <f t="shared" si="1"/>
        <v>#NUM!</v>
      </c>
    </row>
    <row r="47" spans="5:6" x14ac:dyDescent="0.25">
      <c r="E47">
        <v>460</v>
      </c>
      <c r="F47" t="e">
        <f t="shared" si="1"/>
        <v>#NUM!</v>
      </c>
    </row>
    <row r="48" spans="5:6" x14ac:dyDescent="0.25">
      <c r="E48">
        <v>470</v>
      </c>
      <c r="F48" t="e">
        <f t="shared" si="1"/>
        <v>#NUM!</v>
      </c>
    </row>
    <row r="49" spans="5:6" x14ac:dyDescent="0.25">
      <c r="E49">
        <v>480</v>
      </c>
      <c r="F49" t="e">
        <f t="shared" si="1"/>
        <v>#NUM!</v>
      </c>
    </row>
    <row r="50" spans="5:6" x14ac:dyDescent="0.25">
      <c r="E50">
        <v>490</v>
      </c>
      <c r="F50" t="e">
        <f t="shared" si="1"/>
        <v>#NUM!</v>
      </c>
    </row>
    <row r="51" spans="5:6" x14ac:dyDescent="0.25">
      <c r="E51">
        <v>500</v>
      </c>
      <c r="F51" t="e">
        <f t="shared" si="1"/>
        <v>#NUM!</v>
      </c>
    </row>
    <row r="52" spans="5:6" x14ac:dyDescent="0.25">
      <c r="E52">
        <v>510</v>
      </c>
      <c r="F52" t="e">
        <f t="shared" si="1"/>
        <v>#NUM!</v>
      </c>
    </row>
    <row r="53" spans="5:6" x14ac:dyDescent="0.25">
      <c r="E53">
        <v>520</v>
      </c>
      <c r="F53" t="e">
        <f t="shared" si="1"/>
        <v>#NUM!</v>
      </c>
    </row>
    <row r="54" spans="5:6" x14ac:dyDescent="0.25">
      <c r="E54">
        <v>530</v>
      </c>
      <c r="F54" t="e">
        <f t="shared" si="1"/>
        <v>#NUM!</v>
      </c>
    </row>
    <row r="55" spans="5:6" x14ac:dyDescent="0.25">
      <c r="E55">
        <v>540</v>
      </c>
      <c r="F55" t="e">
        <f t="shared" si="1"/>
        <v>#NUM!</v>
      </c>
    </row>
    <row r="56" spans="5:6" x14ac:dyDescent="0.25">
      <c r="E56">
        <v>550</v>
      </c>
      <c r="F56" t="e">
        <f t="shared" si="1"/>
        <v>#NUM!</v>
      </c>
    </row>
    <row r="57" spans="5:6" x14ac:dyDescent="0.25">
      <c r="E57">
        <v>560</v>
      </c>
      <c r="F57" t="e">
        <f t="shared" si="1"/>
        <v>#NUM!</v>
      </c>
    </row>
    <row r="58" spans="5:6" x14ac:dyDescent="0.25">
      <c r="E58">
        <v>570</v>
      </c>
      <c r="F58" t="e">
        <f t="shared" si="1"/>
        <v>#NUM!</v>
      </c>
    </row>
    <row r="59" spans="5:6" x14ac:dyDescent="0.25">
      <c r="E59">
        <v>580</v>
      </c>
      <c r="F59" t="e">
        <f t="shared" si="1"/>
        <v>#NUM!</v>
      </c>
    </row>
    <row r="60" spans="5:6" x14ac:dyDescent="0.25">
      <c r="E60">
        <v>590</v>
      </c>
      <c r="F60" t="e">
        <f t="shared" si="1"/>
        <v>#NUM!</v>
      </c>
    </row>
    <row r="61" spans="5:6" x14ac:dyDescent="0.25">
      <c r="E61">
        <v>600</v>
      </c>
      <c r="F61" t="e">
        <f t="shared" si="1"/>
        <v>#NUM!</v>
      </c>
    </row>
    <row r="62" spans="5:6" x14ac:dyDescent="0.25">
      <c r="E62">
        <v>610</v>
      </c>
      <c r="F62" t="e">
        <f t="shared" si="1"/>
        <v>#NUM!</v>
      </c>
    </row>
    <row r="63" spans="5:6" x14ac:dyDescent="0.25">
      <c r="E63">
        <v>620</v>
      </c>
      <c r="F63" t="e">
        <f t="shared" si="1"/>
        <v>#NUM!</v>
      </c>
    </row>
    <row r="64" spans="5:6" x14ac:dyDescent="0.25">
      <c r="E64">
        <v>630</v>
      </c>
      <c r="F64" t="e">
        <f t="shared" si="1"/>
        <v>#NUM!</v>
      </c>
    </row>
    <row r="65" spans="5:6" x14ac:dyDescent="0.25">
      <c r="E65">
        <v>640</v>
      </c>
      <c r="F65" t="e">
        <f t="shared" ref="F65:F96" si="2">LN(B65)</f>
        <v>#NUM!</v>
      </c>
    </row>
    <row r="66" spans="5:6" x14ac:dyDescent="0.25">
      <c r="E66">
        <v>650</v>
      </c>
      <c r="F66" t="e">
        <f t="shared" si="2"/>
        <v>#NUM!</v>
      </c>
    </row>
    <row r="67" spans="5:6" x14ac:dyDescent="0.25">
      <c r="E67">
        <v>660</v>
      </c>
      <c r="F67" t="e">
        <f t="shared" si="2"/>
        <v>#NUM!</v>
      </c>
    </row>
    <row r="68" spans="5:6" x14ac:dyDescent="0.25">
      <c r="E68">
        <v>670</v>
      </c>
      <c r="F68" t="e">
        <f t="shared" si="2"/>
        <v>#NUM!</v>
      </c>
    </row>
    <row r="69" spans="5:6" x14ac:dyDescent="0.25">
      <c r="E69">
        <v>680</v>
      </c>
      <c r="F69" t="e">
        <f t="shared" si="2"/>
        <v>#NUM!</v>
      </c>
    </row>
    <row r="70" spans="5:6" x14ac:dyDescent="0.25">
      <c r="E70">
        <v>690</v>
      </c>
      <c r="F70" t="e">
        <f t="shared" si="2"/>
        <v>#NUM!</v>
      </c>
    </row>
    <row r="71" spans="5:6" x14ac:dyDescent="0.25">
      <c r="E71">
        <v>700</v>
      </c>
      <c r="F71" t="e">
        <f t="shared" si="2"/>
        <v>#NUM!</v>
      </c>
    </row>
    <row r="72" spans="5:6" x14ac:dyDescent="0.25">
      <c r="E72">
        <v>710</v>
      </c>
      <c r="F72" t="e">
        <f t="shared" si="2"/>
        <v>#NUM!</v>
      </c>
    </row>
    <row r="73" spans="5:6" x14ac:dyDescent="0.25">
      <c r="E73">
        <v>720</v>
      </c>
      <c r="F73" t="e">
        <f t="shared" si="2"/>
        <v>#NUM!</v>
      </c>
    </row>
    <row r="74" spans="5:6" x14ac:dyDescent="0.25">
      <c r="E74">
        <v>730</v>
      </c>
      <c r="F74" t="e">
        <f t="shared" si="2"/>
        <v>#NUM!</v>
      </c>
    </row>
    <row r="75" spans="5:6" x14ac:dyDescent="0.25">
      <c r="E75">
        <v>740</v>
      </c>
      <c r="F75" t="e">
        <f t="shared" si="2"/>
        <v>#NUM!</v>
      </c>
    </row>
    <row r="76" spans="5:6" x14ac:dyDescent="0.25">
      <c r="E76">
        <v>750</v>
      </c>
      <c r="F76" t="e">
        <f t="shared" si="2"/>
        <v>#NUM!</v>
      </c>
    </row>
    <row r="77" spans="5:6" x14ac:dyDescent="0.25">
      <c r="E77">
        <v>760</v>
      </c>
      <c r="F77" t="e">
        <f t="shared" si="2"/>
        <v>#NUM!</v>
      </c>
    </row>
    <row r="78" spans="5:6" x14ac:dyDescent="0.25">
      <c r="E78">
        <v>770</v>
      </c>
      <c r="F78" t="e">
        <f t="shared" si="2"/>
        <v>#NUM!</v>
      </c>
    </row>
    <row r="79" spans="5:6" x14ac:dyDescent="0.25">
      <c r="E79">
        <v>780</v>
      </c>
      <c r="F79" t="e">
        <f t="shared" si="2"/>
        <v>#NUM!</v>
      </c>
    </row>
    <row r="80" spans="5:6" x14ac:dyDescent="0.25">
      <c r="E80">
        <v>790</v>
      </c>
      <c r="F80" t="e">
        <f t="shared" si="2"/>
        <v>#NUM!</v>
      </c>
    </row>
    <row r="81" spans="5:6" x14ac:dyDescent="0.25">
      <c r="E81">
        <v>800</v>
      </c>
      <c r="F81" t="e">
        <f t="shared" si="2"/>
        <v>#NUM!</v>
      </c>
    </row>
    <row r="82" spans="5:6" x14ac:dyDescent="0.25">
      <c r="E82">
        <v>810</v>
      </c>
      <c r="F82" t="e">
        <f t="shared" si="2"/>
        <v>#NUM!</v>
      </c>
    </row>
    <row r="83" spans="5:6" x14ac:dyDescent="0.25">
      <c r="E83">
        <v>820</v>
      </c>
      <c r="F83" t="e">
        <f t="shared" si="2"/>
        <v>#NUM!</v>
      </c>
    </row>
    <row r="84" spans="5:6" x14ac:dyDescent="0.25">
      <c r="E84">
        <v>830</v>
      </c>
      <c r="F84" t="e">
        <f t="shared" si="2"/>
        <v>#NUM!</v>
      </c>
    </row>
    <row r="85" spans="5:6" x14ac:dyDescent="0.25">
      <c r="E85">
        <v>840</v>
      </c>
      <c r="F85" t="e">
        <f t="shared" si="2"/>
        <v>#NUM!</v>
      </c>
    </row>
    <row r="86" spans="5:6" x14ac:dyDescent="0.25">
      <c r="E86">
        <v>850</v>
      </c>
      <c r="F86" t="e">
        <f t="shared" si="2"/>
        <v>#NUM!</v>
      </c>
    </row>
    <row r="87" spans="5:6" x14ac:dyDescent="0.25">
      <c r="E87">
        <v>860</v>
      </c>
      <c r="F87" t="e">
        <f t="shared" si="2"/>
        <v>#NUM!</v>
      </c>
    </row>
    <row r="88" spans="5:6" x14ac:dyDescent="0.25">
      <c r="E88">
        <v>870</v>
      </c>
      <c r="F88" t="e">
        <f t="shared" si="2"/>
        <v>#NUM!</v>
      </c>
    </row>
    <row r="89" spans="5:6" x14ac:dyDescent="0.25">
      <c r="E89">
        <v>880</v>
      </c>
      <c r="F89" t="e">
        <f t="shared" si="2"/>
        <v>#NUM!</v>
      </c>
    </row>
    <row r="90" spans="5:6" x14ac:dyDescent="0.25">
      <c r="E90">
        <v>890</v>
      </c>
      <c r="F90" t="e">
        <f t="shared" si="2"/>
        <v>#NUM!</v>
      </c>
    </row>
    <row r="91" spans="5:6" x14ac:dyDescent="0.25">
      <c r="E91">
        <v>900</v>
      </c>
      <c r="F91" t="e">
        <f t="shared" si="2"/>
        <v>#NUM!</v>
      </c>
    </row>
    <row r="92" spans="5:6" x14ac:dyDescent="0.25">
      <c r="E92">
        <v>910</v>
      </c>
      <c r="F92" t="e">
        <f t="shared" si="2"/>
        <v>#NUM!</v>
      </c>
    </row>
    <row r="93" spans="5:6" x14ac:dyDescent="0.25">
      <c r="E93">
        <v>920</v>
      </c>
      <c r="F93" t="e">
        <f t="shared" si="2"/>
        <v>#NUM!</v>
      </c>
    </row>
    <row r="94" spans="5:6" x14ac:dyDescent="0.25">
      <c r="E94">
        <v>930</v>
      </c>
      <c r="F94" t="e">
        <f t="shared" si="2"/>
        <v>#NUM!</v>
      </c>
    </row>
    <row r="95" spans="5:6" x14ac:dyDescent="0.25">
      <c r="E95">
        <v>940</v>
      </c>
      <c r="F95" t="e">
        <f t="shared" si="2"/>
        <v>#NUM!</v>
      </c>
    </row>
    <row r="96" spans="5:6" x14ac:dyDescent="0.25">
      <c r="E96">
        <v>950</v>
      </c>
      <c r="F96" t="e">
        <f t="shared" si="2"/>
        <v>#NUM!</v>
      </c>
    </row>
    <row r="97" spans="5:6" x14ac:dyDescent="0.25">
      <c r="E97">
        <v>960</v>
      </c>
      <c r="F97" t="e">
        <f t="shared" ref="F97:F118" si="3">LN(B97)</f>
        <v>#NUM!</v>
      </c>
    </row>
    <row r="98" spans="5:6" x14ac:dyDescent="0.25">
      <c r="E98">
        <v>970</v>
      </c>
      <c r="F98" t="e">
        <f t="shared" si="3"/>
        <v>#NUM!</v>
      </c>
    </row>
    <row r="99" spans="5:6" x14ac:dyDescent="0.25">
      <c r="E99">
        <v>980</v>
      </c>
      <c r="F99" t="e">
        <f t="shared" si="3"/>
        <v>#NUM!</v>
      </c>
    </row>
    <row r="100" spans="5:6" x14ac:dyDescent="0.25">
      <c r="E100">
        <v>990</v>
      </c>
      <c r="F100" t="e">
        <f t="shared" si="3"/>
        <v>#NUM!</v>
      </c>
    </row>
    <row r="101" spans="5:6" x14ac:dyDescent="0.25">
      <c r="E101">
        <v>1000</v>
      </c>
      <c r="F101" t="e">
        <f t="shared" si="3"/>
        <v>#NUM!</v>
      </c>
    </row>
    <row r="102" spans="5:6" x14ac:dyDescent="0.25">
      <c r="E102">
        <v>1010</v>
      </c>
      <c r="F102" t="e">
        <f t="shared" si="3"/>
        <v>#NUM!</v>
      </c>
    </row>
    <row r="103" spans="5:6" x14ac:dyDescent="0.25">
      <c r="E103">
        <v>1020</v>
      </c>
      <c r="F103" t="e">
        <f t="shared" si="3"/>
        <v>#NUM!</v>
      </c>
    </row>
    <row r="104" spans="5:6" x14ac:dyDescent="0.25">
      <c r="E104">
        <v>1030</v>
      </c>
      <c r="F104" t="e">
        <f t="shared" si="3"/>
        <v>#NUM!</v>
      </c>
    </row>
    <row r="105" spans="5:6" x14ac:dyDescent="0.25">
      <c r="E105">
        <v>1040</v>
      </c>
      <c r="F105" t="e">
        <f t="shared" si="3"/>
        <v>#NUM!</v>
      </c>
    </row>
    <row r="106" spans="5:6" x14ac:dyDescent="0.25">
      <c r="E106">
        <v>1050</v>
      </c>
      <c r="F106" t="e">
        <f t="shared" si="3"/>
        <v>#NUM!</v>
      </c>
    </row>
    <row r="107" spans="5:6" x14ac:dyDescent="0.25">
      <c r="E107">
        <v>1060</v>
      </c>
      <c r="F107" t="e">
        <f t="shared" si="3"/>
        <v>#NUM!</v>
      </c>
    </row>
    <row r="108" spans="5:6" x14ac:dyDescent="0.25">
      <c r="E108">
        <v>1070</v>
      </c>
      <c r="F108" t="e">
        <f t="shared" si="3"/>
        <v>#NUM!</v>
      </c>
    </row>
    <row r="109" spans="5:6" x14ac:dyDescent="0.25">
      <c r="E109">
        <v>1080</v>
      </c>
      <c r="F109" t="e">
        <f t="shared" si="3"/>
        <v>#NUM!</v>
      </c>
    </row>
    <row r="110" spans="5:6" x14ac:dyDescent="0.25">
      <c r="E110">
        <v>1090</v>
      </c>
      <c r="F110" t="e">
        <f t="shared" si="3"/>
        <v>#NUM!</v>
      </c>
    </row>
    <row r="111" spans="5:6" x14ac:dyDescent="0.25">
      <c r="E111">
        <v>1100</v>
      </c>
      <c r="F111" t="e">
        <f t="shared" si="3"/>
        <v>#NUM!</v>
      </c>
    </row>
    <row r="112" spans="5:6" x14ac:dyDescent="0.25">
      <c r="E112">
        <v>1110</v>
      </c>
      <c r="F112" t="e">
        <f t="shared" si="3"/>
        <v>#NUM!</v>
      </c>
    </row>
    <row r="113" spans="5:6" x14ac:dyDescent="0.25">
      <c r="E113">
        <v>1120</v>
      </c>
      <c r="F113" t="e">
        <f t="shared" si="3"/>
        <v>#NUM!</v>
      </c>
    </row>
    <row r="114" spans="5:6" x14ac:dyDescent="0.25">
      <c r="E114">
        <v>1130</v>
      </c>
      <c r="F114" t="e">
        <f t="shared" si="3"/>
        <v>#NUM!</v>
      </c>
    </row>
    <row r="115" spans="5:6" x14ac:dyDescent="0.25">
      <c r="E115">
        <v>1140</v>
      </c>
      <c r="F115" t="e">
        <f t="shared" si="3"/>
        <v>#NUM!</v>
      </c>
    </row>
    <row r="116" spans="5:6" x14ac:dyDescent="0.25">
      <c r="E116">
        <v>1150</v>
      </c>
      <c r="F116" t="e">
        <f t="shared" si="3"/>
        <v>#NUM!</v>
      </c>
    </row>
    <row r="117" spans="5:6" x14ac:dyDescent="0.25">
      <c r="E117">
        <v>1160</v>
      </c>
      <c r="F117" t="e">
        <f t="shared" si="3"/>
        <v>#NUM!</v>
      </c>
    </row>
    <row r="118" spans="5:6" x14ac:dyDescent="0.25">
      <c r="E118">
        <v>1170</v>
      </c>
      <c r="F118" t="e">
        <f t="shared" si="3"/>
        <v>#NUM!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L134"/>
  <sheetViews>
    <sheetView zoomScale="85" zoomScaleNormal="85" workbookViewId="0">
      <selection sqref="A1:D1048576"/>
    </sheetView>
  </sheetViews>
  <sheetFormatPr baseColWidth="10" defaultRowHeight="15" x14ac:dyDescent="0.25"/>
  <cols>
    <col min="4" max="4" width="23" bestFit="1" customWidth="1"/>
    <col min="9" max="9" width="9.5703125" bestFit="1" customWidth="1"/>
    <col min="10" max="10" width="9.140625" customWidth="1"/>
    <col min="11" max="11" width="11.5703125" bestFit="1" customWidth="1"/>
    <col min="12" max="12" width="11.7109375" bestFit="1" customWidth="1"/>
  </cols>
  <sheetData>
    <row r="1" spans="5:12" x14ac:dyDescent="0.25">
      <c r="E1">
        <v>0</v>
      </c>
      <c r="F1" t="e">
        <f>LN(B1)</f>
        <v>#NUM!</v>
      </c>
      <c r="I1" s="1" t="s">
        <v>0</v>
      </c>
      <c r="J1" s="1" t="s">
        <v>5</v>
      </c>
      <c r="L1" s="2"/>
    </row>
    <row r="2" spans="5:12" x14ac:dyDescent="0.25">
      <c r="E2">
        <v>10</v>
      </c>
      <c r="F2" t="e">
        <f t="shared" ref="F2:F65" si="0">LN(B2)</f>
        <v>#NUM!</v>
      </c>
      <c r="H2" t="s">
        <v>1</v>
      </c>
      <c r="I2">
        <f>1/(0.000002)</f>
        <v>500000</v>
      </c>
      <c r="J2">
        <f>1/(0.00003)</f>
        <v>33333.333333333336</v>
      </c>
      <c r="L2" s="2"/>
    </row>
    <row r="3" spans="5:12" x14ac:dyDescent="0.25">
      <c r="E3">
        <v>20</v>
      </c>
      <c r="F3" t="e">
        <f t="shared" si="0"/>
        <v>#NUM!</v>
      </c>
      <c r="I3">
        <f>I2/60</f>
        <v>8333.3333333333339</v>
      </c>
      <c r="J3">
        <f>J2/60</f>
        <v>555.55555555555554</v>
      </c>
      <c r="K3" s="3" t="s">
        <v>3</v>
      </c>
    </row>
    <row r="4" spans="5:12" x14ac:dyDescent="0.25">
      <c r="E4">
        <v>30</v>
      </c>
      <c r="F4" t="e">
        <f t="shared" si="0"/>
        <v>#NUM!</v>
      </c>
      <c r="I4">
        <f>I3/60</f>
        <v>138.88888888888889</v>
      </c>
      <c r="J4">
        <f>J3/60</f>
        <v>9.2592592592592595</v>
      </c>
      <c r="K4" s="3" t="s">
        <v>4</v>
      </c>
    </row>
    <row r="5" spans="5:12" x14ac:dyDescent="0.25">
      <c r="E5">
        <v>40</v>
      </c>
      <c r="F5" t="e">
        <f t="shared" si="0"/>
        <v>#NUM!</v>
      </c>
    </row>
    <row r="6" spans="5:12" x14ac:dyDescent="0.25">
      <c r="E6">
        <v>50</v>
      </c>
      <c r="F6" t="e">
        <f t="shared" si="0"/>
        <v>#NUM!</v>
      </c>
    </row>
    <row r="7" spans="5:12" x14ac:dyDescent="0.25">
      <c r="E7">
        <v>60</v>
      </c>
      <c r="F7" t="e">
        <f t="shared" si="0"/>
        <v>#NUM!</v>
      </c>
    </row>
    <row r="8" spans="5:12" x14ac:dyDescent="0.25">
      <c r="E8">
        <v>70</v>
      </c>
      <c r="F8" t="e">
        <f t="shared" si="0"/>
        <v>#NUM!</v>
      </c>
    </row>
    <row r="9" spans="5:12" x14ac:dyDescent="0.25">
      <c r="E9">
        <v>80</v>
      </c>
      <c r="F9" t="e">
        <f t="shared" si="0"/>
        <v>#NUM!</v>
      </c>
    </row>
    <row r="10" spans="5:12" x14ac:dyDescent="0.25">
      <c r="E10">
        <v>90</v>
      </c>
      <c r="F10" t="e">
        <f t="shared" si="0"/>
        <v>#NUM!</v>
      </c>
    </row>
    <row r="11" spans="5:12" x14ac:dyDescent="0.25">
      <c r="E11">
        <v>100</v>
      </c>
      <c r="F11" t="e">
        <f t="shared" si="0"/>
        <v>#NUM!</v>
      </c>
    </row>
    <row r="12" spans="5:12" x14ac:dyDescent="0.25">
      <c r="E12">
        <v>110</v>
      </c>
      <c r="F12" t="e">
        <f t="shared" si="0"/>
        <v>#NUM!</v>
      </c>
    </row>
    <row r="13" spans="5:12" x14ac:dyDescent="0.25">
      <c r="E13">
        <v>120</v>
      </c>
      <c r="F13" t="e">
        <f t="shared" si="0"/>
        <v>#NUM!</v>
      </c>
    </row>
    <row r="14" spans="5:12" x14ac:dyDescent="0.25">
      <c r="E14">
        <v>130</v>
      </c>
      <c r="F14" t="e">
        <f t="shared" si="0"/>
        <v>#NUM!</v>
      </c>
    </row>
    <row r="15" spans="5:12" x14ac:dyDescent="0.25">
      <c r="E15">
        <v>140</v>
      </c>
      <c r="F15" t="e">
        <f t="shared" si="0"/>
        <v>#NUM!</v>
      </c>
    </row>
    <row r="16" spans="5:12" x14ac:dyDescent="0.25">
      <c r="E16">
        <v>150</v>
      </c>
      <c r="F16" t="e">
        <f t="shared" si="0"/>
        <v>#NUM!</v>
      </c>
    </row>
    <row r="17" spans="5:6" x14ac:dyDescent="0.25">
      <c r="E17">
        <v>160</v>
      </c>
      <c r="F17" t="e">
        <f t="shared" si="0"/>
        <v>#NUM!</v>
      </c>
    </row>
    <row r="18" spans="5:6" x14ac:dyDescent="0.25">
      <c r="E18">
        <v>170</v>
      </c>
      <c r="F18" t="e">
        <f t="shared" si="0"/>
        <v>#NUM!</v>
      </c>
    </row>
    <row r="19" spans="5:6" x14ac:dyDescent="0.25">
      <c r="E19">
        <v>180</v>
      </c>
      <c r="F19" t="e">
        <f t="shared" si="0"/>
        <v>#NUM!</v>
      </c>
    </row>
    <row r="20" spans="5:6" x14ac:dyDescent="0.25">
      <c r="E20">
        <v>190</v>
      </c>
      <c r="F20" t="e">
        <f t="shared" si="0"/>
        <v>#NUM!</v>
      </c>
    </row>
    <row r="21" spans="5:6" x14ac:dyDescent="0.25">
      <c r="E21">
        <v>200</v>
      </c>
      <c r="F21" t="e">
        <f t="shared" si="0"/>
        <v>#NUM!</v>
      </c>
    </row>
    <row r="22" spans="5:6" x14ac:dyDescent="0.25">
      <c r="E22">
        <v>210</v>
      </c>
      <c r="F22" t="e">
        <f t="shared" si="0"/>
        <v>#NUM!</v>
      </c>
    </row>
    <row r="23" spans="5:6" x14ac:dyDescent="0.25">
      <c r="E23">
        <v>220</v>
      </c>
      <c r="F23" t="e">
        <f t="shared" si="0"/>
        <v>#NUM!</v>
      </c>
    </row>
    <row r="24" spans="5:6" x14ac:dyDescent="0.25">
      <c r="E24">
        <v>230</v>
      </c>
      <c r="F24" t="e">
        <f t="shared" si="0"/>
        <v>#NUM!</v>
      </c>
    </row>
    <row r="25" spans="5:6" x14ac:dyDescent="0.25">
      <c r="E25">
        <v>240</v>
      </c>
      <c r="F25" t="e">
        <f t="shared" si="0"/>
        <v>#NUM!</v>
      </c>
    </row>
    <row r="26" spans="5:6" x14ac:dyDescent="0.25">
      <c r="E26">
        <v>250</v>
      </c>
      <c r="F26" t="e">
        <f t="shared" si="0"/>
        <v>#NUM!</v>
      </c>
    </row>
    <row r="27" spans="5:6" x14ac:dyDescent="0.25">
      <c r="E27">
        <v>260</v>
      </c>
      <c r="F27" t="e">
        <f t="shared" si="0"/>
        <v>#NUM!</v>
      </c>
    </row>
    <row r="28" spans="5:6" x14ac:dyDescent="0.25">
      <c r="E28">
        <v>270</v>
      </c>
      <c r="F28" t="e">
        <f t="shared" si="0"/>
        <v>#NUM!</v>
      </c>
    </row>
    <row r="29" spans="5:6" x14ac:dyDescent="0.25">
      <c r="E29">
        <v>280</v>
      </c>
      <c r="F29" t="e">
        <f t="shared" si="0"/>
        <v>#NUM!</v>
      </c>
    </row>
    <row r="30" spans="5:6" x14ac:dyDescent="0.25">
      <c r="E30">
        <v>290</v>
      </c>
      <c r="F30" t="e">
        <f t="shared" si="0"/>
        <v>#NUM!</v>
      </c>
    </row>
    <row r="31" spans="5:6" x14ac:dyDescent="0.25">
      <c r="E31">
        <v>300</v>
      </c>
      <c r="F31" t="e">
        <f t="shared" si="0"/>
        <v>#NUM!</v>
      </c>
    </row>
    <row r="32" spans="5:6" x14ac:dyDescent="0.25">
      <c r="E32">
        <v>310</v>
      </c>
      <c r="F32" t="e">
        <f t="shared" si="0"/>
        <v>#NUM!</v>
      </c>
    </row>
    <row r="33" spans="5:6" x14ac:dyDescent="0.25">
      <c r="E33">
        <v>320</v>
      </c>
      <c r="F33" t="e">
        <f t="shared" si="0"/>
        <v>#NUM!</v>
      </c>
    </row>
    <row r="34" spans="5:6" x14ac:dyDescent="0.25">
      <c r="E34">
        <v>330</v>
      </c>
      <c r="F34" t="e">
        <f t="shared" si="0"/>
        <v>#NUM!</v>
      </c>
    </row>
    <row r="35" spans="5:6" x14ac:dyDescent="0.25">
      <c r="E35">
        <v>340</v>
      </c>
      <c r="F35" t="e">
        <f t="shared" si="0"/>
        <v>#NUM!</v>
      </c>
    </row>
    <row r="36" spans="5:6" x14ac:dyDescent="0.25">
      <c r="E36">
        <v>350</v>
      </c>
      <c r="F36" t="e">
        <f t="shared" si="0"/>
        <v>#NUM!</v>
      </c>
    </row>
    <row r="37" spans="5:6" x14ac:dyDescent="0.25">
      <c r="E37">
        <v>360</v>
      </c>
      <c r="F37" t="e">
        <f t="shared" si="0"/>
        <v>#NUM!</v>
      </c>
    </row>
    <row r="38" spans="5:6" x14ac:dyDescent="0.25">
      <c r="E38">
        <v>370</v>
      </c>
      <c r="F38" t="e">
        <f t="shared" si="0"/>
        <v>#NUM!</v>
      </c>
    </row>
    <row r="39" spans="5:6" x14ac:dyDescent="0.25">
      <c r="E39">
        <v>380</v>
      </c>
      <c r="F39" t="e">
        <f t="shared" si="0"/>
        <v>#NUM!</v>
      </c>
    </row>
    <row r="40" spans="5:6" x14ac:dyDescent="0.25">
      <c r="E40">
        <v>390</v>
      </c>
      <c r="F40" t="e">
        <f t="shared" si="0"/>
        <v>#NUM!</v>
      </c>
    </row>
    <row r="41" spans="5:6" x14ac:dyDescent="0.25">
      <c r="E41">
        <v>400</v>
      </c>
      <c r="F41" t="e">
        <f t="shared" si="0"/>
        <v>#NUM!</v>
      </c>
    </row>
    <row r="42" spans="5:6" x14ac:dyDescent="0.25">
      <c r="E42">
        <v>410</v>
      </c>
      <c r="F42" t="e">
        <f t="shared" si="0"/>
        <v>#NUM!</v>
      </c>
    </row>
    <row r="43" spans="5:6" x14ac:dyDescent="0.25">
      <c r="E43">
        <v>420</v>
      </c>
      <c r="F43" t="e">
        <f t="shared" si="0"/>
        <v>#NUM!</v>
      </c>
    </row>
    <row r="44" spans="5:6" x14ac:dyDescent="0.25">
      <c r="E44">
        <v>430</v>
      </c>
      <c r="F44" t="e">
        <f t="shared" si="0"/>
        <v>#NUM!</v>
      </c>
    </row>
    <row r="45" spans="5:6" x14ac:dyDescent="0.25">
      <c r="E45">
        <v>440</v>
      </c>
      <c r="F45" t="e">
        <f t="shared" si="0"/>
        <v>#NUM!</v>
      </c>
    </row>
    <row r="46" spans="5:6" x14ac:dyDescent="0.25">
      <c r="E46">
        <v>450</v>
      </c>
      <c r="F46" t="e">
        <f t="shared" si="0"/>
        <v>#NUM!</v>
      </c>
    </row>
    <row r="47" spans="5:6" x14ac:dyDescent="0.25">
      <c r="E47">
        <v>460</v>
      </c>
      <c r="F47" t="e">
        <f t="shared" si="0"/>
        <v>#NUM!</v>
      </c>
    </row>
    <row r="48" spans="5:6" x14ac:dyDescent="0.25">
      <c r="E48">
        <v>470</v>
      </c>
      <c r="F48" t="e">
        <f t="shared" si="0"/>
        <v>#NUM!</v>
      </c>
    </row>
    <row r="49" spans="5:6" x14ac:dyDescent="0.25">
      <c r="E49">
        <v>480</v>
      </c>
      <c r="F49" t="e">
        <f t="shared" si="0"/>
        <v>#NUM!</v>
      </c>
    </row>
    <row r="50" spans="5:6" x14ac:dyDescent="0.25">
      <c r="E50">
        <v>490</v>
      </c>
      <c r="F50" t="e">
        <f t="shared" si="0"/>
        <v>#NUM!</v>
      </c>
    </row>
    <row r="51" spans="5:6" x14ac:dyDescent="0.25">
      <c r="E51">
        <v>500</v>
      </c>
      <c r="F51" t="e">
        <f t="shared" si="0"/>
        <v>#NUM!</v>
      </c>
    </row>
    <row r="52" spans="5:6" x14ac:dyDescent="0.25">
      <c r="E52">
        <v>510</v>
      </c>
      <c r="F52" t="e">
        <f t="shared" si="0"/>
        <v>#NUM!</v>
      </c>
    </row>
    <row r="53" spans="5:6" x14ac:dyDescent="0.25">
      <c r="E53">
        <v>520</v>
      </c>
      <c r="F53" t="e">
        <f t="shared" si="0"/>
        <v>#NUM!</v>
      </c>
    </row>
    <row r="54" spans="5:6" x14ac:dyDescent="0.25">
      <c r="E54">
        <v>530</v>
      </c>
      <c r="F54" t="e">
        <f t="shared" si="0"/>
        <v>#NUM!</v>
      </c>
    </row>
    <row r="55" spans="5:6" x14ac:dyDescent="0.25">
      <c r="E55">
        <v>540</v>
      </c>
      <c r="F55" t="e">
        <f t="shared" si="0"/>
        <v>#NUM!</v>
      </c>
    </row>
    <row r="56" spans="5:6" x14ac:dyDescent="0.25">
      <c r="E56">
        <v>550</v>
      </c>
      <c r="F56" t="e">
        <f t="shared" si="0"/>
        <v>#NUM!</v>
      </c>
    </row>
    <row r="57" spans="5:6" x14ac:dyDescent="0.25">
      <c r="E57">
        <v>560</v>
      </c>
      <c r="F57" t="e">
        <f t="shared" si="0"/>
        <v>#NUM!</v>
      </c>
    </row>
    <row r="58" spans="5:6" x14ac:dyDescent="0.25">
      <c r="E58">
        <v>570</v>
      </c>
      <c r="F58" t="e">
        <f t="shared" si="0"/>
        <v>#NUM!</v>
      </c>
    </row>
    <row r="59" spans="5:6" x14ac:dyDescent="0.25">
      <c r="E59">
        <v>580</v>
      </c>
      <c r="F59" t="e">
        <f t="shared" si="0"/>
        <v>#NUM!</v>
      </c>
    </row>
    <row r="60" spans="5:6" x14ac:dyDescent="0.25">
      <c r="E60">
        <v>590</v>
      </c>
      <c r="F60" t="e">
        <f t="shared" si="0"/>
        <v>#NUM!</v>
      </c>
    </row>
    <row r="61" spans="5:6" x14ac:dyDescent="0.25">
      <c r="E61">
        <v>600</v>
      </c>
      <c r="F61" t="e">
        <f t="shared" si="0"/>
        <v>#NUM!</v>
      </c>
    </row>
    <row r="62" spans="5:6" x14ac:dyDescent="0.25">
      <c r="E62">
        <v>610</v>
      </c>
      <c r="F62" t="e">
        <f t="shared" si="0"/>
        <v>#NUM!</v>
      </c>
    </row>
    <row r="63" spans="5:6" x14ac:dyDescent="0.25">
      <c r="E63">
        <v>620</v>
      </c>
      <c r="F63" t="e">
        <f t="shared" si="0"/>
        <v>#NUM!</v>
      </c>
    </row>
    <row r="64" spans="5:6" x14ac:dyDescent="0.25">
      <c r="E64">
        <v>630</v>
      </c>
      <c r="F64" t="e">
        <f t="shared" si="0"/>
        <v>#NUM!</v>
      </c>
    </row>
    <row r="65" spans="5:6" x14ac:dyDescent="0.25">
      <c r="E65">
        <v>640</v>
      </c>
      <c r="F65" t="e">
        <f t="shared" si="0"/>
        <v>#NUM!</v>
      </c>
    </row>
    <row r="66" spans="5:6" x14ac:dyDescent="0.25">
      <c r="E66">
        <v>650</v>
      </c>
      <c r="F66" t="e">
        <f t="shared" ref="F66:F124" si="1">LN(B66)</f>
        <v>#NUM!</v>
      </c>
    </row>
    <row r="67" spans="5:6" x14ac:dyDescent="0.25">
      <c r="E67">
        <v>660</v>
      </c>
      <c r="F67" t="e">
        <f t="shared" si="1"/>
        <v>#NUM!</v>
      </c>
    </row>
    <row r="68" spans="5:6" x14ac:dyDescent="0.25">
      <c r="E68">
        <v>670</v>
      </c>
      <c r="F68" t="e">
        <f t="shared" si="1"/>
        <v>#NUM!</v>
      </c>
    </row>
    <row r="69" spans="5:6" x14ac:dyDescent="0.25">
      <c r="E69">
        <v>680</v>
      </c>
      <c r="F69" t="e">
        <f t="shared" si="1"/>
        <v>#NUM!</v>
      </c>
    </row>
    <row r="70" spans="5:6" x14ac:dyDescent="0.25">
      <c r="E70">
        <v>690</v>
      </c>
      <c r="F70" t="e">
        <f t="shared" si="1"/>
        <v>#NUM!</v>
      </c>
    </row>
    <row r="71" spans="5:6" x14ac:dyDescent="0.25">
      <c r="E71">
        <v>700</v>
      </c>
      <c r="F71" t="e">
        <f t="shared" si="1"/>
        <v>#NUM!</v>
      </c>
    </row>
    <row r="72" spans="5:6" x14ac:dyDescent="0.25">
      <c r="E72">
        <v>710</v>
      </c>
      <c r="F72" t="e">
        <f t="shared" si="1"/>
        <v>#NUM!</v>
      </c>
    </row>
    <row r="73" spans="5:6" x14ac:dyDescent="0.25">
      <c r="E73">
        <v>720</v>
      </c>
      <c r="F73" t="e">
        <f t="shared" si="1"/>
        <v>#NUM!</v>
      </c>
    </row>
    <row r="74" spans="5:6" x14ac:dyDescent="0.25">
      <c r="E74">
        <v>730</v>
      </c>
      <c r="F74" t="e">
        <f t="shared" si="1"/>
        <v>#NUM!</v>
      </c>
    </row>
    <row r="75" spans="5:6" x14ac:dyDescent="0.25">
      <c r="E75">
        <v>740</v>
      </c>
      <c r="F75" t="e">
        <f t="shared" si="1"/>
        <v>#NUM!</v>
      </c>
    </row>
    <row r="76" spans="5:6" x14ac:dyDescent="0.25">
      <c r="E76">
        <v>750</v>
      </c>
      <c r="F76" t="e">
        <f t="shared" si="1"/>
        <v>#NUM!</v>
      </c>
    </row>
    <row r="77" spans="5:6" x14ac:dyDescent="0.25">
      <c r="E77">
        <v>760</v>
      </c>
      <c r="F77" t="e">
        <f t="shared" si="1"/>
        <v>#NUM!</v>
      </c>
    </row>
    <row r="78" spans="5:6" x14ac:dyDescent="0.25">
      <c r="E78">
        <v>770</v>
      </c>
      <c r="F78" t="e">
        <f t="shared" si="1"/>
        <v>#NUM!</v>
      </c>
    </row>
    <row r="79" spans="5:6" x14ac:dyDescent="0.25">
      <c r="E79">
        <v>780</v>
      </c>
      <c r="F79" t="e">
        <f t="shared" si="1"/>
        <v>#NUM!</v>
      </c>
    </row>
    <row r="80" spans="5:6" x14ac:dyDescent="0.25">
      <c r="E80">
        <v>790</v>
      </c>
      <c r="F80" t="e">
        <f t="shared" si="1"/>
        <v>#NUM!</v>
      </c>
    </row>
    <row r="81" spans="5:6" x14ac:dyDescent="0.25">
      <c r="E81">
        <v>800</v>
      </c>
      <c r="F81" t="e">
        <f t="shared" si="1"/>
        <v>#NUM!</v>
      </c>
    </row>
    <row r="82" spans="5:6" x14ac:dyDescent="0.25">
      <c r="E82">
        <v>810</v>
      </c>
      <c r="F82" t="e">
        <f t="shared" si="1"/>
        <v>#NUM!</v>
      </c>
    </row>
    <row r="83" spans="5:6" x14ac:dyDescent="0.25">
      <c r="E83">
        <v>820</v>
      </c>
      <c r="F83" t="e">
        <f t="shared" si="1"/>
        <v>#NUM!</v>
      </c>
    </row>
    <row r="84" spans="5:6" x14ac:dyDescent="0.25">
      <c r="E84">
        <v>830</v>
      </c>
      <c r="F84" t="e">
        <f t="shared" si="1"/>
        <v>#NUM!</v>
      </c>
    </row>
    <row r="85" spans="5:6" x14ac:dyDescent="0.25">
      <c r="E85">
        <v>840</v>
      </c>
      <c r="F85" t="e">
        <f t="shared" si="1"/>
        <v>#NUM!</v>
      </c>
    </row>
    <row r="86" spans="5:6" x14ac:dyDescent="0.25">
      <c r="E86">
        <v>850</v>
      </c>
      <c r="F86" t="e">
        <f t="shared" si="1"/>
        <v>#NUM!</v>
      </c>
    </row>
    <row r="87" spans="5:6" x14ac:dyDescent="0.25">
      <c r="E87">
        <v>860</v>
      </c>
      <c r="F87" t="e">
        <f t="shared" si="1"/>
        <v>#NUM!</v>
      </c>
    </row>
    <row r="88" spans="5:6" x14ac:dyDescent="0.25">
      <c r="E88">
        <v>870</v>
      </c>
      <c r="F88" t="e">
        <f t="shared" si="1"/>
        <v>#NUM!</v>
      </c>
    </row>
    <row r="89" spans="5:6" x14ac:dyDescent="0.25">
      <c r="E89">
        <v>880</v>
      </c>
      <c r="F89" t="e">
        <f t="shared" si="1"/>
        <v>#NUM!</v>
      </c>
    </row>
    <row r="90" spans="5:6" x14ac:dyDescent="0.25">
      <c r="E90">
        <v>890</v>
      </c>
      <c r="F90" t="e">
        <f t="shared" si="1"/>
        <v>#NUM!</v>
      </c>
    </row>
    <row r="91" spans="5:6" x14ac:dyDescent="0.25">
      <c r="E91">
        <v>900</v>
      </c>
      <c r="F91" t="e">
        <f t="shared" si="1"/>
        <v>#NUM!</v>
      </c>
    </row>
    <row r="92" spans="5:6" x14ac:dyDescent="0.25">
      <c r="E92">
        <v>910</v>
      </c>
      <c r="F92" t="e">
        <f t="shared" si="1"/>
        <v>#NUM!</v>
      </c>
    </row>
    <row r="93" spans="5:6" x14ac:dyDescent="0.25">
      <c r="E93">
        <v>920</v>
      </c>
      <c r="F93" t="e">
        <f t="shared" si="1"/>
        <v>#NUM!</v>
      </c>
    </row>
    <row r="94" spans="5:6" x14ac:dyDescent="0.25">
      <c r="E94">
        <v>930</v>
      </c>
      <c r="F94" t="e">
        <f t="shared" si="1"/>
        <v>#NUM!</v>
      </c>
    </row>
    <row r="95" spans="5:6" x14ac:dyDescent="0.25">
      <c r="E95">
        <v>940</v>
      </c>
      <c r="F95" t="e">
        <f t="shared" si="1"/>
        <v>#NUM!</v>
      </c>
    </row>
    <row r="96" spans="5:6" x14ac:dyDescent="0.25">
      <c r="E96">
        <v>950</v>
      </c>
      <c r="F96" t="e">
        <f t="shared" si="1"/>
        <v>#NUM!</v>
      </c>
    </row>
    <row r="97" spans="5:6" x14ac:dyDescent="0.25">
      <c r="E97">
        <v>960</v>
      </c>
      <c r="F97" t="e">
        <f t="shared" si="1"/>
        <v>#NUM!</v>
      </c>
    </row>
    <row r="98" spans="5:6" x14ac:dyDescent="0.25">
      <c r="E98">
        <v>970</v>
      </c>
      <c r="F98" t="e">
        <f t="shared" si="1"/>
        <v>#NUM!</v>
      </c>
    </row>
    <row r="99" spans="5:6" x14ac:dyDescent="0.25">
      <c r="E99">
        <v>980</v>
      </c>
      <c r="F99" t="e">
        <f t="shared" si="1"/>
        <v>#NUM!</v>
      </c>
    </row>
    <row r="100" spans="5:6" x14ac:dyDescent="0.25">
      <c r="E100">
        <v>990</v>
      </c>
      <c r="F100" t="e">
        <f t="shared" si="1"/>
        <v>#NUM!</v>
      </c>
    </row>
    <row r="101" spans="5:6" x14ac:dyDescent="0.25">
      <c r="E101">
        <v>1000</v>
      </c>
      <c r="F101" t="e">
        <f t="shared" si="1"/>
        <v>#NUM!</v>
      </c>
    </row>
    <row r="102" spans="5:6" x14ac:dyDescent="0.25">
      <c r="E102">
        <v>1010</v>
      </c>
      <c r="F102" t="e">
        <f t="shared" si="1"/>
        <v>#NUM!</v>
      </c>
    </row>
    <row r="103" spans="5:6" x14ac:dyDescent="0.25">
      <c r="E103">
        <v>1020</v>
      </c>
      <c r="F103" t="e">
        <f t="shared" si="1"/>
        <v>#NUM!</v>
      </c>
    </row>
    <row r="104" spans="5:6" x14ac:dyDescent="0.25">
      <c r="E104">
        <v>1030</v>
      </c>
      <c r="F104" t="e">
        <f t="shared" si="1"/>
        <v>#NUM!</v>
      </c>
    </row>
    <row r="105" spans="5:6" x14ac:dyDescent="0.25">
      <c r="E105">
        <v>1040</v>
      </c>
      <c r="F105" t="e">
        <f t="shared" si="1"/>
        <v>#NUM!</v>
      </c>
    </row>
    <row r="106" spans="5:6" x14ac:dyDescent="0.25">
      <c r="E106">
        <v>1050</v>
      </c>
      <c r="F106" t="e">
        <f t="shared" si="1"/>
        <v>#NUM!</v>
      </c>
    </row>
    <row r="107" spans="5:6" x14ac:dyDescent="0.25">
      <c r="E107">
        <v>1060</v>
      </c>
      <c r="F107" t="e">
        <f t="shared" si="1"/>
        <v>#NUM!</v>
      </c>
    </row>
    <row r="108" spans="5:6" x14ac:dyDescent="0.25">
      <c r="E108">
        <v>1070</v>
      </c>
      <c r="F108" t="e">
        <f t="shared" si="1"/>
        <v>#NUM!</v>
      </c>
    </row>
    <row r="109" spans="5:6" x14ac:dyDescent="0.25">
      <c r="E109">
        <v>1080</v>
      </c>
      <c r="F109" t="e">
        <f t="shared" si="1"/>
        <v>#NUM!</v>
      </c>
    </row>
    <row r="110" spans="5:6" x14ac:dyDescent="0.25">
      <c r="E110">
        <v>1090</v>
      </c>
      <c r="F110" t="e">
        <f t="shared" si="1"/>
        <v>#NUM!</v>
      </c>
    </row>
    <row r="111" spans="5:6" x14ac:dyDescent="0.25">
      <c r="E111">
        <v>1100</v>
      </c>
      <c r="F111" t="e">
        <f t="shared" si="1"/>
        <v>#NUM!</v>
      </c>
    </row>
    <row r="112" spans="5:6" x14ac:dyDescent="0.25">
      <c r="E112">
        <v>1110</v>
      </c>
      <c r="F112" t="e">
        <f t="shared" si="1"/>
        <v>#NUM!</v>
      </c>
    </row>
    <row r="113" spans="5:6" x14ac:dyDescent="0.25">
      <c r="E113">
        <v>1120</v>
      </c>
      <c r="F113" t="e">
        <f t="shared" si="1"/>
        <v>#NUM!</v>
      </c>
    </row>
    <row r="114" spans="5:6" x14ac:dyDescent="0.25">
      <c r="E114">
        <v>1130</v>
      </c>
      <c r="F114" t="e">
        <f t="shared" si="1"/>
        <v>#NUM!</v>
      </c>
    </row>
    <row r="115" spans="5:6" x14ac:dyDescent="0.25">
      <c r="E115">
        <v>1140</v>
      </c>
      <c r="F115" t="e">
        <f t="shared" si="1"/>
        <v>#NUM!</v>
      </c>
    </row>
    <row r="116" spans="5:6" x14ac:dyDescent="0.25">
      <c r="E116">
        <v>1150</v>
      </c>
      <c r="F116" t="e">
        <f t="shared" si="1"/>
        <v>#NUM!</v>
      </c>
    </row>
    <row r="117" spans="5:6" x14ac:dyDescent="0.25">
      <c r="E117">
        <v>1160</v>
      </c>
      <c r="F117" t="e">
        <f t="shared" si="1"/>
        <v>#NUM!</v>
      </c>
    </row>
    <row r="118" spans="5:6" x14ac:dyDescent="0.25">
      <c r="E118">
        <v>1170</v>
      </c>
      <c r="F118" t="e">
        <f t="shared" si="1"/>
        <v>#NUM!</v>
      </c>
    </row>
    <row r="119" spans="5:6" x14ac:dyDescent="0.25">
      <c r="E119">
        <v>1180</v>
      </c>
      <c r="F119" t="e">
        <f t="shared" si="1"/>
        <v>#NUM!</v>
      </c>
    </row>
    <row r="120" spans="5:6" x14ac:dyDescent="0.25">
      <c r="E120">
        <v>1190</v>
      </c>
      <c r="F120" t="e">
        <f t="shared" si="1"/>
        <v>#NUM!</v>
      </c>
    </row>
    <row r="121" spans="5:6" x14ac:dyDescent="0.25">
      <c r="E121">
        <v>1200</v>
      </c>
      <c r="F121" t="e">
        <f t="shared" si="1"/>
        <v>#NUM!</v>
      </c>
    </row>
    <row r="122" spans="5:6" x14ac:dyDescent="0.25">
      <c r="E122">
        <v>1210</v>
      </c>
      <c r="F122" t="e">
        <f t="shared" si="1"/>
        <v>#NUM!</v>
      </c>
    </row>
    <row r="123" spans="5:6" x14ac:dyDescent="0.25">
      <c r="E123">
        <v>1220</v>
      </c>
      <c r="F123" t="e">
        <f t="shared" si="1"/>
        <v>#NUM!</v>
      </c>
    </row>
    <row r="124" spans="5:6" x14ac:dyDescent="0.25">
      <c r="E124">
        <v>1230</v>
      </c>
      <c r="F124" t="e">
        <f t="shared" si="1"/>
        <v>#NUM!</v>
      </c>
    </row>
    <row r="125" spans="5:6" x14ac:dyDescent="0.25">
      <c r="E125">
        <v>1240</v>
      </c>
      <c r="F125" t="e">
        <f t="shared" ref="F125:F134" si="2">LN(B125)</f>
        <v>#NUM!</v>
      </c>
    </row>
    <row r="126" spans="5:6" x14ac:dyDescent="0.25">
      <c r="E126">
        <v>1250</v>
      </c>
      <c r="F126" t="e">
        <f t="shared" si="2"/>
        <v>#NUM!</v>
      </c>
    </row>
    <row r="127" spans="5:6" x14ac:dyDescent="0.25">
      <c r="E127">
        <v>1260</v>
      </c>
      <c r="F127" t="e">
        <f t="shared" si="2"/>
        <v>#NUM!</v>
      </c>
    </row>
    <row r="128" spans="5:6" x14ac:dyDescent="0.25">
      <c r="E128">
        <v>1270</v>
      </c>
      <c r="F128" t="e">
        <f t="shared" si="2"/>
        <v>#NUM!</v>
      </c>
    </row>
    <row r="129" spans="5:6" x14ac:dyDescent="0.25">
      <c r="E129">
        <v>1280</v>
      </c>
      <c r="F129" t="e">
        <f t="shared" si="2"/>
        <v>#NUM!</v>
      </c>
    </row>
    <row r="130" spans="5:6" x14ac:dyDescent="0.25">
      <c r="E130">
        <v>1290</v>
      </c>
      <c r="F130" t="e">
        <f t="shared" si="2"/>
        <v>#NUM!</v>
      </c>
    </row>
    <row r="131" spans="5:6" x14ac:dyDescent="0.25">
      <c r="E131">
        <v>1300</v>
      </c>
      <c r="F131" t="e">
        <f t="shared" si="2"/>
        <v>#NUM!</v>
      </c>
    </row>
    <row r="132" spans="5:6" x14ac:dyDescent="0.25">
      <c r="E132">
        <v>1310</v>
      </c>
      <c r="F132" t="e">
        <f t="shared" si="2"/>
        <v>#NUM!</v>
      </c>
    </row>
    <row r="133" spans="5:6" x14ac:dyDescent="0.25">
      <c r="E133">
        <v>1320</v>
      </c>
      <c r="F133" t="e">
        <f t="shared" si="2"/>
        <v>#NUM!</v>
      </c>
    </row>
    <row r="134" spans="5:6" x14ac:dyDescent="0.25">
      <c r="E134">
        <v>1330</v>
      </c>
      <c r="F134" t="e">
        <f t="shared" si="2"/>
        <v>#NUM!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K193"/>
  <sheetViews>
    <sheetView zoomScaleNormal="100" workbookViewId="0">
      <selection sqref="A1:D1048576"/>
    </sheetView>
  </sheetViews>
  <sheetFormatPr baseColWidth="10" defaultRowHeight="15" x14ac:dyDescent="0.25"/>
  <cols>
    <col min="4" max="4" width="23" bestFit="1" customWidth="1"/>
    <col min="11" max="11" width="13.28515625" bestFit="1" customWidth="1"/>
    <col min="12" max="12" width="12.7109375" bestFit="1" customWidth="1"/>
    <col min="13" max="13" width="11.5703125" bestFit="1" customWidth="1"/>
    <col min="14" max="14" width="16.7109375" bestFit="1" customWidth="1"/>
  </cols>
  <sheetData>
    <row r="1" spans="5:11" x14ac:dyDescent="0.25">
      <c r="E1">
        <v>0</v>
      </c>
      <c r="F1" t="e">
        <f t="shared" ref="F1:F32" si="0">LN(B1)</f>
        <v>#NUM!</v>
      </c>
      <c r="I1" s="1" t="s">
        <v>0</v>
      </c>
      <c r="J1" s="1" t="s">
        <v>5</v>
      </c>
    </row>
    <row r="2" spans="5:11" x14ac:dyDescent="0.25">
      <c r="E2">
        <v>10</v>
      </c>
      <c r="F2" t="e">
        <f t="shared" si="0"/>
        <v>#NUM!</v>
      </c>
      <c r="H2" t="s">
        <v>1</v>
      </c>
      <c r="I2">
        <f>1/(0.00007)</f>
        <v>14285.714285714286</v>
      </c>
      <c r="J2">
        <f>1/(0.0001)</f>
        <v>10000</v>
      </c>
      <c r="K2" s="3" t="s">
        <v>2</v>
      </c>
    </row>
    <row r="3" spans="5:11" x14ac:dyDescent="0.25">
      <c r="E3">
        <v>20</v>
      </c>
      <c r="F3" t="e">
        <f t="shared" si="0"/>
        <v>#NUM!</v>
      </c>
      <c r="I3">
        <f>I2/60</f>
        <v>238.0952380952381</v>
      </c>
      <c r="J3">
        <f>J2/60</f>
        <v>166.66666666666666</v>
      </c>
      <c r="K3" s="3" t="s">
        <v>3</v>
      </c>
    </row>
    <row r="4" spans="5:11" x14ac:dyDescent="0.25">
      <c r="E4">
        <v>30</v>
      </c>
      <c r="F4" t="e">
        <f t="shared" si="0"/>
        <v>#NUM!</v>
      </c>
      <c r="I4">
        <f>I3/60</f>
        <v>3.9682539682539684</v>
      </c>
      <c r="J4">
        <f>J3/60</f>
        <v>2.7777777777777777</v>
      </c>
      <c r="K4" s="3" t="s">
        <v>4</v>
      </c>
    </row>
    <row r="5" spans="5:11" x14ac:dyDescent="0.25">
      <c r="E5">
        <v>40</v>
      </c>
      <c r="F5" t="e">
        <f t="shared" si="0"/>
        <v>#NUM!</v>
      </c>
    </row>
    <row r="6" spans="5:11" x14ac:dyDescent="0.25">
      <c r="E6">
        <v>50</v>
      </c>
      <c r="F6" t="e">
        <f t="shared" si="0"/>
        <v>#NUM!</v>
      </c>
    </row>
    <row r="7" spans="5:11" x14ac:dyDescent="0.25">
      <c r="E7">
        <v>60</v>
      </c>
      <c r="F7" t="e">
        <f t="shared" si="0"/>
        <v>#NUM!</v>
      </c>
    </row>
    <row r="8" spans="5:11" x14ac:dyDescent="0.25">
      <c r="E8">
        <v>70</v>
      </c>
      <c r="F8" t="e">
        <f t="shared" si="0"/>
        <v>#NUM!</v>
      </c>
    </row>
    <row r="9" spans="5:11" x14ac:dyDescent="0.25">
      <c r="E9">
        <v>80</v>
      </c>
      <c r="F9" t="e">
        <f t="shared" si="0"/>
        <v>#NUM!</v>
      </c>
    </row>
    <row r="10" spans="5:11" x14ac:dyDescent="0.25">
      <c r="E10">
        <v>90</v>
      </c>
      <c r="F10" t="e">
        <f t="shared" si="0"/>
        <v>#NUM!</v>
      </c>
    </row>
    <row r="11" spans="5:11" x14ac:dyDescent="0.25">
      <c r="E11">
        <v>100</v>
      </c>
      <c r="F11" t="e">
        <f t="shared" si="0"/>
        <v>#NUM!</v>
      </c>
    </row>
    <row r="12" spans="5:11" x14ac:dyDescent="0.25">
      <c r="E12">
        <v>110</v>
      </c>
      <c r="F12" t="e">
        <f t="shared" si="0"/>
        <v>#NUM!</v>
      </c>
    </row>
    <row r="13" spans="5:11" x14ac:dyDescent="0.25">
      <c r="E13">
        <v>120</v>
      </c>
      <c r="F13" t="e">
        <f t="shared" si="0"/>
        <v>#NUM!</v>
      </c>
    </row>
    <row r="14" spans="5:11" x14ac:dyDescent="0.25">
      <c r="E14">
        <v>130</v>
      </c>
      <c r="F14" t="e">
        <f t="shared" si="0"/>
        <v>#NUM!</v>
      </c>
    </row>
    <row r="15" spans="5:11" x14ac:dyDescent="0.25">
      <c r="E15">
        <v>140</v>
      </c>
      <c r="F15" t="e">
        <f t="shared" si="0"/>
        <v>#NUM!</v>
      </c>
    </row>
    <row r="16" spans="5:11" x14ac:dyDescent="0.25">
      <c r="E16">
        <v>150</v>
      </c>
      <c r="F16" t="e">
        <f t="shared" si="0"/>
        <v>#NUM!</v>
      </c>
    </row>
    <row r="17" spans="5:6" x14ac:dyDescent="0.25">
      <c r="E17">
        <v>160</v>
      </c>
      <c r="F17" t="e">
        <f t="shared" si="0"/>
        <v>#NUM!</v>
      </c>
    </row>
    <row r="18" spans="5:6" x14ac:dyDescent="0.25">
      <c r="E18">
        <v>170</v>
      </c>
      <c r="F18" t="e">
        <f t="shared" si="0"/>
        <v>#NUM!</v>
      </c>
    </row>
    <row r="19" spans="5:6" x14ac:dyDescent="0.25">
      <c r="E19">
        <v>180</v>
      </c>
      <c r="F19" t="e">
        <f t="shared" si="0"/>
        <v>#NUM!</v>
      </c>
    </row>
    <row r="20" spans="5:6" x14ac:dyDescent="0.25">
      <c r="E20">
        <v>190</v>
      </c>
      <c r="F20" t="e">
        <f t="shared" si="0"/>
        <v>#NUM!</v>
      </c>
    </row>
    <row r="21" spans="5:6" x14ac:dyDescent="0.25">
      <c r="E21">
        <v>200</v>
      </c>
      <c r="F21" t="e">
        <f t="shared" si="0"/>
        <v>#NUM!</v>
      </c>
    </row>
    <row r="22" spans="5:6" x14ac:dyDescent="0.25">
      <c r="E22">
        <v>210</v>
      </c>
      <c r="F22" t="e">
        <f t="shared" si="0"/>
        <v>#NUM!</v>
      </c>
    </row>
    <row r="23" spans="5:6" x14ac:dyDescent="0.25">
      <c r="E23">
        <v>220</v>
      </c>
      <c r="F23" t="e">
        <f t="shared" si="0"/>
        <v>#NUM!</v>
      </c>
    </row>
    <row r="24" spans="5:6" x14ac:dyDescent="0.25">
      <c r="E24">
        <v>230</v>
      </c>
      <c r="F24" t="e">
        <f t="shared" si="0"/>
        <v>#NUM!</v>
      </c>
    </row>
    <row r="25" spans="5:6" x14ac:dyDescent="0.25">
      <c r="E25">
        <v>240</v>
      </c>
      <c r="F25" t="e">
        <f t="shared" si="0"/>
        <v>#NUM!</v>
      </c>
    </row>
    <row r="26" spans="5:6" x14ac:dyDescent="0.25">
      <c r="E26">
        <v>250</v>
      </c>
      <c r="F26" t="e">
        <f t="shared" si="0"/>
        <v>#NUM!</v>
      </c>
    </row>
    <row r="27" spans="5:6" x14ac:dyDescent="0.25">
      <c r="E27">
        <v>260</v>
      </c>
      <c r="F27" t="e">
        <f t="shared" si="0"/>
        <v>#NUM!</v>
      </c>
    </row>
    <row r="28" spans="5:6" x14ac:dyDescent="0.25">
      <c r="E28">
        <v>270</v>
      </c>
      <c r="F28" t="e">
        <f t="shared" si="0"/>
        <v>#NUM!</v>
      </c>
    </row>
    <row r="29" spans="5:6" x14ac:dyDescent="0.25">
      <c r="E29">
        <v>280</v>
      </c>
      <c r="F29" t="e">
        <f t="shared" si="0"/>
        <v>#NUM!</v>
      </c>
    </row>
    <row r="30" spans="5:6" x14ac:dyDescent="0.25">
      <c r="E30">
        <v>290</v>
      </c>
      <c r="F30" t="e">
        <f t="shared" si="0"/>
        <v>#NUM!</v>
      </c>
    </row>
    <row r="31" spans="5:6" x14ac:dyDescent="0.25">
      <c r="E31">
        <v>300</v>
      </c>
      <c r="F31" t="e">
        <f t="shared" si="0"/>
        <v>#NUM!</v>
      </c>
    </row>
    <row r="32" spans="5:6" x14ac:dyDescent="0.25">
      <c r="E32">
        <v>310</v>
      </c>
      <c r="F32" t="e">
        <f t="shared" si="0"/>
        <v>#NUM!</v>
      </c>
    </row>
    <row r="33" spans="5:6" x14ac:dyDescent="0.25">
      <c r="E33">
        <v>320</v>
      </c>
      <c r="F33" t="e">
        <f t="shared" ref="F33:F64" si="1">LN(B33)</f>
        <v>#NUM!</v>
      </c>
    </row>
    <row r="34" spans="5:6" x14ac:dyDescent="0.25">
      <c r="E34">
        <v>330</v>
      </c>
      <c r="F34" t="e">
        <f t="shared" si="1"/>
        <v>#NUM!</v>
      </c>
    </row>
    <row r="35" spans="5:6" x14ac:dyDescent="0.25">
      <c r="E35">
        <v>340</v>
      </c>
      <c r="F35" t="e">
        <f t="shared" si="1"/>
        <v>#NUM!</v>
      </c>
    </row>
    <row r="36" spans="5:6" x14ac:dyDescent="0.25">
      <c r="E36">
        <v>350</v>
      </c>
      <c r="F36" t="e">
        <f t="shared" si="1"/>
        <v>#NUM!</v>
      </c>
    </row>
    <row r="37" spans="5:6" x14ac:dyDescent="0.25">
      <c r="E37">
        <v>360</v>
      </c>
      <c r="F37" t="e">
        <f t="shared" si="1"/>
        <v>#NUM!</v>
      </c>
    </row>
    <row r="38" spans="5:6" x14ac:dyDescent="0.25">
      <c r="E38">
        <v>370</v>
      </c>
      <c r="F38" t="e">
        <f t="shared" si="1"/>
        <v>#NUM!</v>
      </c>
    </row>
    <row r="39" spans="5:6" x14ac:dyDescent="0.25">
      <c r="E39">
        <v>380</v>
      </c>
      <c r="F39" t="e">
        <f t="shared" si="1"/>
        <v>#NUM!</v>
      </c>
    </row>
    <row r="40" spans="5:6" x14ac:dyDescent="0.25">
      <c r="E40">
        <v>390</v>
      </c>
      <c r="F40" t="e">
        <f t="shared" si="1"/>
        <v>#NUM!</v>
      </c>
    </row>
    <row r="41" spans="5:6" x14ac:dyDescent="0.25">
      <c r="E41">
        <v>400</v>
      </c>
      <c r="F41" t="e">
        <f t="shared" si="1"/>
        <v>#NUM!</v>
      </c>
    </row>
    <row r="42" spans="5:6" x14ac:dyDescent="0.25">
      <c r="E42">
        <v>410</v>
      </c>
      <c r="F42" t="e">
        <f t="shared" si="1"/>
        <v>#NUM!</v>
      </c>
    </row>
    <row r="43" spans="5:6" x14ac:dyDescent="0.25">
      <c r="E43">
        <v>420</v>
      </c>
      <c r="F43" t="e">
        <f t="shared" si="1"/>
        <v>#NUM!</v>
      </c>
    </row>
    <row r="44" spans="5:6" x14ac:dyDescent="0.25">
      <c r="E44">
        <v>430</v>
      </c>
      <c r="F44" t="e">
        <f t="shared" si="1"/>
        <v>#NUM!</v>
      </c>
    </row>
    <row r="45" spans="5:6" x14ac:dyDescent="0.25">
      <c r="E45">
        <v>440</v>
      </c>
      <c r="F45" t="e">
        <f t="shared" si="1"/>
        <v>#NUM!</v>
      </c>
    </row>
    <row r="46" spans="5:6" x14ac:dyDescent="0.25">
      <c r="E46">
        <v>450</v>
      </c>
      <c r="F46" t="e">
        <f t="shared" si="1"/>
        <v>#NUM!</v>
      </c>
    </row>
    <row r="47" spans="5:6" x14ac:dyDescent="0.25">
      <c r="E47">
        <v>460</v>
      </c>
      <c r="F47" t="e">
        <f t="shared" si="1"/>
        <v>#NUM!</v>
      </c>
    </row>
    <row r="48" spans="5:6" x14ac:dyDescent="0.25">
      <c r="E48">
        <v>470</v>
      </c>
      <c r="F48" t="e">
        <f t="shared" si="1"/>
        <v>#NUM!</v>
      </c>
    </row>
    <row r="49" spans="5:6" x14ac:dyDescent="0.25">
      <c r="E49">
        <v>480</v>
      </c>
      <c r="F49" t="e">
        <f t="shared" si="1"/>
        <v>#NUM!</v>
      </c>
    </row>
    <row r="50" spans="5:6" x14ac:dyDescent="0.25">
      <c r="E50">
        <v>490</v>
      </c>
      <c r="F50" t="e">
        <f t="shared" si="1"/>
        <v>#NUM!</v>
      </c>
    </row>
    <row r="51" spans="5:6" x14ac:dyDescent="0.25">
      <c r="E51">
        <v>500</v>
      </c>
      <c r="F51" t="e">
        <f t="shared" si="1"/>
        <v>#NUM!</v>
      </c>
    </row>
    <row r="52" spans="5:6" x14ac:dyDescent="0.25">
      <c r="E52">
        <v>510</v>
      </c>
      <c r="F52" t="e">
        <f t="shared" si="1"/>
        <v>#NUM!</v>
      </c>
    </row>
    <row r="53" spans="5:6" x14ac:dyDescent="0.25">
      <c r="E53">
        <v>520</v>
      </c>
      <c r="F53" t="e">
        <f t="shared" si="1"/>
        <v>#NUM!</v>
      </c>
    </row>
    <row r="54" spans="5:6" x14ac:dyDescent="0.25">
      <c r="E54">
        <v>530</v>
      </c>
      <c r="F54" t="e">
        <f t="shared" si="1"/>
        <v>#NUM!</v>
      </c>
    </row>
    <row r="55" spans="5:6" x14ac:dyDescent="0.25">
      <c r="E55">
        <v>540</v>
      </c>
      <c r="F55" t="e">
        <f t="shared" si="1"/>
        <v>#NUM!</v>
      </c>
    </row>
    <row r="56" spans="5:6" x14ac:dyDescent="0.25">
      <c r="E56">
        <v>550</v>
      </c>
      <c r="F56" t="e">
        <f t="shared" si="1"/>
        <v>#NUM!</v>
      </c>
    </row>
    <row r="57" spans="5:6" x14ac:dyDescent="0.25">
      <c r="E57">
        <v>560</v>
      </c>
      <c r="F57" t="e">
        <f t="shared" si="1"/>
        <v>#NUM!</v>
      </c>
    </row>
    <row r="58" spans="5:6" x14ac:dyDescent="0.25">
      <c r="E58">
        <v>570</v>
      </c>
      <c r="F58" t="e">
        <f t="shared" si="1"/>
        <v>#NUM!</v>
      </c>
    </row>
    <row r="59" spans="5:6" x14ac:dyDescent="0.25">
      <c r="E59">
        <v>580</v>
      </c>
      <c r="F59" t="e">
        <f t="shared" si="1"/>
        <v>#NUM!</v>
      </c>
    </row>
    <row r="60" spans="5:6" x14ac:dyDescent="0.25">
      <c r="E60">
        <v>590</v>
      </c>
      <c r="F60" t="e">
        <f t="shared" si="1"/>
        <v>#NUM!</v>
      </c>
    </row>
    <row r="61" spans="5:6" x14ac:dyDescent="0.25">
      <c r="E61">
        <v>600</v>
      </c>
      <c r="F61" t="e">
        <f t="shared" si="1"/>
        <v>#NUM!</v>
      </c>
    </row>
    <row r="62" spans="5:6" x14ac:dyDescent="0.25">
      <c r="E62">
        <v>610</v>
      </c>
      <c r="F62" t="e">
        <f t="shared" si="1"/>
        <v>#NUM!</v>
      </c>
    </row>
    <row r="63" spans="5:6" x14ac:dyDescent="0.25">
      <c r="E63">
        <v>620</v>
      </c>
      <c r="F63" t="e">
        <f t="shared" si="1"/>
        <v>#NUM!</v>
      </c>
    </row>
    <row r="64" spans="5:6" x14ac:dyDescent="0.25">
      <c r="E64">
        <v>630</v>
      </c>
      <c r="F64" t="e">
        <f t="shared" si="1"/>
        <v>#NUM!</v>
      </c>
    </row>
    <row r="65" spans="5:6" x14ac:dyDescent="0.25">
      <c r="E65">
        <v>640</v>
      </c>
      <c r="F65" t="e">
        <f t="shared" ref="F65:F96" si="2">LN(B65)</f>
        <v>#NUM!</v>
      </c>
    </row>
    <row r="66" spans="5:6" x14ac:dyDescent="0.25">
      <c r="E66">
        <v>650</v>
      </c>
      <c r="F66" t="e">
        <f t="shared" si="2"/>
        <v>#NUM!</v>
      </c>
    </row>
    <row r="67" spans="5:6" x14ac:dyDescent="0.25">
      <c r="E67">
        <v>660</v>
      </c>
      <c r="F67" t="e">
        <f t="shared" si="2"/>
        <v>#NUM!</v>
      </c>
    </row>
    <row r="68" spans="5:6" x14ac:dyDescent="0.25">
      <c r="E68">
        <v>670</v>
      </c>
      <c r="F68" t="e">
        <f t="shared" si="2"/>
        <v>#NUM!</v>
      </c>
    </row>
    <row r="69" spans="5:6" x14ac:dyDescent="0.25">
      <c r="E69">
        <v>680</v>
      </c>
      <c r="F69" t="e">
        <f t="shared" si="2"/>
        <v>#NUM!</v>
      </c>
    </row>
    <row r="70" spans="5:6" x14ac:dyDescent="0.25">
      <c r="E70">
        <v>690</v>
      </c>
      <c r="F70" t="e">
        <f t="shared" si="2"/>
        <v>#NUM!</v>
      </c>
    </row>
    <row r="71" spans="5:6" x14ac:dyDescent="0.25">
      <c r="E71">
        <v>700</v>
      </c>
      <c r="F71" t="e">
        <f t="shared" si="2"/>
        <v>#NUM!</v>
      </c>
    </row>
    <row r="72" spans="5:6" x14ac:dyDescent="0.25">
      <c r="E72">
        <v>710</v>
      </c>
      <c r="F72" t="e">
        <f t="shared" si="2"/>
        <v>#NUM!</v>
      </c>
    </row>
    <row r="73" spans="5:6" x14ac:dyDescent="0.25">
      <c r="E73">
        <v>720</v>
      </c>
      <c r="F73" t="e">
        <f t="shared" si="2"/>
        <v>#NUM!</v>
      </c>
    </row>
    <row r="74" spans="5:6" x14ac:dyDescent="0.25">
      <c r="E74">
        <v>730</v>
      </c>
      <c r="F74" t="e">
        <f t="shared" si="2"/>
        <v>#NUM!</v>
      </c>
    </row>
    <row r="75" spans="5:6" x14ac:dyDescent="0.25">
      <c r="E75">
        <v>740</v>
      </c>
      <c r="F75" t="e">
        <f t="shared" si="2"/>
        <v>#NUM!</v>
      </c>
    </row>
    <row r="76" spans="5:6" x14ac:dyDescent="0.25">
      <c r="E76">
        <v>750</v>
      </c>
      <c r="F76" t="e">
        <f t="shared" si="2"/>
        <v>#NUM!</v>
      </c>
    </row>
    <row r="77" spans="5:6" x14ac:dyDescent="0.25">
      <c r="E77">
        <v>760</v>
      </c>
      <c r="F77" t="e">
        <f t="shared" si="2"/>
        <v>#NUM!</v>
      </c>
    </row>
    <row r="78" spans="5:6" x14ac:dyDescent="0.25">
      <c r="E78">
        <v>770</v>
      </c>
      <c r="F78" t="e">
        <f t="shared" si="2"/>
        <v>#NUM!</v>
      </c>
    </row>
    <row r="79" spans="5:6" x14ac:dyDescent="0.25">
      <c r="E79">
        <v>780</v>
      </c>
      <c r="F79" t="e">
        <f t="shared" si="2"/>
        <v>#NUM!</v>
      </c>
    </row>
    <row r="80" spans="5:6" x14ac:dyDescent="0.25">
      <c r="E80">
        <v>790</v>
      </c>
      <c r="F80" t="e">
        <f t="shared" si="2"/>
        <v>#NUM!</v>
      </c>
    </row>
    <row r="81" spans="5:6" x14ac:dyDescent="0.25">
      <c r="E81">
        <v>800</v>
      </c>
      <c r="F81" t="e">
        <f t="shared" si="2"/>
        <v>#NUM!</v>
      </c>
    </row>
    <row r="82" spans="5:6" x14ac:dyDescent="0.25">
      <c r="E82">
        <v>810</v>
      </c>
      <c r="F82" t="e">
        <f t="shared" si="2"/>
        <v>#NUM!</v>
      </c>
    </row>
    <row r="83" spans="5:6" x14ac:dyDescent="0.25">
      <c r="E83">
        <v>820</v>
      </c>
      <c r="F83" t="e">
        <f t="shared" si="2"/>
        <v>#NUM!</v>
      </c>
    </row>
    <row r="84" spans="5:6" x14ac:dyDescent="0.25">
      <c r="E84">
        <v>830</v>
      </c>
      <c r="F84" t="e">
        <f t="shared" si="2"/>
        <v>#NUM!</v>
      </c>
    </row>
    <row r="85" spans="5:6" x14ac:dyDescent="0.25">
      <c r="E85">
        <v>840</v>
      </c>
      <c r="F85" t="e">
        <f t="shared" si="2"/>
        <v>#NUM!</v>
      </c>
    </row>
    <row r="86" spans="5:6" x14ac:dyDescent="0.25">
      <c r="E86">
        <v>850</v>
      </c>
      <c r="F86" t="e">
        <f t="shared" si="2"/>
        <v>#NUM!</v>
      </c>
    </row>
    <row r="87" spans="5:6" x14ac:dyDescent="0.25">
      <c r="E87">
        <v>860</v>
      </c>
      <c r="F87" t="e">
        <f t="shared" si="2"/>
        <v>#NUM!</v>
      </c>
    </row>
    <row r="88" spans="5:6" x14ac:dyDescent="0.25">
      <c r="E88">
        <v>870</v>
      </c>
      <c r="F88" t="e">
        <f t="shared" si="2"/>
        <v>#NUM!</v>
      </c>
    </row>
    <row r="89" spans="5:6" x14ac:dyDescent="0.25">
      <c r="E89">
        <v>880</v>
      </c>
      <c r="F89" t="e">
        <f t="shared" si="2"/>
        <v>#NUM!</v>
      </c>
    </row>
    <row r="90" spans="5:6" x14ac:dyDescent="0.25">
      <c r="E90">
        <v>890</v>
      </c>
      <c r="F90" t="e">
        <f t="shared" si="2"/>
        <v>#NUM!</v>
      </c>
    </row>
    <row r="91" spans="5:6" x14ac:dyDescent="0.25">
      <c r="E91">
        <v>900</v>
      </c>
      <c r="F91" t="e">
        <f t="shared" si="2"/>
        <v>#NUM!</v>
      </c>
    </row>
    <row r="92" spans="5:6" x14ac:dyDescent="0.25">
      <c r="E92">
        <v>910</v>
      </c>
      <c r="F92" t="e">
        <f t="shared" si="2"/>
        <v>#NUM!</v>
      </c>
    </row>
    <row r="93" spans="5:6" x14ac:dyDescent="0.25">
      <c r="E93">
        <v>920</v>
      </c>
      <c r="F93" t="e">
        <f t="shared" si="2"/>
        <v>#NUM!</v>
      </c>
    </row>
    <row r="94" spans="5:6" x14ac:dyDescent="0.25">
      <c r="E94">
        <v>930</v>
      </c>
      <c r="F94" t="e">
        <f t="shared" si="2"/>
        <v>#NUM!</v>
      </c>
    </row>
    <row r="95" spans="5:6" x14ac:dyDescent="0.25">
      <c r="E95">
        <v>940</v>
      </c>
      <c r="F95" t="e">
        <f t="shared" si="2"/>
        <v>#NUM!</v>
      </c>
    </row>
    <row r="96" spans="5:6" x14ac:dyDescent="0.25">
      <c r="E96">
        <v>950</v>
      </c>
      <c r="F96" t="e">
        <f t="shared" si="2"/>
        <v>#NUM!</v>
      </c>
    </row>
    <row r="97" spans="5:6" x14ac:dyDescent="0.25">
      <c r="E97">
        <v>960</v>
      </c>
      <c r="F97" t="e">
        <f t="shared" ref="F97:F128" si="3">LN(B97)</f>
        <v>#NUM!</v>
      </c>
    </row>
    <row r="98" spans="5:6" x14ac:dyDescent="0.25">
      <c r="E98">
        <v>970</v>
      </c>
      <c r="F98" t="e">
        <f t="shared" si="3"/>
        <v>#NUM!</v>
      </c>
    </row>
    <row r="99" spans="5:6" x14ac:dyDescent="0.25">
      <c r="E99">
        <v>980</v>
      </c>
      <c r="F99" t="e">
        <f t="shared" si="3"/>
        <v>#NUM!</v>
      </c>
    </row>
    <row r="100" spans="5:6" x14ac:dyDescent="0.25">
      <c r="E100">
        <v>990</v>
      </c>
      <c r="F100" t="e">
        <f t="shared" si="3"/>
        <v>#NUM!</v>
      </c>
    </row>
    <row r="101" spans="5:6" x14ac:dyDescent="0.25">
      <c r="E101">
        <v>1000</v>
      </c>
      <c r="F101" t="e">
        <f t="shared" si="3"/>
        <v>#NUM!</v>
      </c>
    </row>
    <row r="102" spans="5:6" x14ac:dyDescent="0.25">
      <c r="E102">
        <v>1010</v>
      </c>
      <c r="F102" t="e">
        <f t="shared" si="3"/>
        <v>#NUM!</v>
      </c>
    </row>
    <row r="103" spans="5:6" x14ac:dyDescent="0.25">
      <c r="E103">
        <v>1020</v>
      </c>
      <c r="F103" t="e">
        <f t="shared" si="3"/>
        <v>#NUM!</v>
      </c>
    </row>
    <row r="104" spans="5:6" x14ac:dyDescent="0.25">
      <c r="E104">
        <v>1030</v>
      </c>
      <c r="F104" t="e">
        <f t="shared" si="3"/>
        <v>#NUM!</v>
      </c>
    </row>
    <row r="105" spans="5:6" x14ac:dyDescent="0.25">
      <c r="E105">
        <v>1040</v>
      </c>
      <c r="F105" t="e">
        <f t="shared" si="3"/>
        <v>#NUM!</v>
      </c>
    </row>
    <row r="106" spans="5:6" x14ac:dyDescent="0.25">
      <c r="E106">
        <v>1050</v>
      </c>
      <c r="F106" t="e">
        <f t="shared" si="3"/>
        <v>#NUM!</v>
      </c>
    </row>
    <row r="107" spans="5:6" x14ac:dyDescent="0.25">
      <c r="E107">
        <v>1060</v>
      </c>
      <c r="F107" t="e">
        <f t="shared" si="3"/>
        <v>#NUM!</v>
      </c>
    </row>
    <row r="108" spans="5:6" x14ac:dyDescent="0.25">
      <c r="E108">
        <v>1070</v>
      </c>
      <c r="F108" t="e">
        <f t="shared" si="3"/>
        <v>#NUM!</v>
      </c>
    </row>
    <row r="109" spans="5:6" x14ac:dyDescent="0.25">
      <c r="E109">
        <v>1080</v>
      </c>
      <c r="F109" t="e">
        <f t="shared" si="3"/>
        <v>#NUM!</v>
      </c>
    </row>
    <row r="110" spans="5:6" x14ac:dyDescent="0.25">
      <c r="E110">
        <v>1090</v>
      </c>
      <c r="F110" t="e">
        <f t="shared" si="3"/>
        <v>#NUM!</v>
      </c>
    </row>
    <row r="111" spans="5:6" x14ac:dyDescent="0.25">
      <c r="E111">
        <v>1100</v>
      </c>
      <c r="F111" t="e">
        <f t="shared" si="3"/>
        <v>#NUM!</v>
      </c>
    </row>
    <row r="112" spans="5:6" x14ac:dyDescent="0.25">
      <c r="E112">
        <v>1110</v>
      </c>
      <c r="F112" t="e">
        <f t="shared" si="3"/>
        <v>#NUM!</v>
      </c>
    </row>
    <row r="113" spans="5:6" x14ac:dyDescent="0.25">
      <c r="E113">
        <v>1120</v>
      </c>
      <c r="F113" t="e">
        <f t="shared" si="3"/>
        <v>#NUM!</v>
      </c>
    </row>
    <row r="114" spans="5:6" x14ac:dyDescent="0.25">
      <c r="E114">
        <v>1130</v>
      </c>
      <c r="F114" t="e">
        <f t="shared" si="3"/>
        <v>#NUM!</v>
      </c>
    </row>
    <row r="115" spans="5:6" x14ac:dyDescent="0.25">
      <c r="E115">
        <v>1140</v>
      </c>
      <c r="F115" t="e">
        <f t="shared" si="3"/>
        <v>#NUM!</v>
      </c>
    </row>
    <row r="116" spans="5:6" x14ac:dyDescent="0.25">
      <c r="E116">
        <v>1150</v>
      </c>
      <c r="F116" t="e">
        <f t="shared" si="3"/>
        <v>#NUM!</v>
      </c>
    </row>
    <row r="117" spans="5:6" x14ac:dyDescent="0.25">
      <c r="E117">
        <v>1160</v>
      </c>
      <c r="F117" t="e">
        <f t="shared" si="3"/>
        <v>#NUM!</v>
      </c>
    </row>
    <row r="118" spans="5:6" x14ac:dyDescent="0.25">
      <c r="E118">
        <v>1170</v>
      </c>
      <c r="F118" t="e">
        <f t="shared" si="3"/>
        <v>#NUM!</v>
      </c>
    </row>
    <row r="119" spans="5:6" x14ac:dyDescent="0.25">
      <c r="E119">
        <v>1180</v>
      </c>
      <c r="F119" t="e">
        <f t="shared" si="3"/>
        <v>#NUM!</v>
      </c>
    </row>
    <row r="120" spans="5:6" x14ac:dyDescent="0.25">
      <c r="E120">
        <v>1190</v>
      </c>
      <c r="F120" t="e">
        <f t="shared" si="3"/>
        <v>#NUM!</v>
      </c>
    </row>
    <row r="121" spans="5:6" x14ac:dyDescent="0.25">
      <c r="E121">
        <v>1200</v>
      </c>
      <c r="F121" t="e">
        <f t="shared" si="3"/>
        <v>#NUM!</v>
      </c>
    </row>
    <row r="122" spans="5:6" x14ac:dyDescent="0.25">
      <c r="E122">
        <v>1210</v>
      </c>
      <c r="F122" t="e">
        <f t="shared" si="3"/>
        <v>#NUM!</v>
      </c>
    </row>
    <row r="123" spans="5:6" x14ac:dyDescent="0.25">
      <c r="E123">
        <v>1220</v>
      </c>
      <c r="F123" t="e">
        <f t="shared" si="3"/>
        <v>#NUM!</v>
      </c>
    </row>
    <row r="124" spans="5:6" x14ac:dyDescent="0.25">
      <c r="E124">
        <v>1230</v>
      </c>
      <c r="F124" t="e">
        <f t="shared" si="3"/>
        <v>#NUM!</v>
      </c>
    </row>
    <row r="125" spans="5:6" x14ac:dyDescent="0.25">
      <c r="E125">
        <v>1240</v>
      </c>
      <c r="F125" t="e">
        <f t="shared" si="3"/>
        <v>#NUM!</v>
      </c>
    </row>
    <row r="126" spans="5:6" x14ac:dyDescent="0.25">
      <c r="E126">
        <v>1250</v>
      </c>
      <c r="F126" t="e">
        <f t="shared" si="3"/>
        <v>#NUM!</v>
      </c>
    </row>
    <row r="127" spans="5:6" x14ac:dyDescent="0.25">
      <c r="E127">
        <v>1260</v>
      </c>
      <c r="F127" t="e">
        <f t="shared" si="3"/>
        <v>#NUM!</v>
      </c>
    </row>
    <row r="128" spans="5:6" x14ac:dyDescent="0.25">
      <c r="E128">
        <v>1270</v>
      </c>
      <c r="F128" t="e">
        <f t="shared" si="3"/>
        <v>#NUM!</v>
      </c>
    </row>
    <row r="129" spans="5:6" x14ac:dyDescent="0.25">
      <c r="E129">
        <v>1280</v>
      </c>
      <c r="F129" t="e">
        <f t="shared" ref="F129:F160" si="4">LN(B129)</f>
        <v>#NUM!</v>
      </c>
    </row>
    <row r="130" spans="5:6" x14ac:dyDescent="0.25">
      <c r="E130">
        <v>1290</v>
      </c>
      <c r="F130" t="e">
        <f t="shared" si="4"/>
        <v>#NUM!</v>
      </c>
    </row>
    <row r="131" spans="5:6" x14ac:dyDescent="0.25">
      <c r="E131">
        <v>1300</v>
      </c>
      <c r="F131" t="e">
        <f t="shared" si="4"/>
        <v>#NUM!</v>
      </c>
    </row>
    <row r="132" spans="5:6" x14ac:dyDescent="0.25">
      <c r="E132">
        <v>1310</v>
      </c>
      <c r="F132" t="e">
        <f t="shared" si="4"/>
        <v>#NUM!</v>
      </c>
    </row>
    <row r="133" spans="5:6" x14ac:dyDescent="0.25">
      <c r="E133">
        <v>1320</v>
      </c>
      <c r="F133" t="e">
        <f t="shared" si="4"/>
        <v>#NUM!</v>
      </c>
    </row>
    <row r="134" spans="5:6" x14ac:dyDescent="0.25">
      <c r="E134">
        <v>1330</v>
      </c>
      <c r="F134" t="e">
        <f t="shared" si="4"/>
        <v>#NUM!</v>
      </c>
    </row>
    <row r="135" spans="5:6" x14ac:dyDescent="0.25">
      <c r="E135">
        <v>1340</v>
      </c>
      <c r="F135" t="e">
        <f t="shared" si="4"/>
        <v>#NUM!</v>
      </c>
    </row>
    <row r="136" spans="5:6" x14ac:dyDescent="0.25">
      <c r="E136">
        <v>1350</v>
      </c>
      <c r="F136" t="e">
        <f t="shared" si="4"/>
        <v>#NUM!</v>
      </c>
    </row>
    <row r="137" spans="5:6" x14ac:dyDescent="0.25">
      <c r="E137">
        <v>1360</v>
      </c>
      <c r="F137" t="e">
        <f t="shared" si="4"/>
        <v>#NUM!</v>
      </c>
    </row>
    <row r="138" spans="5:6" x14ac:dyDescent="0.25">
      <c r="E138">
        <v>1370</v>
      </c>
      <c r="F138" t="e">
        <f t="shared" si="4"/>
        <v>#NUM!</v>
      </c>
    </row>
    <row r="139" spans="5:6" x14ac:dyDescent="0.25">
      <c r="E139">
        <v>1380</v>
      </c>
      <c r="F139" t="e">
        <f t="shared" si="4"/>
        <v>#NUM!</v>
      </c>
    </row>
    <row r="140" spans="5:6" x14ac:dyDescent="0.25">
      <c r="E140">
        <v>1390</v>
      </c>
      <c r="F140" t="e">
        <f t="shared" si="4"/>
        <v>#NUM!</v>
      </c>
    </row>
    <row r="141" spans="5:6" x14ac:dyDescent="0.25">
      <c r="E141">
        <v>1400</v>
      </c>
      <c r="F141" t="e">
        <f t="shared" si="4"/>
        <v>#NUM!</v>
      </c>
    </row>
    <row r="142" spans="5:6" x14ac:dyDescent="0.25">
      <c r="E142">
        <v>1410</v>
      </c>
      <c r="F142" t="e">
        <f t="shared" si="4"/>
        <v>#NUM!</v>
      </c>
    </row>
    <row r="143" spans="5:6" x14ac:dyDescent="0.25">
      <c r="E143">
        <v>1420</v>
      </c>
      <c r="F143" t="e">
        <f t="shared" si="4"/>
        <v>#NUM!</v>
      </c>
    </row>
    <row r="144" spans="5:6" x14ac:dyDescent="0.25">
      <c r="E144">
        <v>1430</v>
      </c>
      <c r="F144" t="e">
        <f t="shared" si="4"/>
        <v>#NUM!</v>
      </c>
    </row>
    <row r="145" spans="5:6" x14ac:dyDescent="0.25">
      <c r="E145">
        <v>1440</v>
      </c>
      <c r="F145" t="e">
        <f t="shared" si="4"/>
        <v>#NUM!</v>
      </c>
    </row>
    <row r="146" spans="5:6" x14ac:dyDescent="0.25">
      <c r="E146">
        <v>1450</v>
      </c>
      <c r="F146" t="e">
        <f t="shared" si="4"/>
        <v>#NUM!</v>
      </c>
    </row>
    <row r="147" spans="5:6" x14ac:dyDescent="0.25">
      <c r="E147">
        <v>1460</v>
      </c>
      <c r="F147" t="e">
        <f t="shared" si="4"/>
        <v>#NUM!</v>
      </c>
    </row>
    <row r="148" spans="5:6" x14ac:dyDescent="0.25">
      <c r="E148">
        <v>1470</v>
      </c>
      <c r="F148" t="e">
        <f t="shared" si="4"/>
        <v>#NUM!</v>
      </c>
    </row>
    <row r="149" spans="5:6" x14ac:dyDescent="0.25">
      <c r="E149">
        <v>1480</v>
      </c>
      <c r="F149" t="e">
        <f t="shared" si="4"/>
        <v>#NUM!</v>
      </c>
    </row>
    <row r="150" spans="5:6" x14ac:dyDescent="0.25">
      <c r="E150">
        <v>1490</v>
      </c>
      <c r="F150" t="e">
        <f t="shared" si="4"/>
        <v>#NUM!</v>
      </c>
    </row>
    <row r="151" spans="5:6" x14ac:dyDescent="0.25">
      <c r="E151">
        <v>1500</v>
      </c>
      <c r="F151" t="e">
        <f t="shared" si="4"/>
        <v>#NUM!</v>
      </c>
    </row>
    <row r="152" spans="5:6" x14ac:dyDescent="0.25">
      <c r="E152">
        <v>1510</v>
      </c>
      <c r="F152" t="e">
        <f t="shared" si="4"/>
        <v>#NUM!</v>
      </c>
    </row>
    <row r="153" spans="5:6" x14ac:dyDescent="0.25">
      <c r="E153">
        <v>1520</v>
      </c>
      <c r="F153" t="e">
        <f t="shared" si="4"/>
        <v>#NUM!</v>
      </c>
    </row>
    <row r="154" spans="5:6" x14ac:dyDescent="0.25">
      <c r="E154">
        <v>1530</v>
      </c>
      <c r="F154" t="e">
        <f t="shared" si="4"/>
        <v>#NUM!</v>
      </c>
    </row>
    <row r="155" spans="5:6" x14ac:dyDescent="0.25">
      <c r="E155">
        <v>1540</v>
      </c>
      <c r="F155" t="e">
        <f t="shared" si="4"/>
        <v>#NUM!</v>
      </c>
    </row>
    <row r="156" spans="5:6" x14ac:dyDescent="0.25">
      <c r="E156">
        <v>1550</v>
      </c>
      <c r="F156" t="e">
        <f t="shared" si="4"/>
        <v>#NUM!</v>
      </c>
    </row>
    <row r="157" spans="5:6" x14ac:dyDescent="0.25">
      <c r="E157">
        <v>1560</v>
      </c>
      <c r="F157" t="e">
        <f t="shared" si="4"/>
        <v>#NUM!</v>
      </c>
    </row>
    <row r="158" spans="5:6" x14ac:dyDescent="0.25">
      <c r="E158">
        <v>1570</v>
      </c>
      <c r="F158" t="e">
        <f t="shared" si="4"/>
        <v>#NUM!</v>
      </c>
    </row>
    <row r="159" spans="5:6" x14ac:dyDescent="0.25">
      <c r="E159">
        <v>1580</v>
      </c>
      <c r="F159" t="e">
        <f t="shared" si="4"/>
        <v>#NUM!</v>
      </c>
    </row>
    <row r="160" spans="5:6" x14ac:dyDescent="0.25">
      <c r="E160">
        <v>1590</v>
      </c>
      <c r="F160" t="e">
        <f t="shared" si="4"/>
        <v>#NUM!</v>
      </c>
    </row>
    <row r="161" spans="5:6" x14ac:dyDescent="0.25">
      <c r="E161">
        <v>1600</v>
      </c>
      <c r="F161" t="e">
        <f t="shared" ref="F161:F193" si="5">LN(B161)</f>
        <v>#NUM!</v>
      </c>
    </row>
    <row r="162" spans="5:6" x14ac:dyDescent="0.25">
      <c r="E162">
        <v>1610</v>
      </c>
      <c r="F162" t="e">
        <f t="shared" si="5"/>
        <v>#NUM!</v>
      </c>
    </row>
    <row r="163" spans="5:6" x14ac:dyDescent="0.25">
      <c r="E163">
        <v>1620</v>
      </c>
      <c r="F163" t="e">
        <f t="shared" si="5"/>
        <v>#NUM!</v>
      </c>
    </row>
    <row r="164" spans="5:6" x14ac:dyDescent="0.25">
      <c r="E164">
        <v>1630</v>
      </c>
      <c r="F164" t="e">
        <f t="shared" si="5"/>
        <v>#NUM!</v>
      </c>
    </row>
    <row r="165" spans="5:6" x14ac:dyDescent="0.25">
      <c r="E165">
        <v>1640</v>
      </c>
      <c r="F165" t="e">
        <f t="shared" si="5"/>
        <v>#NUM!</v>
      </c>
    </row>
    <row r="166" spans="5:6" x14ac:dyDescent="0.25">
      <c r="E166">
        <v>1650</v>
      </c>
      <c r="F166" t="e">
        <f t="shared" si="5"/>
        <v>#NUM!</v>
      </c>
    </row>
    <row r="167" spans="5:6" x14ac:dyDescent="0.25">
      <c r="E167">
        <v>1660</v>
      </c>
      <c r="F167" t="e">
        <f t="shared" si="5"/>
        <v>#NUM!</v>
      </c>
    </row>
    <row r="168" spans="5:6" x14ac:dyDescent="0.25">
      <c r="E168">
        <v>1670</v>
      </c>
      <c r="F168" t="e">
        <f t="shared" si="5"/>
        <v>#NUM!</v>
      </c>
    </row>
    <row r="169" spans="5:6" x14ac:dyDescent="0.25">
      <c r="E169">
        <v>1680</v>
      </c>
      <c r="F169" t="e">
        <f t="shared" si="5"/>
        <v>#NUM!</v>
      </c>
    </row>
    <row r="170" spans="5:6" x14ac:dyDescent="0.25">
      <c r="E170">
        <v>1690</v>
      </c>
      <c r="F170" t="e">
        <f t="shared" si="5"/>
        <v>#NUM!</v>
      </c>
    </row>
    <row r="171" spans="5:6" x14ac:dyDescent="0.25">
      <c r="E171">
        <v>1700</v>
      </c>
      <c r="F171" t="e">
        <f t="shared" si="5"/>
        <v>#NUM!</v>
      </c>
    </row>
    <row r="172" spans="5:6" x14ac:dyDescent="0.25">
      <c r="E172">
        <v>1710</v>
      </c>
      <c r="F172" t="e">
        <f t="shared" si="5"/>
        <v>#NUM!</v>
      </c>
    </row>
    <row r="173" spans="5:6" x14ac:dyDescent="0.25">
      <c r="E173">
        <v>1720</v>
      </c>
      <c r="F173" t="e">
        <f t="shared" si="5"/>
        <v>#NUM!</v>
      </c>
    </row>
    <row r="174" spans="5:6" x14ac:dyDescent="0.25">
      <c r="E174">
        <v>1730</v>
      </c>
      <c r="F174" t="e">
        <f t="shared" si="5"/>
        <v>#NUM!</v>
      </c>
    </row>
    <row r="175" spans="5:6" x14ac:dyDescent="0.25">
      <c r="E175">
        <v>1740</v>
      </c>
      <c r="F175" t="e">
        <f t="shared" si="5"/>
        <v>#NUM!</v>
      </c>
    </row>
    <row r="176" spans="5:6" x14ac:dyDescent="0.25">
      <c r="E176">
        <v>1750</v>
      </c>
      <c r="F176" t="e">
        <f t="shared" si="5"/>
        <v>#NUM!</v>
      </c>
    </row>
    <row r="177" spans="5:6" x14ac:dyDescent="0.25">
      <c r="E177">
        <v>1760</v>
      </c>
      <c r="F177" t="e">
        <f t="shared" si="5"/>
        <v>#NUM!</v>
      </c>
    </row>
    <row r="178" spans="5:6" x14ac:dyDescent="0.25">
      <c r="E178">
        <v>1770</v>
      </c>
      <c r="F178" t="e">
        <f t="shared" si="5"/>
        <v>#NUM!</v>
      </c>
    </row>
    <row r="179" spans="5:6" x14ac:dyDescent="0.25">
      <c r="E179">
        <v>1780</v>
      </c>
      <c r="F179" t="e">
        <f t="shared" si="5"/>
        <v>#NUM!</v>
      </c>
    </row>
    <row r="180" spans="5:6" x14ac:dyDescent="0.25">
      <c r="E180">
        <v>1790</v>
      </c>
      <c r="F180" t="e">
        <f t="shared" si="5"/>
        <v>#NUM!</v>
      </c>
    </row>
    <row r="181" spans="5:6" x14ac:dyDescent="0.25">
      <c r="E181">
        <v>1800</v>
      </c>
      <c r="F181" t="e">
        <f t="shared" si="5"/>
        <v>#NUM!</v>
      </c>
    </row>
    <row r="182" spans="5:6" x14ac:dyDescent="0.25">
      <c r="E182">
        <v>1810</v>
      </c>
      <c r="F182" t="e">
        <f t="shared" si="5"/>
        <v>#NUM!</v>
      </c>
    </row>
    <row r="183" spans="5:6" x14ac:dyDescent="0.25">
      <c r="E183">
        <v>1820</v>
      </c>
      <c r="F183" t="e">
        <f t="shared" si="5"/>
        <v>#NUM!</v>
      </c>
    </row>
    <row r="184" spans="5:6" x14ac:dyDescent="0.25">
      <c r="E184">
        <v>1830</v>
      </c>
      <c r="F184" t="e">
        <f t="shared" si="5"/>
        <v>#NUM!</v>
      </c>
    </row>
    <row r="185" spans="5:6" x14ac:dyDescent="0.25">
      <c r="E185">
        <v>1840</v>
      </c>
      <c r="F185" t="e">
        <f t="shared" si="5"/>
        <v>#NUM!</v>
      </c>
    </row>
    <row r="186" spans="5:6" x14ac:dyDescent="0.25">
      <c r="E186">
        <v>1850</v>
      </c>
      <c r="F186" t="e">
        <f t="shared" si="5"/>
        <v>#NUM!</v>
      </c>
    </row>
    <row r="187" spans="5:6" x14ac:dyDescent="0.25">
      <c r="E187">
        <v>1860</v>
      </c>
      <c r="F187" t="e">
        <f t="shared" si="5"/>
        <v>#NUM!</v>
      </c>
    </row>
    <row r="188" spans="5:6" x14ac:dyDescent="0.25">
      <c r="E188">
        <v>1870</v>
      </c>
      <c r="F188" t="e">
        <f t="shared" si="5"/>
        <v>#NUM!</v>
      </c>
    </row>
    <row r="189" spans="5:6" x14ac:dyDescent="0.25">
      <c r="E189">
        <v>1880</v>
      </c>
      <c r="F189" t="e">
        <f t="shared" si="5"/>
        <v>#NUM!</v>
      </c>
    </row>
    <row r="190" spans="5:6" x14ac:dyDescent="0.25">
      <c r="E190">
        <v>1890</v>
      </c>
      <c r="F190" t="e">
        <f t="shared" si="5"/>
        <v>#NUM!</v>
      </c>
    </row>
    <row r="191" spans="5:6" x14ac:dyDescent="0.25">
      <c r="E191">
        <v>1900</v>
      </c>
      <c r="F191" t="e">
        <f t="shared" si="5"/>
        <v>#NUM!</v>
      </c>
    </row>
    <row r="192" spans="5:6" x14ac:dyDescent="0.25">
      <c r="E192">
        <v>1910</v>
      </c>
      <c r="F192" t="e">
        <f t="shared" si="5"/>
        <v>#NUM!</v>
      </c>
    </row>
    <row r="193" spans="5:6" x14ac:dyDescent="0.25">
      <c r="E193">
        <v>1920</v>
      </c>
      <c r="F193" t="e">
        <f t="shared" si="5"/>
        <v>#NUM!</v>
      </c>
    </row>
  </sheetData>
  <sortState ref="A1:H193">
    <sortCondition ref="F1:F193"/>
  </sortState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L195"/>
  <sheetViews>
    <sheetView zoomScale="85" zoomScaleNormal="85" workbookViewId="0">
      <selection activeCell="V18" sqref="V18"/>
    </sheetView>
  </sheetViews>
  <sheetFormatPr baseColWidth="10" defaultRowHeight="15" x14ac:dyDescent="0.25"/>
  <cols>
    <col min="4" max="4" width="23" bestFit="1" customWidth="1"/>
    <col min="9" max="9" width="9.5703125" bestFit="1" customWidth="1"/>
    <col min="10" max="10" width="9.140625" customWidth="1"/>
    <col min="11" max="11" width="11.5703125" bestFit="1" customWidth="1"/>
    <col min="12" max="12" width="11.7109375" bestFit="1" customWidth="1"/>
  </cols>
  <sheetData>
    <row r="1" spans="5:12" x14ac:dyDescent="0.25">
      <c r="E1">
        <v>0</v>
      </c>
      <c r="F1" t="e">
        <f>LN(B1)</f>
        <v>#NUM!</v>
      </c>
      <c r="I1" s="1" t="s">
        <v>0</v>
      </c>
      <c r="J1" s="1" t="s">
        <v>5</v>
      </c>
      <c r="L1" s="2"/>
    </row>
    <row r="2" spans="5:12" x14ac:dyDescent="0.25">
      <c r="E2">
        <v>10</v>
      </c>
      <c r="F2" t="e">
        <f t="shared" ref="F2:F65" si="0">LN(B2)</f>
        <v>#NUM!</v>
      </c>
      <c r="H2" t="s">
        <v>1</v>
      </c>
      <c r="I2">
        <f>1/(0.000005)</f>
        <v>199999.99999999997</v>
      </c>
      <c r="J2">
        <f>1/(0.00003)</f>
        <v>33333.333333333336</v>
      </c>
      <c r="K2" s="3" t="s">
        <v>2</v>
      </c>
      <c r="L2" s="2"/>
    </row>
    <row r="3" spans="5:12" x14ac:dyDescent="0.25">
      <c r="E3">
        <v>20</v>
      </c>
      <c r="F3" t="e">
        <f t="shared" si="0"/>
        <v>#NUM!</v>
      </c>
      <c r="I3">
        <f>I2/60</f>
        <v>3333.333333333333</v>
      </c>
      <c r="J3">
        <f>J2/60</f>
        <v>555.55555555555554</v>
      </c>
      <c r="K3" s="3" t="s">
        <v>3</v>
      </c>
    </row>
    <row r="4" spans="5:12" x14ac:dyDescent="0.25">
      <c r="E4">
        <v>30</v>
      </c>
      <c r="F4" t="e">
        <f t="shared" si="0"/>
        <v>#NUM!</v>
      </c>
      <c r="I4">
        <f>I3/60</f>
        <v>55.55555555555555</v>
      </c>
      <c r="J4">
        <f>J3/60</f>
        <v>9.2592592592592595</v>
      </c>
      <c r="K4" s="3" t="s">
        <v>4</v>
      </c>
    </row>
    <row r="5" spans="5:12" x14ac:dyDescent="0.25">
      <c r="E5">
        <v>40</v>
      </c>
      <c r="F5" t="e">
        <f t="shared" si="0"/>
        <v>#NUM!</v>
      </c>
    </row>
    <row r="6" spans="5:12" x14ac:dyDescent="0.25">
      <c r="E6">
        <v>50</v>
      </c>
      <c r="F6" t="e">
        <f t="shared" si="0"/>
        <v>#NUM!</v>
      </c>
    </row>
    <row r="7" spans="5:12" x14ac:dyDescent="0.25">
      <c r="E7">
        <v>60</v>
      </c>
      <c r="F7" t="e">
        <f t="shared" si="0"/>
        <v>#NUM!</v>
      </c>
    </row>
    <row r="8" spans="5:12" x14ac:dyDescent="0.25">
      <c r="E8">
        <v>70</v>
      </c>
      <c r="F8" t="e">
        <f t="shared" si="0"/>
        <v>#NUM!</v>
      </c>
    </row>
    <row r="9" spans="5:12" x14ac:dyDescent="0.25">
      <c r="E9">
        <v>80</v>
      </c>
      <c r="F9" t="e">
        <f t="shared" si="0"/>
        <v>#NUM!</v>
      </c>
    </row>
    <row r="10" spans="5:12" x14ac:dyDescent="0.25">
      <c r="E10">
        <v>90</v>
      </c>
      <c r="F10" t="e">
        <f t="shared" si="0"/>
        <v>#NUM!</v>
      </c>
    </row>
    <row r="11" spans="5:12" x14ac:dyDescent="0.25">
      <c r="E11">
        <v>100</v>
      </c>
      <c r="F11" t="e">
        <f t="shared" si="0"/>
        <v>#NUM!</v>
      </c>
    </row>
    <row r="12" spans="5:12" x14ac:dyDescent="0.25">
      <c r="E12">
        <v>110</v>
      </c>
      <c r="F12" t="e">
        <f t="shared" si="0"/>
        <v>#NUM!</v>
      </c>
    </row>
    <row r="13" spans="5:12" x14ac:dyDescent="0.25">
      <c r="E13">
        <v>120</v>
      </c>
      <c r="F13" t="e">
        <f t="shared" si="0"/>
        <v>#NUM!</v>
      </c>
    </row>
    <row r="14" spans="5:12" x14ac:dyDescent="0.25">
      <c r="E14">
        <v>130</v>
      </c>
      <c r="F14" t="e">
        <f t="shared" si="0"/>
        <v>#NUM!</v>
      </c>
    </row>
    <row r="15" spans="5:12" x14ac:dyDescent="0.25">
      <c r="E15">
        <v>140</v>
      </c>
      <c r="F15" t="e">
        <f t="shared" si="0"/>
        <v>#NUM!</v>
      </c>
    </row>
    <row r="16" spans="5:12" x14ac:dyDescent="0.25">
      <c r="E16">
        <v>150</v>
      </c>
      <c r="F16" t="e">
        <f t="shared" si="0"/>
        <v>#NUM!</v>
      </c>
    </row>
    <row r="17" spans="5:6" x14ac:dyDescent="0.25">
      <c r="E17">
        <v>160</v>
      </c>
      <c r="F17" t="e">
        <f t="shared" si="0"/>
        <v>#NUM!</v>
      </c>
    </row>
    <row r="18" spans="5:6" x14ac:dyDescent="0.25">
      <c r="E18">
        <v>170</v>
      </c>
      <c r="F18" t="e">
        <f t="shared" si="0"/>
        <v>#NUM!</v>
      </c>
    </row>
    <row r="19" spans="5:6" x14ac:dyDescent="0.25">
      <c r="E19">
        <v>180</v>
      </c>
      <c r="F19" t="e">
        <f t="shared" si="0"/>
        <v>#NUM!</v>
      </c>
    </row>
    <row r="20" spans="5:6" x14ac:dyDescent="0.25">
      <c r="E20">
        <v>190</v>
      </c>
      <c r="F20" t="e">
        <f t="shared" si="0"/>
        <v>#NUM!</v>
      </c>
    </row>
    <row r="21" spans="5:6" x14ac:dyDescent="0.25">
      <c r="E21">
        <v>200</v>
      </c>
      <c r="F21" t="e">
        <f t="shared" si="0"/>
        <v>#NUM!</v>
      </c>
    </row>
    <row r="22" spans="5:6" x14ac:dyDescent="0.25">
      <c r="E22">
        <v>210</v>
      </c>
      <c r="F22" t="e">
        <f t="shared" si="0"/>
        <v>#NUM!</v>
      </c>
    </row>
    <row r="23" spans="5:6" x14ac:dyDescent="0.25">
      <c r="E23">
        <v>220</v>
      </c>
      <c r="F23" t="e">
        <f t="shared" si="0"/>
        <v>#NUM!</v>
      </c>
    </row>
    <row r="24" spans="5:6" x14ac:dyDescent="0.25">
      <c r="E24">
        <v>230</v>
      </c>
      <c r="F24" t="e">
        <f t="shared" si="0"/>
        <v>#NUM!</v>
      </c>
    </row>
    <row r="25" spans="5:6" x14ac:dyDescent="0.25">
      <c r="E25">
        <v>240</v>
      </c>
      <c r="F25" t="e">
        <f t="shared" si="0"/>
        <v>#NUM!</v>
      </c>
    </row>
    <row r="26" spans="5:6" x14ac:dyDescent="0.25">
      <c r="E26">
        <v>250</v>
      </c>
      <c r="F26" t="e">
        <f t="shared" si="0"/>
        <v>#NUM!</v>
      </c>
    </row>
    <row r="27" spans="5:6" x14ac:dyDescent="0.25">
      <c r="E27">
        <v>260</v>
      </c>
      <c r="F27" t="e">
        <f t="shared" si="0"/>
        <v>#NUM!</v>
      </c>
    </row>
    <row r="28" spans="5:6" x14ac:dyDescent="0.25">
      <c r="E28">
        <v>270</v>
      </c>
      <c r="F28" t="e">
        <f t="shared" si="0"/>
        <v>#NUM!</v>
      </c>
    </row>
    <row r="29" spans="5:6" x14ac:dyDescent="0.25">
      <c r="E29">
        <v>280</v>
      </c>
      <c r="F29" t="e">
        <f t="shared" si="0"/>
        <v>#NUM!</v>
      </c>
    </row>
    <row r="30" spans="5:6" x14ac:dyDescent="0.25">
      <c r="E30">
        <v>290</v>
      </c>
      <c r="F30" t="e">
        <f t="shared" si="0"/>
        <v>#NUM!</v>
      </c>
    </row>
    <row r="31" spans="5:6" x14ac:dyDescent="0.25">
      <c r="E31">
        <v>300</v>
      </c>
      <c r="F31" t="e">
        <f t="shared" si="0"/>
        <v>#NUM!</v>
      </c>
    </row>
    <row r="32" spans="5:6" x14ac:dyDescent="0.25">
      <c r="E32">
        <v>310</v>
      </c>
      <c r="F32" t="e">
        <f t="shared" si="0"/>
        <v>#NUM!</v>
      </c>
    </row>
    <row r="33" spans="5:6" x14ac:dyDescent="0.25">
      <c r="E33">
        <v>320</v>
      </c>
      <c r="F33" t="e">
        <f t="shared" si="0"/>
        <v>#NUM!</v>
      </c>
    </row>
    <row r="34" spans="5:6" x14ac:dyDescent="0.25">
      <c r="E34">
        <v>330</v>
      </c>
      <c r="F34" t="e">
        <f t="shared" si="0"/>
        <v>#NUM!</v>
      </c>
    </row>
    <row r="35" spans="5:6" x14ac:dyDescent="0.25">
      <c r="E35">
        <v>340</v>
      </c>
      <c r="F35" t="e">
        <f t="shared" si="0"/>
        <v>#NUM!</v>
      </c>
    </row>
    <row r="36" spans="5:6" x14ac:dyDescent="0.25">
      <c r="E36">
        <v>350</v>
      </c>
      <c r="F36" t="e">
        <f t="shared" si="0"/>
        <v>#NUM!</v>
      </c>
    </row>
    <row r="37" spans="5:6" x14ac:dyDescent="0.25">
      <c r="E37">
        <v>360</v>
      </c>
      <c r="F37" t="e">
        <f t="shared" si="0"/>
        <v>#NUM!</v>
      </c>
    </row>
    <row r="38" spans="5:6" x14ac:dyDescent="0.25">
      <c r="E38">
        <v>370</v>
      </c>
      <c r="F38" t="e">
        <f t="shared" si="0"/>
        <v>#NUM!</v>
      </c>
    </row>
    <row r="39" spans="5:6" x14ac:dyDescent="0.25">
      <c r="E39">
        <v>380</v>
      </c>
      <c r="F39" t="e">
        <f t="shared" si="0"/>
        <v>#NUM!</v>
      </c>
    </row>
    <row r="40" spans="5:6" x14ac:dyDescent="0.25">
      <c r="E40">
        <v>390</v>
      </c>
      <c r="F40" t="e">
        <f t="shared" si="0"/>
        <v>#NUM!</v>
      </c>
    </row>
    <row r="41" spans="5:6" x14ac:dyDescent="0.25">
      <c r="E41">
        <v>400</v>
      </c>
      <c r="F41" t="e">
        <f t="shared" si="0"/>
        <v>#NUM!</v>
      </c>
    </row>
    <row r="42" spans="5:6" x14ac:dyDescent="0.25">
      <c r="E42">
        <v>410</v>
      </c>
      <c r="F42" t="e">
        <f t="shared" si="0"/>
        <v>#NUM!</v>
      </c>
    </row>
    <row r="43" spans="5:6" x14ac:dyDescent="0.25">
      <c r="E43">
        <v>420</v>
      </c>
      <c r="F43" t="e">
        <f t="shared" si="0"/>
        <v>#NUM!</v>
      </c>
    </row>
    <row r="44" spans="5:6" x14ac:dyDescent="0.25">
      <c r="E44">
        <v>430</v>
      </c>
      <c r="F44" t="e">
        <f t="shared" si="0"/>
        <v>#NUM!</v>
      </c>
    </row>
    <row r="45" spans="5:6" x14ac:dyDescent="0.25">
      <c r="E45">
        <v>440</v>
      </c>
      <c r="F45" t="e">
        <f t="shared" si="0"/>
        <v>#NUM!</v>
      </c>
    </row>
    <row r="46" spans="5:6" x14ac:dyDescent="0.25">
      <c r="E46">
        <v>450</v>
      </c>
      <c r="F46" t="e">
        <f t="shared" si="0"/>
        <v>#NUM!</v>
      </c>
    </row>
    <row r="47" spans="5:6" x14ac:dyDescent="0.25">
      <c r="E47">
        <v>460</v>
      </c>
      <c r="F47" t="e">
        <f t="shared" si="0"/>
        <v>#NUM!</v>
      </c>
    </row>
    <row r="48" spans="5:6" x14ac:dyDescent="0.25">
      <c r="E48">
        <v>470</v>
      </c>
      <c r="F48" t="e">
        <f t="shared" si="0"/>
        <v>#NUM!</v>
      </c>
    </row>
    <row r="49" spans="5:6" x14ac:dyDescent="0.25">
      <c r="E49">
        <v>480</v>
      </c>
      <c r="F49" t="e">
        <f t="shared" si="0"/>
        <v>#NUM!</v>
      </c>
    </row>
    <row r="50" spans="5:6" x14ac:dyDescent="0.25">
      <c r="E50">
        <v>490</v>
      </c>
      <c r="F50" t="e">
        <f t="shared" si="0"/>
        <v>#NUM!</v>
      </c>
    </row>
    <row r="51" spans="5:6" x14ac:dyDescent="0.25">
      <c r="E51">
        <v>500</v>
      </c>
      <c r="F51" t="e">
        <f t="shared" si="0"/>
        <v>#NUM!</v>
      </c>
    </row>
    <row r="52" spans="5:6" x14ac:dyDescent="0.25">
      <c r="E52">
        <v>510</v>
      </c>
      <c r="F52" t="e">
        <f t="shared" si="0"/>
        <v>#NUM!</v>
      </c>
    </row>
    <row r="53" spans="5:6" x14ac:dyDescent="0.25">
      <c r="E53">
        <v>520</v>
      </c>
      <c r="F53" t="e">
        <f t="shared" si="0"/>
        <v>#NUM!</v>
      </c>
    </row>
    <row r="54" spans="5:6" x14ac:dyDescent="0.25">
      <c r="E54">
        <v>530</v>
      </c>
      <c r="F54" t="e">
        <f t="shared" si="0"/>
        <v>#NUM!</v>
      </c>
    </row>
    <row r="55" spans="5:6" x14ac:dyDescent="0.25">
      <c r="E55">
        <v>540</v>
      </c>
      <c r="F55" t="e">
        <f t="shared" si="0"/>
        <v>#NUM!</v>
      </c>
    </row>
    <row r="56" spans="5:6" x14ac:dyDescent="0.25">
      <c r="E56">
        <v>550</v>
      </c>
      <c r="F56" t="e">
        <f t="shared" si="0"/>
        <v>#NUM!</v>
      </c>
    </row>
    <row r="57" spans="5:6" x14ac:dyDescent="0.25">
      <c r="E57">
        <v>560</v>
      </c>
      <c r="F57" t="e">
        <f t="shared" si="0"/>
        <v>#NUM!</v>
      </c>
    </row>
    <row r="58" spans="5:6" x14ac:dyDescent="0.25">
      <c r="E58">
        <v>570</v>
      </c>
      <c r="F58" t="e">
        <f t="shared" si="0"/>
        <v>#NUM!</v>
      </c>
    </row>
    <row r="59" spans="5:6" x14ac:dyDescent="0.25">
      <c r="E59">
        <v>580</v>
      </c>
      <c r="F59" t="e">
        <f t="shared" si="0"/>
        <v>#NUM!</v>
      </c>
    </row>
    <row r="60" spans="5:6" x14ac:dyDescent="0.25">
      <c r="E60">
        <v>590</v>
      </c>
      <c r="F60" t="e">
        <f t="shared" si="0"/>
        <v>#NUM!</v>
      </c>
    </row>
    <row r="61" spans="5:6" x14ac:dyDescent="0.25">
      <c r="E61">
        <v>600</v>
      </c>
      <c r="F61" t="e">
        <f t="shared" si="0"/>
        <v>#NUM!</v>
      </c>
    </row>
    <row r="62" spans="5:6" x14ac:dyDescent="0.25">
      <c r="E62">
        <v>610</v>
      </c>
      <c r="F62" t="e">
        <f t="shared" si="0"/>
        <v>#NUM!</v>
      </c>
    </row>
    <row r="63" spans="5:6" x14ac:dyDescent="0.25">
      <c r="E63">
        <v>620</v>
      </c>
      <c r="F63" t="e">
        <f t="shared" si="0"/>
        <v>#NUM!</v>
      </c>
    </row>
    <row r="64" spans="5:6" x14ac:dyDescent="0.25">
      <c r="E64">
        <v>630</v>
      </c>
      <c r="F64" t="e">
        <f t="shared" si="0"/>
        <v>#NUM!</v>
      </c>
    </row>
    <row r="65" spans="5:6" x14ac:dyDescent="0.25">
      <c r="E65">
        <v>640</v>
      </c>
      <c r="F65" t="e">
        <f t="shared" si="0"/>
        <v>#NUM!</v>
      </c>
    </row>
    <row r="66" spans="5:6" x14ac:dyDescent="0.25">
      <c r="E66">
        <v>650</v>
      </c>
      <c r="F66" t="e">
        <f t="shared" ref="F66:F129" si="1">LN(B66)</f>
        <v>#NUM!</v>
      </c>
    </row>
    <row r="67" spans="5:6" x14ac:dyDescent="0.25">
      <c r="E67">
        <v>660</v>
      </c>
      <c r="F67" t="e">
        <f t="shared" si="1"/>
        <v>#NUM!</v>
      </c>
    </row>
    <row r="68" spans="5:6" x14ac:dyDescent="0.25">
      <c r="E68">
        <v>670</v>
      </c>
      <c r="F68" t="e">
        <f t="shared" si="1"/>
        <v>#NUM!</v>
      </c>
    </row>
    <row r="69" spans="5:6" x14ac:dyDescent="0.25">
      <c r="E69">
        <v>680</v>
      </c>
      <c r="F69" t="e">
        <f t="shared" si="1"/>
        <v>#NUM!</v>
      </c>
    </row>
    <row r="70" spans="5:6" x14ac:dyDescent="0.25">
      <c r="E70">
        <v>690</v>
      </c>
      <c r="F70" t="e">
        <f t="shared" si="1"/>
        <v>#NUM!</v>
      </c>
    </row>
    <row r="71" spans="5:6" x14ac:dyDescent="0.25">
      <c r="E71">
        <v>700</v>
      </c>
      <c r="F71" t="e">
        <f t="shared" si="1"/>
        <v>#NUM!</v>
      </c>
    </row>
    <row r="72" spans="5:6" x14ac:dyDescent="0.25">
      <c r="E72">
        <v>710</v>
      </c>
      <c r="F72" t="e">
        <f t="shared" si="1"/>
        <v>#NUM!</v>
      </c>
    </row>
    <row r="73" spans="5:6" x14ac:dyDescent="0.25">
      <c r="E73">
        <v>720</v>
      </c>
      <c r="F73" t="e">
        <f t="shared" si="1"/>
        <v>#NUM!</v>
      </c>
    </row>
    <row r="74" spans="5:6" x14ac:dyDescent="0.25">
      <c r="E74">
        <v>730</v>
      </c>
      <c r="F74" t="e">
        <f t="shared" si="1"/>
        <v>#NUM!</v>
      </c>
    </row>
    <row r="75" spans="5:6" x14ac:dyDescent="0.25">
      <c r="E75">
        <v>740</v>
      </c>
      <c r="F75" t="e">
        <f t="shared" si="1"/>
        <v>#NUM!</v>
      </c>
    </row>
    <row r="76" spans="5:6" x14ac:dyDescent="0.25">
      <c r="E76">
        <v>750</v>
      </c>
      <c r="F76" t="e">
        <f t="shared" si="1"/>
        <v>#NUM!</v>
      </c>
    </row>
    <row r="77" spans="5:6" x14ac:dyDescent="0.25">
      <c r="E77">
        <v>760</v>
      </c>
      <c r="F77" t="e">
        <f t="shared" si="1"/>
        <v>#NUM!</v>
      </c>
    </row>
    <row r="78" spans="5:6" x14ac:dyDescent="0.25">
      <c r="E78">
        <v>770</v>
      </c>
      <c r="F78" t="e">
        <f t="shared" si="1"/>
        <v>#NUM!</v>
      </c>
    </row>
    <row r="79" spans="5:6" x14ac:dyDescent="0.25">
      <c r="E79">
        <v>780</v>
      </c>
      <c r="F79" t="e">
        <f t="shared" si="1"/>
        <v>#NUM!</v>
      </c>
    </row>
    <row r="80" spans="5:6" x14ac:dyDescent="0.25">
      <c r="E80">
        <v>790</v>
      </c>
      <c r="F80" t="e">
        <f t="shared" si="1"/>
        <v>#NUM!</v>
      </c>
    </row>
    <row r="81" spans="5:6" x14ac:dyDescent="0.25">
      <c r="E81">
        <v>800</v>
      </c>
      <c r="F81" t="e">
        <f t="shared" si="1"/>
        <v>#NUM!</v>
      </c>
    </row>
    <row r="82" spans="5:6" x14ac:dyDescent="0.25">
      <c r="E82">
        <v>810</v>
      </c>
      <c r="F82" t="e">
        <f t="shared" si="1"/>
        <v>#NUM!</v>
      </c>
    </row>
    <row r="83" spans="5:6" x14ac:dyDescent="0.25">
      <c r="E83">
        <v>820</v>
      </c>
      <c r="F83" t="e">
        <f t="shared" si="1"/>
        <v>#NUM!</v>
      </c>
    </row>
    <row r="84" spans="5:6" x14ac:dyDescent="0.25">
      <c r="E84">
        <v>830</v>
      </c>
      <c r="F84" t="e">
        <f t="shared" si="1"/>
        <v>#NUM!</v>
      </c>
    </row>
    <row r="85" spans="5:6" x14ac:dyDescent="0.25">
      <c r="E85">
        <v>840</v>
      </c>
      <c r="F85" t="e">
        <f t="shared" si="1"/>
        <v>#NUM!</v>
      </c>
    </row>
    <row r="86" spans="5:6" x14ac:dyDescent="0.25">
      <c r="E86">
        <v>850</v>
      </c>
      <c r="F86" t="e">
        <f t="shared" si="1"/>
        <v>#NUM!</v>
      </c>
    </row>
    <row r="87" spans="5:6" x14ac:dyDescent="0.25">
      <c r="E87">
        <v>860</v>
      </c>
      <c r="F87" t="e">
        <f t="shared" si="1"/>
        <v>#NUM!</v>
      </c>
    </row>
    <row r="88" spans="5:6" x14ac:dyDescent="0.25">
      <c r="E88">
        <v>870</v>
      </c>
      <c r="F88" t="e">
        <f t="shared" si="1"/>
        <v>#NUM!</v>
      </c>
    </row>
    <row r="89" spans="5:6" x14ac:dyDescent="0.25">
      <c r="E89">
        <v>880</v>
      </c>
      <c r="F89" t="e">
        <f t="shared" si="1"/>
        <v>#NUM!</v>
      </c>
    </row>
    <row r="90" spans="5:6" x14ac:dyDescent="0.25">
      <c r="E90">
        <v>890</v>
      </c>
      <c r="F90" t="e">
        <f t="shared" si="1"/>
        <v>#NUM!</v>
      </c>
    </row>
    <row r="91" spans="5:6" x14ac:dyDescent="0.25">
      <c r="E91">
        <v>900</v>
      </c>
      <c r="F91" t="e">
        <f t="shared" si="1"/>
        <v>#NUM!</v>
      </c>
    </row>
    <row r="92" spans="5:6" x14ac:dyDescent="0.25">
      <c r="E92">
        <v>910</v>
      </c>
      <c r="F92" t="e">
        <f t="shared" si="1"/>
        <v>#NUM!</v>
      </c>
    </row>
    <row r="93" spans="5:6" x14ac:dyDescent="0.25">
      <c r="E93">
        <v>920</v>
      </c>
      <c r="F93" t="e">
        <f t="shared" si="1"/>
        <v>#NUM!</v>
      </c>
    </row>
    <row r="94" spans="5:6" x14ac:dyDescent="0.25">
      <c r="E94">
        <v>930</v>
      </c>
      <c r="F94" t="e">
        <f t="shared" si="1"/>
        <v>#NUM!</v>
      </c>
    </row>
    <row r="95" spans="5:6" x14ac:dyDescent="0.25">
      <c r="E95">
        <v>940</v>
      </c>
      <c r="F95" t="e">
        <f t="shared" si="1"/>
        <v>#NUM!</v>
      </c>
    </row>
    <row r="96" spans="5:6" x14ac:dyDescent="0.25">
      <c r="E96">
        <v>950</v>
      </c>
      <c r="F96" t="e">
        <f t="shared" si="1"/>
        <v>#NUM!</v>
      </c>
    </row>
    <row r="97" spans="5:6" x14ac:dyDescent="0.25">
      <c r="E97">
        <v>960</v>
      </c>
      <c r="F97" t="e">
        <f t="shared" si="1"/>
        <v>#NUM!</v>
      </c>
    </row>
    <row r="98" spans="5:6" x14ac:dyDescent="0.25">
      <c r="E98">
        <v>970</v>
      </c>
      <c r="F98" t="e">
        <f t="shared" si="1"/>
        <v>#NUM!</v>
      </c>
    </row>
    <row r="99" spans="5:6" x14ac:dyDescent="0.25">
      <c r="E99">
        <v>980</v>
      </c>
      <c r="F99" t="e">
        <f t="shared" si="1"/>
        <v>#NUM!</v>
      </c>
    </row>
    <row r="100" spans="5:6" x14ac:dyDescent="0.25">
      <c r="E100">
        <v>990</v>
      </c>
      <c r="F100" t="e">
        <f t="shared" si="1"/>
        <v>#NUM!</v>
      </c>
    </row>
    <row r="101" spans="5:6" x14ac:dyDescent="0.25">
      <c r="E101">
        <v>1000</v>
      </c>
      <c r="F101" t="e">
        <f t="shared" si="1"/>
        <v>#NUM!</v>
      </c>
    </row>
    <row r="102" spans="5:6" x14ac:dyDescent="0.25">
      <c r="E102">
        <v>1010</v>
      </c>
      <c r="F102" t="e">
        <f t="shared" si="1"/>
        <v>#NUM!</v>
      </c>
    </row>
    <row r="103" spans="5:6" x14ac:dyDescent="0.25">
      <c r="E103">
        <v>1020</v>
      </c>
      <c r="F103" t="e">
        <f t="shared" si="1"/>
        <v>#NUM!</v>
      </c>
    </row>
    <row r="104" spans="5:6" x14ac:dyDescent="0.25">
      <c r="E104">
        <v>1030</v>
      </c>
      <c r="F104" t="e">
        <f t="shared" si="1"/>
        <v>#NUM!</v>
      </c>
    </row>
    <row r="105" spans="5:6" x14ac:dyDescent="0.25">
      <c r="E105">
        <v>1040</v>
      </c>
      <c r="F105" t="e">
        <f t="shared" si="1"/>
        <v>#NUM!</v>
      </c>
    </row>
    <row r="106" spans="5:6" x14ac:dyDescent="0.25">
      <c r="E106">
        <v>1050</v>
      </c>
      <c r="F106" t="e">
        <f t="shared" si="1"/>
        <v>#NUM!</v>
      </c>
    </row>
    <row r="107" spans="5:6" x14ac:dyDescent="0.25">
      <c r="E107">
        <v>1060</v>
      </c>
      <c r="F107" t="e">
        <f t="shared" si="1"/>
        <v>#NUM!</v>
      </c>
    </row>
    <row r="108" spans="5:6" x14ac:dyDescent="0.25">
      <c r="E108">
        <v>1070</v>
      </c>
      <c r="F108" t="e">
        <f t="shared" si="1"/>
        <v>#NUM!</v>
      </c>
    </row>
    <row r="109" spans="5:6" x14ac:dyDescent="0.25">
      <c r="E109">
        <v>1080</v>
      </c>
      <c r="F109" t="e">
        <f t="shared" si="1"/>
        <v>#NUM!</v>
      </c>
    </row>
    <row r="110" spans="5:6" x14ac:dyDescent="0.25">
      <c r="E110">
        <v>1090</v>
      </c>
      <c r="F110" t="e">
        <f t="shared" si="1"/>
        <v>#NUM!</v>
      </c>
    </row>
    <row r="111" spans="5:6" x14ac:dyDescent="0.25">
      <c r="E111">
        <v>1100</v>
      </c>
      <c r="F111" t="e">
        <f t="shared" si="1"/>
        <v>#NUM!</v>
      </c>
    </row>
    <row r="112" spans="5:6" x14ac:dyDescent="0.25">
      <c r="E112">
        <v>1110</v>
      </c>
      <c r="F112" t="e">
        <f t="shared" si="1"/>
        <v>#NUM!</v>
      </c>
    </row>
    <row r="113" spans="5:6" x14ac:dyDescent="0.25">
      <c r="E113">
        <v>1120</v>
      </c>
      <c r="F113" t="e">
        <f t="shared" si="1"/>
        <v>#NUM!</v>
      </c>
    </row>
    <row r="114" spans="5:6" x14ac:dyDescent="0.25">
      <c r="E114">
        <v>1130</v>
      </c>
      <c r="F114" t="e">
        <f t="shared" si="1"/>
        <v>#NUM!</v>
      </c>
    </row>
    <row r="115" spans="5:6" x14ac:dyDescent="0.25">
      <c r="E115">
        <v>1140</v>
      </c>
      <c r="F115" t="e">
        <f t="shared" si="1"/>
        <v>#NUM!</v>
      </c>
    </row>
    <row r="116" spans="5:6" x14ac:dyDescent="0.25">
      <c r="E116">
        <v>1150</v>
      </c>
      <c r="F116" t="e">
        <f t="shared" si="1"/>
        <v>#NUM!</v>
      </c>
    </row>
    <row r="117" spans="5:6" x14ac:dyDescent="0.25">
      <c r="E117">
        <v>1160</v>
      </c>
      <c r="F117" t="e">
        <f t="shared" si="1"/>
        <v>#NUM!</v>
      </c>
    </row>
    <row r="118" spans="5:6" x14ac:dyDescent="0.25">
      <c r="E118">
        <v>1170</v>
      </c>
      <c r="F118" t="e">
        <f t="shared" si="1"/>
        <v>#NUM!</v>
      </c>
    </row>
    <row r="119" spans="5:6" x14ac:dyDescent="0.25">
      <c r="E119">
        <v>1180</v>
      </c>
      <c r="F119" t="e">
        <f t="shared" si="1"/>
        <v>#NUM!</v>
      </c>
    </row>
    <row r="120" spans="5:6" x14ac:dyDescent="0.25">
      <c r="E120">
        <v>1190</v>
      </c>
      <c r="F120" t="e">
        <f t="shared" si="1"/>
        <v>#NUM!</v>
      </c>
    </row>
    <row r="121" spans="5:6" x14ac:dyDescent="0.25">
      <c r="E121">
        <v>1200</v>
      </c>
      <c r="F121" t="e">
        <f t="shared" si="1"/>
        <v>#NUM!</v>
      </c>
    </row>
    <row r="122" spans="5:6" x14ac:dyDescent="0.25">
      <c r="E122">
        <v>1210</v>
      </c>
      <c r="F122" t="e">
        <f t="shared" si="1"/>
        <v>#NUM!</v>
      </c>
    </row>
    <row r="123" spans="5:6" x14ac:dyDescent="0.25">
      <c r="E123">
        <v>1220</v>
      </c>
      <c r="F123" t="e">
        <f t="shared" si="1"/>
        <v>#NUM!</v>
      </c>
    </row>
    <row r="124" spans="5:6" x14ac:dyDescent="0.25">
      <c r="E124">
        <v>1230</v>
      </c>
      <c r="F124" t="e">
        <f t="shared" si="1"/>
        <v>#NUM!</v>
      </c>
    </row>
    <row r="125" spans="5:6" x14ac:dyDescent="0.25">
      <c r="E125">
        <v>1240</v>
      </c>
      <c r="F125" t="e">
        <f t="shared" si="1"/>
        <v>#NUM!</v>
      </c>
    </row>
    <row r="126" spans="5:6" x14ac:dyDescent="0.25">
      <c r="E126">
        <v>1250</v>
      </c>
      <c r="F126" t="e">
        <f t="shared" si="1"/>
        <v>#NUM!</v>
      </c>
    </row>
    <row r="127" spans="5:6" x14ac:dyDescent="0.25">
      <c r="E127">
        <v>1260</v>
      </c>
      <c r="F127" t="e">
        <f t="shared" si="1"/>
        <v>#NUM!</v>
      </c>
    </row>
    <row r="128" spans="5:6" x14ac:dyDescent="0.25">
      <c r="E128">
        <v>1270</v>
      </c>
      <c r="F128" t="e">
        <f t="shared" si="1"/>
        <v>#NUM!</v>
      </c>
    </row>
    <row r="129" spans="5:6" x14ac:dyDescent="0.25">
      <c r="E129">
        <v>1280</v>
      </c>
      <c r="F129" t="e">
        <f t="shared" si="1"/>
        <v>#NUM!</v>
      </c>
    </row>
    <row r="130" spans="5:6" x14ac:dyDescent="0.25">
      <c r="E130">
        <v>1290</v>
      </c>
      <c r="F130" t="e">
        <f t="shared" ref="F130:F193" si="2">LN(B130)</f>
        <v>#NUM!</v>
      </c>
    </row>
    <row r="131" spans="5:6" x14ac:dyDescent="0.25">
      <c r="E131">
        <v>1300</v>
      </c>
      <c r="F131" t="e">
        <f t="shared" si="2"/>
        <v>#NUM!</v>
      </c>
    </row>
    <row r="132" spans="5:6" x14ac:dyDescent="0.25">
      <c r="E132">
        <v>1310</v>
      </c>
      <c r="F132" t="e">
        <f t="shared" si="2"/>
        <v>#NUM!</v>
      </c>
    </row>
    <row r="133" spans="5:6" x14ac:dyDescent="0.25">
      <c r="E133">
        <v>1320</v>
      </c>
      <c r="F133" t="e">
        <f t="shared" si="2"/>
        <v>#NUM!</v>
      </c>
    </row>
    <row r="134" spans="5:6" x14ac:dyDescent="0.25">
      <c r="E134">
        <v>1330</v>
      </c>
      <c r="F134" t="e">
        <f t="shared" si="2"/>
        <v>#NUM!</v>
      </c>
    </row>
    <row r="135" spans="5:6" x14ac:dyDescent="0.25">
      <c r="E135">
        <v>1340</v>
      </c>
      <c r="F135" t="e">
        <f t="shared" si="2"/>
        <v>#NUM!</v>
      </c>
    </row>
    <row r="136" spans="5:6" x14ac:dyDescent="0.25">
      <c r="E136">
        <v>1350</v>
      </c>
      <c r="F136" t="e">
        <f t="shared" si="2"/>
        <v>#NUM!</v>
      </c>
    </row>
    <row r="137" spans="5:6" x14ac:dyDescent="0.25">
      <c r="E137">
        <v>1360</v>
      </c>
      <c r="F137" t="e">
        <f t="shared" si="2"/>
        <v>#NUM!</v>
      </c>
    </row>
    <row r="138" spans="5:6" x14ac:dyDescent="0.25">
      <c r="E138">
        <v>1370</v>
      </c>
      <c r="F138" t="e">
        <f t="shared" si="2"/>
        <v>#NUM!</v>
      </c>
    </row>
    <row r="139" spans="5:6" x14ac:dyDescent="0.25">
      <c r="E139">
        <v>1380</v>
      </c>
      <c r="F139" t="e">
        <f t="shared" si="2"/>
        <v>#NUM!</v>
      </c>
    </row>
    <row r="140" spans="5:6" x14ac:dyDescent="0.25">
      <c r="E140">
        <v>1390</v>
      </c>
      <c r="F140" t="e">
        <f t="shared" si="2"/>
        <v>#NUM!</v>
      </c>
    </row>
    <row r="141" spans="5:6" x14ac:dyDescent="0.25">
      <c r="E141">
        <v>1400</v>
      </c>
      <c r="F141" t="e">
        <f t="shared" si="2"/>
        <v>#NUM!</v>
      </c>
    </row>
    <row r="142" spans="5:6" x14ac:dyDescent="0.25">
      <c r="E142">
        <v>1410</v>
      </c>
      <c r="F142" t="e">
        <f t="shared" si="2"/>
        <v>#NUM!</v>
      </c>
    </row>
    <row r="143" spans="5:6" x14ac:dyDescent="0.25">
      <c r="E143">
        <v>1420</v>
      </c>
      <c r="F143" t="e">
        <f t="shared" si="2"/>
        <v>#NUM!</v>
      </c>
    </row>
    <row r="144" spans="5:6" x14ac:dyDescent="0.25">
      <c r="E144">
        <v>1430</v>
      </c>
      <c r="F144" t="e">
        <f t="shared" si="2"/>
        <v>#NUM!</v>
      </c>
    </row>
    <row r="145" spans="5:6" x14ac:dyDescent="0.25">
      <c r="E145">
        <v>1440</v>
      </c>
      <c r="F145" t="e">
        <f t="shared" si="2"/>
        <v>#NUM!</v>
      </c>
    </row>
    <row r="146" spans="5:6" x14ac:dyDescent="0.25">
      <c r="E146">
        <v>1450</v>
      </c>
      <c r="F146" t="e">
        <f t="shared" si="2"/>
        <v>#NUM!</v>
      </c>
    </row>
    <row r="147" spans="5:6" x14ac:dyDescent="0.25">
      <c r="E147">
        <v>1460</v>
      </c>
      <c r="F147" t="e">
        <f t="shared" si="2"/>
        <v>#NUM!</v>
      </c>
    </row>
    <row r="148" spans="5:6" x14ac:dyDescent="0.25">
      <c r="E148">
        <v>1470</v>
      </c>
      <c r="F148" t="e">
        <f t="shared" si="2"/>
        <v>#NUM!</v>
      </c>
    </row>
    <row r="149" spans="5:6" x14ac:dyDescent="0.25">
      <c r="E149">
        <v>1480</v>
      </c>
      <c r="F149" t="e">
        <f t="shared" si="2"/>
        <v>#NUM!</v>
      </c>
    </row>
    <row r="150" spans="5:6" x14ac:dyDescent="0.25">
      <c r="E150">
        <v>1490</v>
      </c>
      <c r="F150" t="e">
        <f t="shared" si="2"/>
        <v>#NUM!</v>
      </c>
    </row>
    <row r="151" spans="5:6" x14ac:dyDescent="0.25">
      <c r="E151">
        <v>1500</v>
      </c>
      <c r="F151" t="e">
        <f t="shared" si="2"/>
        <v>#NUM!</v>
      </c>
    </row>
    <row r="152" spans="5:6" x14ac:dyDescent="0.25">
      <c r="E152">
        <v>1510</v>
      </c>
      <c r="F152" t="e">
        <f t="shared" si="2"/>
        <v>#NUM!</v>
      </c>
    </row>
    <row r="153" spans="5:6" x14ac:dyDescent="0.25">
      <c r="E153">
        <v>1520</v>
      </c>
      <c r="F153" t="e">
        <f t="shared" si="2"/>
        <v>#NUM!</v>
      </c>
    </row>
    <row r="154" spans="5:6" x14ac:dyDescent="0.25">
      <c r="E154">
        <v>1530</v>
      </c>
      <c r="F154" t="e">
        <f t="shared" si="2"/>
        <v>#NUM!</v>
      </c>
    </row>
    <row r="155" spans="5:6" x14ac:dyDescent="0.25">
      <c r="E155">
        <v>1540</v>
      </c>
      <c r="F155" t="e">
        <f t="shared" si="2"/>
        <v>#NUM!</v>
      </c>
    </row>
    <row r="156" spans="5:6" x14ac:dyDescent="0.25">
      <c r="E156">
        <v>1550</v>
      </c>
      <c r="F156" t="e">
        <f t="shared" si="2"/>
        <v>#NUM!</v>
      </c>
    </row>
    <row r="157" spans="5:6" x14ac:dyDescent="0.25">
      <c r="E157">
        <v>1560</v>
      </c>
      <c r="F157" t="e">
        <f t="shared" si="2"/>
        <v>#NUM!</v>
      </c>
    </row>
    <row r="158" spans="5:6" x14ac:dyDescent="0.25">
      <c r="E158">
        <v>1570</v>
      </c>
      <c r="F158" t="e">
        <f t="shared" si="2"/>
        <v>#NUM!</v>
      </c>
    </row>
    <row r="159" spans="5:6" x14ac:dyDescent="0.25">
      <c r="E159">
        <v>1580</v>
      </c>
      <c r="F159" t="e">
        <f t="shared" si="2"/>
        <v>#NUM!</v>
      </c>
    </row>
    <row r="160" spans="5:6" x14ac:dyDescent="0.25">
      <c r="E160">
        <v>1590</v>
      </c>
      <c r="F160" t="e">
        <f t="shared" si="2"/>
        <v>#NUM!</v>
      </c>
    </row>
    <row r="161" spans="5:6" x14ac:dyDescent="0.25">
      <c r="E161">
        <v>1600</v>
      </c>
      <c r="F161" t="e">
        <f t="shared" si="2"/>
        <v>#NUM!</v>
      </c>
    </row>
    <row r="162" spans="5:6" x14ac:dyDescent="0.25">
      <c r="E162">
        <v>1610</v>
      </c>
      <c r="F162" t="e">
        <f t="shared" si="2"/>
        <v>#NUM!</v>
      </c>
    </row>
    <row r="163" spans="5:6" x14ac:dyDescent="0.25">
      <c r="E163">
        <v>1620</v>
      </c>
      <c r="F163" t="e">
        <f t="shared" si="2"/>
        <v>#NUM!</v>
      </c>
    </row>
    <row r="164" spans="5:6" x14ac:dyDescent="0.25">
      <c r="E164">
        <v>1630</v>
      </c>
      <c r="F164" t="e">
        <f t="shared" si="2"/>
        <v>#NUM!</v>
      </c>
    </row>
    <row r="165" spans="5:6" x14ac:dyDescent="0.25">
      <c r="E165">
        <v>1640</v>
      </c>
      <c r="F165" t="e">
        <f t="shared" si="2"/>
        <v>#NUM!</v>
      </c>
    </row>
    <row r="166" spans="5:6" x14ac:dyDescent="0.25">
      <c r="E166">
        <v>1650</v>
      </c>
      <c r="F166" t="e">
        <f t="shared" si="2"/>
        <v>#NUM!</v>
      </c>
    </row>
    <row r="167" spans="5:6" x14ac:dyDescent="0.25">
      <c r="E167">
        <v>1660</v>
      </c>
      <c r="F167" t="e">
        <f t="shared" si="2"/>
        <v>#NUM!</v>
      </c>
    </row>
    <row r="168" spans="5:6" x14ac:dyDescent="0.25">
      <c r="E168">
        <v>1670</v>
      </c>
      <c r="F168" t="e">
        <f t="shared" si="2"/>
        <v>#NUM!</v>
      </c>
    </row>
    <row r="169" spans="5:6" x14ac:dyDescent="0.25">
      <c r="E169">
        <v>1680</v>
      </c>
      <c r="F169" t="e">
        <f t="shared" si="2"/>
        <v>#NUM!</v>
      </c>
    </row>
    <row r="170" spans="5:6" x14ac:dyDescent="0.25">
      <c r="E170">
        <v>1690</v>
      </c>
      <c r="F170" t="e">
        <f t="shared" si="2"/>
        <v>#NUM!</v>
      </c>
    </row>
    <row r="171" spans="5:6" x14ac:dyDescent="0.25">
      <c r="E171">
        <v>1700</v>
      </c>
      <c r="F171" t="e">
        <f t="shared" si="2"/>
        <v>#NUM!</v>
      </c>
    </row>
    <row r="172" spans="5:6" x14ac:dyDescent="0.25">
      <c r="E172">
        <v>1710</v>
      </c>
      <c r="F172" t="e">
        <f t="shared" si="2"/>
        <v>#NUM!</v>
      </c>
    </row>
    <row r="173" spans="5:6" x14ac:dyDescent="0.25">
      <c r="E173">
        <v>1720</v>
      </c>
      <c r="F173" t="e">
        <f t="shared" si="2"/>
        <v>#NUM!</v>
      </c>
    </row>
    <row r="174" spans="5:6" x14ac:dyDescent="0.25">
      <c r="E174">
        <v>1730</v>
      </c>
      <c r="F174" t="e">
        <f t="shared" si="2"/>
        <v>#NUM!</v>
      </c>
    </row>
    <row r="175" spans="5:6" x14ac:dyDescent="0.25">
      <c r="E175">
        <v>1740</v>
      </c>
      <c r="F175" t="e">
        <f t="shared" si="2"/>
        <v>#NUM!</v>
      </c>
    </row>
    <row r="176" spans="5:6" x14ac:dyDescent="0.25">
      <c r="E176">
        <v>1750</v>
      </c>
      <c r="F176" t="e">
        <f t="shared" si="2"/>
        <v>#NUM!</v>
      </c>
    </row>
    <row r="177" spans="5:6" x14ac:dyDescent="0.25">
      <c r="E177">
        <v>1760</v>
      </c>
      <c r="F177" t="e">
        <f t="shared" si="2"/>
        <v>#NUM!</v>
      </c>
    </row>
    <row r="178" spans="5:6" x14ac:dyDescent="0.25">
      <c r="E178">
        <v>1770</v>
      </c>
      <c r="F178" t="e">
        <f t="shared" si="2"/>
        <v>#NUM!</v>
      </c>
    </row>
    <row r="179" spans="5:6" x14ac:dyDescent="0.25">
      <c r="E179">
        <v>1780</v>
      </c>
      <c r="F179" t="e">
        <f t="shared" si="2"/>
        <v>#NUM!</v>
      </c>
    </row>
    <row r="180" spans="5:6" x14ac:dyDescent="0.25">
      <c r="E180">
        <v>1790</v>
      </c>
      <c r="F180" t="e">
        <f t="shared" si="2"/>
        <v>#NUM!</v>
      </c>
    </row>
    <row r="181" spans="5:6" x14ac:dyDescent="0.25">
      <c r="E181">
        <v>1800</v>
      </c>
      <c r="F181" t="e">
        <f t="shared" si="2"/>
        <v>#NUM!</v>
      </c>
    </row>
    <row r="182" spans="5:6" x14ac:dyDescent="0.25">
      <c r="E182">
        <v>1810</v>
      </c>
      <c r="F182" t="e">
        <f t="shared" si="2"/>
        <v>#NUM!</v>
      </c>
    </row>
    <row r="183" spans="5:6" x14ac:dyDescent="0.25">
      <c r="E183">
        <v>1820</v>
      </c>
      <c r="F183" t="e">
        <f t="shared" si="2"/>
        <v>#NUM!</v>
      </c>
    </row>
    <row r="184" spans="5:6" x14ac:dyDescent="0.25">
      <c r="E184">
        <v>1830</v>
      </c>
      <c r="F184" t="e">
        <f t="shared" si="2"/>
        <v>#NUM!</v>
      </c>
    </row>
    <row r="185" spans="5:6" x14ac:dyDescent="0.25">
      <c r="E185">
        <v>1840</v>
      </c>
      <c r="F185" t="e">
        <f t="shared" si="2"/>
        <v>#NUM!</v>
      </c>
    </row>
    <row r="186" spans="5:6" x14ac:dyDescent="0.25">
      <c r="E186">
        <v>1850</v>
      </c>
      <c r="F186" t="e">
        <f t="shared" si="2"/>
        <v>#NUM!</v>
      </c>
    </row>
    <row r="187" spans="5:6" x14ac:dyDescent="0.25">
      <c r="E187">
        <v>1860</v>
      </c>
      <c r="F187" t="e">
        <f t="shared" si="2"/>
        <v>#NUM!</v>
      </c>
    </row>
    <row r="188" spans="5:6" x14ac:dyDescent="0.25">
      <c r="E188">
        <v>1870</v>
      </c>
      <c r="F188" t="e">
        <f t="shared" si="2"/>
        <v>#NUM!</v>
      </c>
    </row>
    <row r="189" spans="5:6" x14ac:dyDescent="0.25">
      <c r="E189">
        <v>1880</v>
      </c>
      <c r="F189" t="e">
        <f t="shared" si="2"/>
        <v>#NUM!</v>
      </c>
    </row>
    <row r="190" spans="5:6" x14ac:dyDescent="0.25">
      <c r="E190">
        <v>1890</v>
      </c>
      <c r="F190" t="e">
        <f t="shared" si="2"/>
        <v>#NUM!</v>
      </c>
    </row>
    <row r="191" spans="5:6" x14ac:dyDescent="0.25">
      <c r="E191">
        <v>1900</v>
      </c>
      <c r="F191" t="e">
        <f t="shared" si="2"/>
        <v>#NUM!</v>
      </c>
    </row>
    <row r="192" spans="5:6" x14ac:dyDescent="0.25">
      <c r="E192">
        <v>1910</v>
      </c>
      <c r="F192" t="e">
        <f t="shared" si="2"/>
        <v>#NUM!</v>
      </c>
    </row>
    <row r="193" spans="5:6" x14ac:dyDescent="0.25">
      <c r="E193">
        <v>1920</v>
      </c>
      <c r="F193" t="e">
        <f t="shared" si="2"/>
        <v>#NUM!</v>
      </c>
    </row>
    <row r="194" spans="5:6" x14ac:dyDescent="0.25">
      <c r="E194">
        <v>1930</v>
      </c>
      <c r="F194" t="e">
        <f t="shared" ref="F194:F195" si="3">LN(B194)</f>
        <v>#NUM!</v>
      </c>
    </row>
    <row r="195" spans="5:6" x14ac:dyDescent="0.25">
      <c r="E195">
        <v>1940</v>
      </c>
      <c r="F195" t="e">
        <f t="shared" si="3"/>
        <v>#NUM!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K26"/>
  <sheetViews>
    <sheetView zoomScaleNormal="100" workbookViewId="0">
      <selection sqref="A1:D1048576"/>
    </sheetView>
  </sheetViews>
  <sheetFormatPr baseColWidth="10" defaultRowHeight="15" x14ac:dyDescent="0.25"/>
  <cols>
    <col min="4" max="4" width="23" bestFit="1" customWidth="1"/>
    <col min="11" max="11" width="13.28515625" bestFit="1" customWidth="1"/>
    <col min="12" max="12" width="12.7109375" bestFit="1" customWidth="1"/>
    <col min="13" max="13" width="11.5703125" bestFit="1" customWidth="1"/>
    <col min="14" max="14" width="16.7109375" bestFit="1" customWidth="1"/>
  </cols>
  <sheetData>
    <row r="1" spans="5:11" x14ac:dyDescent="0.25">
      <c r="E1">
        <v>0</v>
      </c>
      <c r="F1" t="e">
        <f t="shared" ref="F1:F26" si="0">LN(B1)</f>
        <v>#NUM!</v>
      </c>
      <c r="I1" s="1" t="s">
        <v>0</v>
      </c>
      <c r="J1" s="1"/>
    </row>
    <row r="2" spans="5:11" x14ac:dyDescent="0.25">
      <c r="E2">
        <v>10</v>
      </c>
      <c r="F2" t="e">
        <f t="shared" si="0"/>
        <v>#NUM!</v>
      </c>
      <c r="H2" t="s">
        <v>1</v>
      </c>
      <c r="I2">
        <f>1/(0.0007)</f>
        <v>1428.5714285714287</v>
      </c>
      <c r="J2" s="3" t="s">
        <v>2</v>
      </c>
    </row>
    <row r="3" spans="5:11" x14ac:dyDescent="0.25">
      <c r="E3">
        <v>20</v>
      </c>
      <c r="F3" t="e">
        <f t="shared" si="0"/>
        <v>#NUM!</v>
      </c>
      <c r="I3">
        <f>I2/60</f>
        <v>23.80952380952381</v>
      </c>
      <c r="J3" s="3" t="s">
        <v>3</v>
      </c>
      <c r="K3" s="3"/>
    </row>
    <row r="4" spans="5:11" x14ac:dyDescent="0.25">
      <c r="E4">
        <v>30</v>
      </c>
      <c r="F4" t="e">
        <f t="shared" si="0"/>
        <v>#NUM!</v>
      </c>
      <c r="I4">
        <f>I3/60</f>
        <v>0.39682539682539686</v>
      </c>
      <c r="J4" s="3" t="s">
        <v>4</v>
      </c>
      <c r="K4" s="3"/>
    </row>
    <row r="5" spans="5:11" x14ac:dyDescent="0.25">
      <c r="E5">
        <v>40</v>
      </c>
      <c r="F5" t="e">
        <f t="shared" si="0"/>
        <v>#NUM!</v>
      </c>
    </row>
    <row r="6" spans="5:11" x14ac:dyDescent="0.25">
      <c r="E6">
        <v>50</v>
      </c>
      <c r="F6" t="e">
        <f t="shared" si="0"/>
        <v>#NUM!</v>
      </c>
    </row>
    <row r="7" spans="5:11" x14ac:dyDescent="0.25">
      <c r="E7">
        <v>60</v>
      </c>
      <c r="F7" t="e">
        <f t="shared" si="0"/>
        <v>#NUM!</v>
      </c>
    </row>
    <row r="8" spans="5:11" x14ac:dyDescent="0.25">
      <c r="E8">
        <v>70</v>
      </c>
      <c r="F8" t="e">
        <f t="shared" si="0"/>
        <v>#NUM!</v>
      </c>
    </row>
    <row r="9" spans="5:11" x14ac:dyDescent="0.25">
      <c r="E9">
        <v>80</v>
      </c>
      <c r="F9" t="e">
        <f t="shared" si="0"/>
        <v>#NUM!</v>
      </c>
    </row>
    <row r="10" spans="5:11" x14ac:dyDescent="0.25">
      <c r="E10">
        <v>90</v>
      </c>
      <c r="F10" t="e">
        <f t="shared" si="0"/>
        <v>#NUM!</v>
      </c>
    </row>
    <row r="11" spans="5:11" x14ac:dyDescent="0.25">
      <c r="E11">
        <v>100</v>
      </c>
      <c r="F11" t="e">
        <f t="shared" si="0"/>
        <v>#NUM!</v>
      </c>
    </row>
    <row r="12" spans="5:11" x14ac:dyDescent="0.25">
      <c r="E12">
        <v>110</v>
      </c>
      <c r="F12" t="e">
        <f t="shared" si="0"/>
        <v>#NUM!</v>
      </c>
    </row>
    <row r="13" spans="5:11" x14ac:dyDescent="0.25">
      <c r="E13">
        <v>120</v>
      </c>
      <c r="F13" t="e">
        <f t="shared" si="0"/>
        <v>#NUM!</v>
      </c>
    </row>
    <row r="14" spans="5:11" x14ac:dyDescent="0.25">
      <c r="E14">
        <v>130</v>
      </c>
      <c r="F14" t="e">
        <f t="shared" si="0"/>
        <v>#NUM!</v>
      </c>
    </row>
    <row r="15" spans="5:11" x14ac:dyDescent="0.25">
      <c r="E15">
        <v>140</v>
      </c>
      <c r="F15" t="e">
        <f t="shared" si="0"/>
        <v>#NUM!</v>
      </c>
    </row>
    <row r="16" spans="5:11" x14ac:dyDescent="0.25">
      <c r="E16">
        <v>150</v>
      </c>
      <c r="F16" t="e">
        <f t="shared" si="0"/>
        <v>#NUM!</v>
      </c>
    </row>
    <row r="17" spans="5:6" x14ac:dyDescent="0.25">
      <c r="E17">
        <v>160</v>
      </c>
      <c r="F17" t="e">
        <f t="shared" si="0"/>
        <v>#NUM!</v>
      </c>
    </row>
    <row r="18" spans="5:6" x14ac:dyDescent="0.25">
      <c r="E18">
        <v>170</v>
      </c>
      <c r="F18" t="e">
        <f t="shared" si="0"/>
        <v>#NUM!</v>
      </c>
    </row>
    <row r="19" spans="5:6" x14ac:dyDescent="0.25">
      <c r="E19">
        <v>180</v>
      </c>
      <c r="F19" t="e">
        <f t="shared" si="0"/>
        <v>#NUM!</v>
      </c>
    </row>
    <row r="20" spans="5:6" x14ac:dyDescent="0.25">
      <c r="E20">
        <v>190</v>
      </c>
      <c r="F20" t="e">
        <f t="shared" si="0"/>
        <v>#NUM!</v>
      </c>
    </row>
    <row r="21" spans="5:6" x14ac:dyDescent="0.25">
      <c r="E21">
        <v>200</v>
      </c>
      <c r="F21" t="e">
        <f t="shared" si="0"/>
        <v>#NUM!</v>
      </c>
    </row>
    <row r="22" spans="5:6" x14ac:dyDescent="0.25">
      <c r="E22">
        <v>210</v>
      </c>
      <c r="F22" t="e">
        <f t="shared" si="0"/>
        <v>#NUM!</v>
      </c>
    </row>
    <row r="23" spans="5:6" x14ac:dyDescent="0.25">
      <c r="E23">
        <v>220</v>
      </c>
      <c r="F23" t="e">
        <f t="shared" si="0"/>
        <v>#NUM!</v>
      </c>
    </row>
    <row r="24" spans="5:6" x14ac:dyDescent="0.25">
      <c r="E24">
        <v>230</v>
      </c>
      <c r="F24" t="e">
        <f t="shared" si="0"/>
        <v>#NUM!</v>
      </c>
    </row>
    <row r="25" spans="5:6" x14ac:dyDescent="0.25">
      <c r="E25">
        <v>240</v>
      </c>
      <c r="F25" t="e">
        <f t="shared" si="0"/>
        <v>#NUM!</v>
      </c>
    </row>
    <row r="26" spans="5:6" x14ac:dyDescent="0.25">
      <c r="E26">
        <v>250</v>
      </c>
      <c r="F26" t="e">
        <f t="shared" si="0"/>
        <v>#NUM!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L27"/>
  <sheetViews>
    <sheetView zoomScaleNormal="100" workbookViewId="0">
      <selection sqref="A1:D1048576"/>
    </sheetView>
  </sheetViews>
  <sheetFormatPr baseColWidth="10" defaultRowHeight="15" x14ac:dyDescent="0.25"/>
  <cols>
    <col min="4" max="4" width="23" bestFit="1" customWidth="1"/>
    <col min="9" max="9" width="9.5703125" bestFit="1" customWidth="1"/>
    <col min="10" max="10" width="9.140625" customWidth="1"/>
    <col min="11" max="11" width="11.5703125" bestFit="1" customWidth="1"/>
    <col min="12" max="12" width="11.7109375" bestFit="1" customWidth="1"/>
  </cols>
  <sheetData>
    <row r="1" spans="5:12" x14ac:dyDescent="0.25">
      <c r="E1">
        <v>0</v>
      </c>
      <c r="F1" t="e">
        <f>LN(B1)</f>
        <v>#NUM!</v>
      </c>
      <c r="I1" s="1" t="s">
        <v>0</v>
      </c>
      <c r="J1" s="1"/>
      <c r="L1" s="2"/>
    </row>
    <row r="2" spans="5:12" x14ac:dyDescent="0.25">
      <c r="E2">
        <v>10</v>
      </c>
      <c r="F2" t="e">
        <f t="shared" ref="F2:F27" si="0">LN(B2)</f>
        <v>#NUM!</v>
      </c>
      <c r="H2" t="s">
        <v>1</v>
      </c>
      <c r="I2">
        <f>1/(0.0007)</f>
        <v>1428.5714285714287</v>
      </c>
      <c r="J2" s="3" t="s">
        <v>2</v>
      </c>
      <c r="L2" s="2"/>
    </row>
    <row r="3" spans="5:12" x14ac:dyDescent="0.25">
      <c r="E3">
        <v>20</v>
      </c>
      <c r="F3" t="e">
        <f t="shared" si="0"/>
        <v>#NUM!</v>
      </c>
      <c r="I3">
        <f>I2/60</f>
        <v>23.80952380952381</v>
      </c>
      <c r="J3" s="3" t="s">
        <v>3</v>
      </c>
    </row>
    <row r="4" spans="5:12" x14ac:dyDescent="0.25">
      <c r="E4">
        <v>30</v>
      </c>
      <c r="F4" t="e">
        <f t="shared" si="0"/>
        <v>#NUM!</v>
      </c>
      <c r="I4">
        <f>I3/60</f>
        <v>0.39682539682539686</v>
      </c>
      <c r="J4" s="3" t="s">
        <v>4</v>
      </c>
    </row>
    <row r="5" spans="5:12" x14ac:dyDescent="0.25">
      <c r="E5">
        <v>40</v>
      </c>
      <c r="F5" t="e">
        <f t="shared" si="0"/>
        <v>#NUM!</v>
      </c>
    </row>
    <row r="6" spans="5:12" x14ac:dyDescent="0.25">
      <c r="E6">
        <v>50</v>
      </c>
      <c r="F6" t="e">
        <f t="shared" si="0"/>
        <v>#NUM!</v>
      </c>
    </row>
    <row r="7" spans="5:12" x14ac:dyDescent="0.25">
      <c r="E7">
        <v>60</v>
      </c>
      <c r="F7" t="e">
        <f t="shared" si="0"/>
        <v>#NUM!</v>
      </c>
    </row>
    <row r="8" spans="5:12" x14ac:dyDescent="0.25">
      <c r="E8">
        <v>70</v>
      </c>
      <c r="F8" t="e">
        <f t="shared" si="0"/>
        <v>#NUM!</v>
      </c>
    </row>
    <row r="9" spans="5:12" x14ac:dyDescent="0.25">
      <c r="E9">
        <v>80</v>
      </c>
      <c r="F9" t="e">
        <f t="shared" si="0"/>
        <v>#NUM!</v>
      </c>
    </row>
    <row r="10" spans="5:12" x14ac:dyDescent="0.25">
      <c r="E10">
        <v>90</v>
      </c>
      <c r="F10" t="e">
        <f t="shared" si="0"/>
        <v>#NUM!</v>
      </c>
    </row>
    <row r="11" spans="5:12" x14ac:dyDescent="0.25">
      <c r="E11">
        <v>100</v>
      </c>
      <c r="F11" t="e">
        <f t="shared" si="0"/>
        <v>#NUM!</v>
      </c>
    </row>
    <row r="12" spans="5:12" x14ac:dyDescent="0.25">
      <c r="E12">
        <v>110</v>
      </c>
      <c r="F12" t="e">
        <f t="shared" si="0"/>
        <v>#NUM!</v>
      </c>
    </row>
    <row r="13" spans="5:12" x14ac:dyDescent="0.25">
      <c r="E13">
        <v>120</v>
      </c>
      <c r="F13" t="e">
        <f t="shared" si="0"/>
        <v>#NUM!</v>
      </c>
    </row>
    <row r="14" spans="5:12" x14ac:dyDescent="0.25">
      <c r="E14">
        <v>130</v>
      </c>
      <c r="F14" t="e">
        <f t="shared" si="0"/>
        <v>#NUM!</v>
      </c>
    </row>
    <row r="15" spans="5:12" x14ac:dyDescent="0.25">
      <c r="E15">
        <v>140</v>
      </c>
      <c r="F15" t="e">
        <f t="shared" si="0"/>
        <v>#NUM!</v>
      </c>
    </row>
    <row r="16" spans="5:12" x14ac:dyDescent="0.25">
      <c r="E16">
        <v>150</v>
      </c>
      <c r="F16" t="e">
        <f t="shared" si="0"/>
        <v>#NUM!</v>
      </c>
    </row>
    <row r="17" spans="5:6" x14ac:dyDescent="0.25">
      <c r="E17">
        <v>160</v>
      </c>
      <c r="F17" t="e">
        <f t="shared" si="0"/>
        <v>#NUM!</v>
      </c>
    </row>
    <row r="18" spans="5:6" x14ac:dyDescent="0.25">
      <c r="E18">
        <v>170</v>
      </c>
      <c r="F18" t="e">
        <f t="shared" si="0"/>
        <v>#NUM!</v>
      </c>
    </row>
    <row r="19" spans="5:6" x14ac:dyDescent="0.25">
      <c r="E19">
        <v>180</v>
      </c>
      <c r="F19" t="e">
        <f t="shared" si="0"/>
        <v>#NUM!</v>
      </c>
    </row>
    <row r="20" spans="5:6" x14ac:dyDescent="0.25">
      <c r="E20">
        <v>190</v>
      </c>
      <c r="F20" t="e">
        <f t="shared" si="0"/>
        <v>#NUM!</v>
      </c>
    </row>
    <row r="21" spans="5:6" x14ac:dyDescent="0.25">
      <c r="E21">
        <v>200</v>
      </c>
      <c r="F21" t="e">
        <f t="shared" si="0"/>
        <v>#NUM!</v>
      </c>
    </row>
    <row r="22" spans="5:6" x14ac:dyDescent="0.25">
      <c r="E22">
        <v>210</v>
      </c>
      <c r="F22" t="e">
        <f t="shared" si="0"/>
        <v>#NUM!</v>
      </c>
    </row>
    <row r="23" spans="5:6" x14ac:dyDescent="0.25">
      <c r="E23">
        <v>220</v>
      </c>
      <c r="F23" t="e">
        <f t="shared" si="0"/>
        <v>#NUM!</v>
      </c>
    </row>
    <row r="24" spans="5:6" x14ac:dyDescent="0.25">
      <c r="E24">
        <v>230</v>
      </c>
      <c r="F24" t="e">
        <f t="shared" si="0"/>
        <v>#NUM!</v>
      </c>
    </row>
    <row r="25" spans="5:6" x14ac:dyDescent="0.25">
      <c r="E25">
        <v>240</v>
      </c>
      <c r="F25" t="e">
        <f t="shared" si="0"/>
        <v>#NUM!</v>
      </c>
    </row>
    <row r="26" spans="5:6" x14ac:dyDescent="0.25">
      <c r="E26">
        <v>250</v>
      </c>
      <c r="F26" t="e">
        <f t="shared" si="0"/>
        <v>#NUM!</v>
      </c>
    </row>
    <row r="27" spans="5:6" x14ac:dyDescent="0.25">
      <c r="E27">
        <v>260</v>
      </c>
      <c r="F27" t="e">
        <f t="shared" si="0"/>
        <v>#NUM!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Cu_1stPhase</vt:lpstr>
      <vt:lpstr>PANI_1stPhase</vt:lpstr>
      <vt:lpstr>Cu_2ndPhase</vt:lpstr>
      <vt:lpstr>PANI_2ndPhase</vt:lpstr>
      <vt:lpstr>Cu_3rdPhase</vt:lpstr>
      <vt:lpstr>PANI_3rdPhase</vt:lpstr>
    </vt:vector>
  </TitlesOfParts>
  <Company>HEFR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Enrile Andrea</dc:creator>
  <cp:lastModifiedBy>Enrile Andrea</cp:lastModifiedBy>
  <dcterms:created xsi:type="dcterms:W3CDTF">2021-11-26T08:02:26Z</dcterms:created>
  <dcterms:modified xsi:type="dcterms:W3CDTF">2021-11-26T10:26:00Z</dcterms:modified>
</cp:coreProperties>
</file>